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fileSharing readOnlyRecommended="1"/>
  <workbookPr codeName="ThisWorkbook"/>
  <bookViews>
    <workbookView xWindow="1320" yWindow="285" windowWidth="9135" windowHeight="5085" activeTab="1"/>
  </bookViews>
  <sheets>
    <sheet name="fodo" sheetId="21" r:id="rId1"/>
    <sheet name="test optics" sheetId="17" r:id="rId2"/>
    <sheet name="QuadSext table" sheetId="22" r:id="rId3"/>
    <sheet name="thin sext table" sheetId="16" r:id="rId4"/>
    <sheet name="quad table" sheetId="14" r:id="rId5"/>
    <sheet name="dip table" sheetId="20" r:id="rId6"/>
    <sheet name="BetaPlot" sheetId="12" r:id="rId7"/>
    <sheet name="Table" sheetId="2" r:id="rId8"/>
    <sheet name="Tracking" sheetId="9" r:id="rId9"/>
    <sheet name="Magnet errors" sheetId="10" r:id="rId10"/>
    <sheet name="Lattices" sheetId="7" r:id="rId11"/>
    <sheet name="ESRF-Thin" sheetId="19" r:id="rId12"/>
    <sheet name="ESRF-Thick" sheetId="23" r:id="rId13"/>
    <sheet name="plots" sheetId="24" r:id="rId14"/>
    <sheet name="Infos" sheetId="8" r:id="rId15"/>
    <sheet name="To Add" sheetId="13" r:id="rId16"/>
    <sheet name="Problems" sheetId="6" r:id="rId17"/>
  </sheets>
  <functionGroups/>
  <definedNames>
    <definedName name="_xlnm._FilterDatabase" localSheetId="7" hidden="1">Table!$C$2:$D$147</definedName>
    <definedName name="anscount" hidden="1">1</definedName>
    <definedName name="Emitt_Eff">Table!$D$102</definedName>
    <definedName name="Input">Table!$C$3:$K$94</definedName>
    <definedName name="Input_Alphax">Table!$E$13</definedName>
    <definedName name="Input_Alphaz">Table!$E$15</definedName>
    <definedName name="Input_Betax">Table!$E$12</definedName>
    <definedName name="Input_BetaZ">Table!$E$14</definedName>
    <definedName name="Input_D">Table!$E$16</definedName>
    <definedName name="Input_Dp">Table!$E$17</definedName>
    <definedName name="Lib_bpm">Table!$381:$381</definedName>
    <definedName name="Lib_Cav">Table!$368:$368</definedName>
    <definedName name="Lib_CellX">Table!$386:$386</definedName>
    <definedName name="Lib_CellZ">Table!$387:$387</definedName>
    <definedName name="Lib_Edge">Table!$371:$371</definedName>
    <definedName name="Lib_Nmult">Table!$374:$374</definedName>
    <definedName name="Lib_Quad">Table!$363:$363</definedName>
    <definedName name="Lib_QuadSext">Table!$363:$363</definedName>
    <definedName name="Lib_Sbend">Table!$364:$364</definedName>
    <definedName name="Lib_Sext">Table!$377:$377</definedName>
    <definedName name="Lib_Slit">Table!$382:$382</definedName>
    <definedName name="Lib_Smult">Table!$375:$375</definedName>
    <definedName name="Lib_Steerer">Table!$373:$373</definedName>
    <definedName name="Lib_Straight">Table!$362:$362</definedName>
    <definedName name="Lib_ThinMag">Table!$376:$376</definedName>
    <definedName name="Lib_Wiggler">Table!$366:$366</definedName>
    <definedName name="limcount" hidden="1">1</definedName>
    <definedName name="Output_Alphax">Table!$W$94</definedName>
    <definedName name="Output_Alphaz">Table!$AA$94</definedName>
    <definedName name="Output_Betax">Table!$V$94</definedName>
    <definedName name="Output_Betaz">Table!$Z$94</definedName>
    <definedName name="Output_D">Table!$AD$94</definedName>
    <definedName name="Output_Dp">Table!$AE$94</definedName>
    <definedName name="_xlnm.Print_Area" localSheetId="8">Tracking!$A$1:$O$175</definedName>
    <definedName name="sencount" hidden="1">1</definedName>
    <definedName name="solver_adj" localSheetId="4" hidden="1">'quad table'!$N$40,'quad table'!$N$41</definedName>
    <definedName name="solver_adj" localSheetId="2" hidden="1">'QuadSext table'!$O$27,'QuadSext table'!$O$28</definedName>
    <definedName name="solver_adj" localSheetId="7" hidden="1">Table!#REF!,Table!#REF!,Table!#REF!,Table!#REF!,Table!#REF!,Table!#REF!,Table!#REF!</definedName>
    <definedName name="solver_adj" localSheetId="3" hidden="1">'thin sext table'!$M$28,'thin sext table'!$M$29</definedName>
    <definedName name="solver_cvg" localSheetId="4" hidden="1">0.0001</definedName>
    <definedName name="solver_cvg" localSheetId="2" hidden="1">0.0001</definedName>
    <definedName name="solver_cvg" localSheetId="7" hidden="1">0.0001</definedName>
    <definedName name="solver_cvg" localSheetId="3" hidden="1">0.0001</definedName>
    <definedName name="solver_cvg" localSheetId="8" hidden="1">0.0001</definedName>
    <definedName name="solver_drv" localSheetId="4" hidden="1">1</definedName>
    <definedName name="solver_drv" localSheetId="2" hidden="1">1</definedName>
    <definedName name="solver_drv" localSheetId="7" hidden="1">1</definedName>
    <definedName name="solver_drv" localSheetId="3" hidden="1">1</definedName>
    <definedName name="solver_drv" localSheetId="8" hidden="1">1</definedName>
    <definedName name="solver_est" localSheetId="4" hidden="1">1</definedName>
    <definedName name="solver_est" localSheetId="2" hidden="1">1</definedName>
    <definedName name="solver_est" localSheetId="7" hidden="1">1</definedName>
    <definedName name="solver_est" localSheetId="3" hidden="1">1</definedName>
    <definedName name="solver_est" localSheetId="8" hidden="1">1</definedName>
    <definedName name="solver_itr" localSheetId="4" hidden="1">100</definedName>
    <definedName name="solver_itr" localSheetId="2" hidden="1">100</definedName>
    <definedName name="solver_itr" localSheetId="7" hidden="1">100</definedName>
    <definedName name="solver_itr" localSheetId="3" hidden="1">100</definedName>
    <definedName name="solver_itr" localSheetId="8" hidden="1">100</definedName>
    <definedName name="solver_lhs1" localSheetId="4" hidden="1">'quad table'!$N$40</definedName>
    <definedName name="solver_lhs1" localSheetId="7" hidden="1">Table!$D$180</definedName>
    <definedName name="solver_lhs2" localSheetId="4" hidden="1">'quad table'!$N$40</definedName>
    <definedName name="solver_lhs2" localSheetId="7" hidden="1">Table!$D$181</definedName>
    <definedName name="solver_lhs3" localSheetId="7" hidden="1">Table!$V$113</definedName>
    <definedName name="solver_lhs4" localSheetId="7" hidden="1">Table!$V$111</definedName>
    <definedName name="solver_lhs5" localSheetId="7" hidden="1">Table!$V$112</definedName>
    <definedName name="solver_lhs6" localSheetId="7" hidden="1">Table!$V$111</definedName>
    <definedName name="solver_lhs7" localSheetId="7" hidden="1">Table!$AD$111</definedName>
    <definedName name="solver_lhs8" localSheetId="7" hidden="1">Table!$AD$115</definedName>
    <definedName name="solver_lhs9" localSheetId="7" hidden="1">Table!$E$98</definedName>
    <definedName name="solver_lin" localSheetId="4" hidden="1">2</definedName>
    <definedName name="solver_lin" localSheetId="2" hidden="1">2</definedName>
    <definedName name="solver_lin" localSheetId="7" hidden="1">2</definedName>
    <definedName name="solver_lin" localSheetId="3" hidden="1">2</definedName>
    <definedName name="solver_lin" localSheetId="8" hidden="1">2</definedName>
    <definedName name="solver_neg" localSheetId="4" hidden="1">2</definedName>
    <definedName name="solver_neg" localSheetId="2" hidden="1">2</definedName>
    <definedName name="solver_neg" localSheetId="7" hidden="1">2</definedName>
    <definedName name="solver_neg" localSheetId="3" hidden="1">2</definedName>
    <definedName name="solver_neg" localSheetId="8" hidden="1">2</definedName>
    <definedName name="solver_num" localSheetId="4" hidden="1">0</definedName>
    <definedName name="solver_num" localSheetId="2" hidden="1">0</definedName>
    <definedName name="solver_num" localSheetId="7" hidden="1">2</definedName>
    <definedName name="solver_num" localSheetId="3" hidden="1">0</definedName>
    <definedName name="solver_num" localSheetId="8" hidden="1">0</definedName>
    <definedName name="solver_nwt" localSheetId="4" hidden="1">1</definedName>
    <definedName name="solver_nwt" localSheetId="2" hidden="1">1</definedName>
    <definedName name="solver_nwt" localSheetId="7" hidden="1">1</definedName>
    <definedName name="solver_nwt" localSheetId="3" hidden="1">1</definedName>
    <definedName name="solver_nwt" localSheetId="8" hidden="1">1</definedName>
    <definedName name="solver_opt" localSheetId="4" hidden="1">'quad table'!$P$42</definedName>
    <definedName name="solver_opt" localSheetId="2" hidden="1">'QuadSext table'!$Q$29</definedName>
    <definedName name="solver_opt" localSheetId="7" hidden="1">Table!$G$107</definedName>
    <definedName name="solver_opt" localSheetId="3" hidden="1">'thin sext table'!$O$29</definedName>
    <definedName name="solver_opt" localSheetId="8" hidden="1">Tracking!$N$51</definedName>
    <definedName name="solver_pre" localSheetId="4" hidden="1">0.000001</definedName>
    <definedName name="solver_pre" localSheetId="2" hidden="1">0.000001</definedName>
    <definedName name="solver_pre" localSheetId="7" hidden="1">0.000001</definedName>
    <definedName name="solver_pre" localSheetId="3" hidden="1">0.000001</definedName>
    <definedName name="solver_pre" localSheetId="8" hidden="1">0.000001</definedName>
    <definedName name="solver_rel1" localSheetId="4" hidden="1">2</definedName>
    <definedName name="solver_rel1" localSheetId="7" hidden="1">2</definedName>
    <definedName name="solver_rel2" localSheetId="4" hidden="1">2</definedName>
    <definedName name="solver_rel2" localSheetId="7" hidden="1">2</definedName>
    <definedName name="solver_rel3" localSheetId="7" hidden="1">1</definedName>
    <definedName name="solver_rel4" localSheetId="7" hidden="1">3</definedName>
    <definedName name="solver_rel5" localSheetId="7" hidden="1">1</definedName>
    <definedName name="solver_rel6" localSheetId="7" hidden="1">3</definedName>
    <definedName name="solver_rel7" localSheetId="7" hidden="1">2</definedName>
    <definedName name="solver_rel8" localSheetId="7" hidden="1">2</definedName>
    <definedName name="solver_rel9" localSheetId="7" hidden="1">1</definedName>
    <definedName name="solver_rhs1" localSheetId="4" hidden="1">'quad table'!$P$40</definedName>
    <definedName name="solver_rhs1" localSheetId="7" hidden="1">0.15</definedName>
    <definedName name="solver_rhs2" localSheetId="4" hidden="1">'quad table'!$P$40</definedName>
    <definedName name="solver_rhs2" localSheetId="7" hidden="1">0.4</definedName>
    <definedName name="solver_rhs3" localSheetId="7" hidden="1">60</definedName>
    <definedName name="solver_rhs4" localSheetId="7" hidden="1">20</definedName>
    <definedName name="solver_rhs5" localSheetId="7" hidden="1">1</definedName>
    <definedName name="solver_rhs6" localSheetId="7" hidden="1">20</definedName>
    <definedName name="solver_rhs7" localSheetId="7" hidden="1">0</definedName>
    <definedName name="solver_rhs8" localSheetId="7" hidden="1">0</definedName>
    <definedName name="solver_rhs9" localSheetId="7" hidden="1">6</definedName>
    <definedName name="solver_scl" localSheetId="4" hidden="1">2</definedName>
    <definedName name="solver_scl" localSheetId="2" hidden="1">2</definedName>
    <definedName name="solver_scl" localSheetId="7" hidden="1">2</definedName>
    <definedName name="solver_scl" localSheetId="3" hidden="1">2</definedName>
    <definedName name="solver_scl" localSheetId="8" hidden="1">2</definedName>
    <definedName name="solver_sho" localSheetId="4" hidden="1">2</definedName>
    <definedName name="solver_sho" localSheetId="2" hidden="1">2</definedName>
    <definedName name="solver_sho" localSheetId="7" hidden="1">2</definedName>
    <definedName name="solver_sho" localSheetId="3" hidden="1">2</definedName>
    <definedName name="solver_sho" localSheetId="8" hidden="1">2</definedName>
    <definedName name="solver_tim" localSheetId="4" hidden="1">100</definedName>
    <definedName name="solver_tim" localSheetId="2" hidden="1">100</definedName>
    <definedName name="solver_tim" localSheetId="7" hidden="1">100</definedName>
    <definedName name="solver_tim" localSheetId="3" hidden="1">100</definedName>
    <definedName name="solver_tim" localSheetId="8" hidden="1">100</definedName>
    <definedName name="solver_tol" localSheetId="4" hidden="1">0.05</definedName>
    <definedName name="solver_tol" localSheetId="2" hidden="1">0.05</definedName>
    <definedName name="solver_tol" localSheetId="7" hidden="1">0.05</definedName>
    <definedName name="solver_tol" localSheetId="3" hidden="1">0.05</definedName>
    <definedName name="solver_tol" localSheetId="8" hidden="1">0.05</definedName>
    <definedName name="solver_typ" localSheetId="4" hidden="1">2</definedName>
    <definedName name="solver_typ" localSheetId="2" hidden="1">2</definedName>
    <definedName name="solver_typ" localSheetId="7" hidden="1">2</definedName>
    <definedName name="solver_typ" localSheetId="3" hidden="1">2</definedName>
    <definedName name="solver_typ" localSheetId="8" hidden="1">1</definedName>
    <definedName name="solver_val" localSheetId="4" hidden="1">0</definedName>
    <definedName name="solver_val" localSheetId="2" hidden="1">0</definedName>
    <definedName name="solver_val" localSheetId="7" hidden="1">0</definedName>
    <definedName name="solver_val" localSheetId="3" hidden="1">0</definedName>
    <definedName name="solver_val" localSheetId="8" hidden="1">0</definedName>
    <definedName name="T_Coupling">Table!$E$9</definedName>
    <definedName name="T_Emitx">Table!$AV$4</definedName>
    <definedName name="T_Emitz">Table!$AW$4</definedName>
    <definedName name="T_Energy">Table!$E$4</definedName>
    <definedName name="T_EnSpread">Table!$AX$4</definedName>
    <definedName name="T_f0">Tracking!$C$40</definedName>
    <definedName name="T_Hrf">Table!$E$8</definedName>
    <definedName name="T_Input">Table!#REF!</definedName>
    <definedName name="T_Ncell">Table!$E$5</definedName>
    <definedName name="T_Params">Table!$E$10</definedName>
    <definedName name="T_Sym">Table!$E$6</definedName>
    <definedName name="T_Title">Table!$C$3</definedName>
    <definedName name="T_Vrf">Table!$E$7</definedName>
    <definedName name="Table">Table!$24:$94</definedName>
    <definedName name="Table_Input">Table!$C$24:$C$93</definedName>
    <definedName name="Th_RF">Table!$E$8</definedName>
    <definedName name="VaveBetax">Table!$BA:$BA</definedName>
    <definedName name="VaveBetaz">Table!$BF:$BF</definedName>
    <definedName name="VHl">Table!$CG:$CG</definedName>
    <definedName name="VKl">Table!$CF:$CF</definedName>
    <definedName name="Vlength">Table!$CH:$CH</definedName>
    <definedName name="VmidMux">Table!$BB:$BB</definedName>
    <definedName name="VmidMuz">Table!$BG:$BG</definedName>
  </definedNames>
  <calcPr calcId="125725"/>
</workbook>
</file>

<file path=xl/calcChain.xml><?xml version="1.0" encoding="utf-8"?>
<calcChain xmlns="http://schemas.openxmlformats.org/spreadsheetml/2006/main">
  <c r="CS93" i="2"/>
  <c r="CL93"/>
  <c r="CH93"/>
  <c r="CL92"/>
  <c r="CS92" s="1"/>
  <c r="CH92"/>
  <c r="CL90"/>
  <c r="CS90" s="1"/>
  <c r="CH90"/>
  <c r="EA89"/>
  <c r="CQ89"/>
  <c r="CR89" s="1"/>
  <c r="CU89" s="1"/>
  <c r="CJ89"/>
  <c r="CH89"/>
  <c r="CG89"/>
  <c r="CF89"/>
  <c r="P89"/>
  <c r="O89"/>
  <c r="Q89" s="1"/>
  <c r="CL88"/>
  <c r="CS88" s="1"/>
  <c r="CH88"/>
  <c r="CM87"/>
  <c r="CG87"/>
  <c r="CF87"/>
  <c r="CS86"/>
  <c r="CL86"/>
  <c r="CH86"/>
  <c r="EA85"/>
  <c r="CQ85"/>
  <c r="CJ85"/>
  <c r="CK85" s="1"/>
  <c r="CN85" s="1"/>
  <c r="CH85"/>
  <c r="Q85"/>
  <c r="P85"/>
  <c r="O85"/>
  <c r="CS84"/>
  <c r="CL84"/>
  <c r="CH84"/>
  <c r="CL82"/>
  <c r="CS82" s="1"/>
  <c r="CH82"/>
  <c r="CM80"/>
  <c r="CG80"/>
  <c r="CF80"/>
  <c r="CS79"/>
  <c r="CL79"/>
  <c r="CH79"/>
  <c r="EA78"/>
  <c r="CQ78"/>
  <c r="CJ78"/>
  <c r="CH78"/>
  <c r="CR78" s="1"/>
  <c r="CU78" s="1"/>
  <c r="P78"/>
  <c r="O78"/>
  <c r="Q78" s="1"/>
  <c r="CS77"/>
  <c r="CL77"/>
  <c r="CH77"/>
  <c r="CF76"/>
  <c r="DL75"/>
  <c r="CR75"/>
  <c r="CU75" s="1"/>
  <c r="CQ75"/>
  <c r="CS75" s="1"/>
  <c r="CT75" s="1"/>
  <c r="CJ75"/>
  <c r="CH75"/>
  <c r="N75"/>
  <c r="O75" s="1"/>
  <c r="Q75" s="1"/>
  <c r="DL74"/>
  <c r="CS74"/>
  <c r="CT74" s="1"/>
  <c r="CR74"/>
  <c r="CU74" s="1"/>
  <c r="CQ74"/>
  <c r="CK74"/>
  <c r="CN74" s="1"/>
  <c r="CJ74"/>
  <c r="CL74" s="1"/>
  <c r="CH74"/>
  <c r="CF74"/>
  <c r="N74"/>
  <c r="CF73"/>
  <c r="CT73" s="1"/>
  <c r="CM72"/>
  <c r="CF72"/>
  <c r="CT72" s="1"/>
  <c r="DL71"/>
  <c r="DH71"/>
  <c r="DI71" s="1"/>
  <c r="CS71"/>
  <c r="CT71" s="1"/>
  <c r="CR71"/>
  <c r="CU71" s="1"/>
  <c r="CQ71"/>
  <c r="CL71"/>
  <c r="CK71"/>
  <c r="CN71" s="1"/>
  <c r="CJ71"/>
  <c r="CH71"/>
  <c r="CG71"/>
  <c r="CF71"/>
  <c r="O71"/>
  <c r="Q71" s="1"/>
  <c r="N71"/>
  <c r="P71" s="1"/>
  <c r="CT70"/>
  <c r="CM70"/>
  <c r="CG70"/>
  <c r="CF70"/>
  <c r="CS69"/>
  <c r="CL69"/>
  <c r="CH69"/>
  <c r="CS67"/>
  <c r="CL67"/>
  <c r="CH67"/>
  <c r="EA66"/>
  <c r="CQ66"/>
  <c r="CH66"/>
  <c r="P66"/>
  <c r="O66"/>
  <c r="Q66" s="1"/>
  <c r="CS65"/>
  <c r="CL65"/>
  <c r="CH65"/>
  <c r="CM64"/>
  <c r="CG64"/>
  <c r="CF64"/>
  <c r="CL63"/>
  <c r="CS63" s="1"/>
  <c r="CH63"/>
  <c r="EA62"/>
  <c r="CQ62"/>
  <c r="CJ62"/>
  <c r="CH62"/>
  <c r="CR62" s="1"/>
  <c r="CU62" s="1"/>
  <c r="CG62"/>
  <c r="P62"/>
  <c r="O62"/>
  <c r="Q62" s="1"/>
  <c r="CL61"/>
  <c r="CS61" s="1"/>
  <c r="CH61"/>
  <c r="CG59"/>
  <c r="CF59"/>
  <c r="CL58"/>
  <c r="CS58" s="1"/>
  <c r="CH58"/>
  <c r="CS56"/>
  <c r="CL56"/>
  <c r="CH56"/>
  <c r="EA55"/>
  <c r="CQ55"/>
  <c r="CJ55"/>
  <c r="CH55"/>
  <c r="CR55" s="1"/>
  <c r="CU55" s="1"/>
  <c r="CG55"/>
  <c r="P55"/>
  <c r="O55"/>
  <c r="Q55" s="1"/>
  <c r="CS54"/>
  <c r="CL54"/>
  <c r="CH54"/>
  <c r="CG53"/>
  <c r="CF53"/>
  <c r="CS52"/>
  <c r="CL52"/>
  <c r="CH52"/>
  <c r="EA51"/>
  <c r="CQ51"/>
  <c r="CH51"/>
  <c r="P51"/>
  <c r="O51"/>
  <c r="CS50"/>
  <c r="CL50"/>
  <c r="CH50"/>
  <c r="CS48"/>
  <c r="CL48"/>
  <c r="CH48"/>
  <c r="CF47"/>
  <c r="DL46"/>
  <c r="CQ46"/>
  <c r="CR46" s="1"/>
  <c r="CU46" s="1"/>
  <c r="CJ46"/>
  <c r="CH46"/>
  <c r="N46"/>
  <c r="O46" s="1"/>
  <c r="Q46" s="1"/>
  <c r="CG45"/>
  <c r="CF45"/>
  <c r="CT45" s="1"/>
  <c r="CF44"/>
  <c r="CT44" s="1"/>
  <c r="DL43"/>
  <c r="CS43"/>
  <c r="CT43" s="1"/>
  <c r="CR43"/>
  <c r="CU43" s="1"/>
  <c r="CQ43"/>
  <c r="CO43"/>
  <c r="CK43"/>
  <c r="CN43" s="1"/>
  <c r="CJ43"/>
  <c r="CL43" s="1"/>
  <c r="CH43"/>
  <c r="CF43"/>
  <c r="N43"/>
  <c r="DL42"/>
  <c r="DH42"/>
  <c r="DI42" s="1"/>
  <c r="CT42"/>
  <c r="CS42"/>
  <c r="CQ42"/>
  <c r="CR42" s="1"/>
  <c r="CU42" s="1"/>
  <c r="CL42"/>
  <c r="CM42" s="1"/>
  <c r="CK42"/>
  <c r="CN42" s="1"/>
  <c r="CJ42"/>
  <c r="CH42"/>
  <c r="CG42"/>
  <c r="CF42"/>
  <c r="N42"/>
  <c r="P42" s="1"/>
  <c r="CT41"/>
  <c r="CM41"/>
  <c r="CF41"/>
  <c r="CG41" s="1"/>
  <c r="CL40"/>
  <c r="CS40" s="1"/>
  <c r="CH40"/>
  <c r="EA39"/>
  <c r="CR39"/>
  <c r="CU39" s="1"/>
  <c r="CQ39"/>
  <c r="CJ39" s="1"/>
  <c r="CH39"/>
  <c r="CG39"/>
  <c r="CF39"/>
  <c r="P39"/>
  <c r="O39"/>
  <c r="Q39" s="1"/>
  <c r="CL38"/>
  <c r="CS38" s="1"/>
  <c r="CH38"/>
  <c r="CM36"/>
  <c r="CG36"/>
  <c r="CF36"/>
  <c r="CS35"/>
  <c r="CL35"/>
  <c r="CH35"/>
  <c r="CL33"/>
  <c r="CS33" s="1"/>
  <c r="CH33"/>
  <c r="EA32"/>
  <c r="CR32"/>
  <c r="CU32" s="1"/>
  <c r="CQ32"/>
  <c r="CH32"/>
  <c r="CG32"/>
  <c r="P32"/>
  <c r="O32"/>
  <c r="Q32" s="1"/>
  <c r="CL31"/>
  <c r="CS31" s="1"/>
  <c r="CH31"/>
  <c r="CT30"/>
  <c r="CM30"/>
  <c r="CG30"/>
  <c r="CF30"/>
  <c r="CS29"/>
  <c r="CL29"/>
  <c r="CH29"/>
  <c r="EA28"/>
  <c r="CQ28"/>
  <c r="CH28"/>
  <c r="CG28" s="1"/>
  <c r="P28"/>
  <c r="O28"/>
  <c r="Q28" s="1"/>
  <c r="CS27"/>
  <c r="CL27"/>
  <c r="CH27"/>
  <c r="DE25"/>
  <c r="DE26" s="1"/>
  <c r="DD25"/>
  <c r="DD26" s="1"/>
  <c r="CZ25"/>
  <c r="CZ26" s="1"/>
  <c r="CY25"/>
  <c r="CY26" s="1"/>
  <c r="CS25"/>
  <c r="DB25" s="1"/>
  <c r="DB26" s="1"/>
  <c r="CL25"/>
  <c r="AG25" s="1"/>
  <c r="AG26" s="1"/>
  <c r="CH25"/>
  <c r="AP25"/>
  <c r="AP26" s="1"/>
  <c r="AP27" s="1"/>
  <c r="AL25"/>
  <c r="AL26" s="1"/>
  <c r="AL27" s="1"/>
  <c r="AH25"/>
  <c r="AH26" s="1"/>
  <c r="AH27" s="1"/>
  <c r="U25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S25"/>
  <c r="S26" s="1"/>
  <c r="S27" s="1"/>
  <c r="S28" s="1"/>
  <c r="S29" s="1"/>
  <c r="S30" s="1"/>
  <c r="R25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M235"/>
  <c r="BN82" i="7"/>
  <c r="BO82"/>
  <c r="S31" i="2" l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O42"/>
  <c r="Q42" s="1"/>
  <c r="CG44"/>
  <c r="P46"/>
  <c r="CG72"/>
  <c r="CM73"/>
  <c r="CP42"/>
  <c r="CG73"/>
  <c r="P75"/>
  <c r="DD27"/>
  <c r="DB27"/>
  <c r="AG27"/>
  <c r="AK25"/>
  <c r="AK26" s="1"/>
  <c r="AK27" s="1"/>
  <c r="AO25"/>
  <c r="AO26" s="1"/>
  <c r="AO27" s="1"/>
  <c r="CX25"/>
  <c r="CX26" s="1"/>
  <c r="DC25"/>
  <c r="DC26" s="1"/>
  <c r="CS28"/>
  <c r="CT28" s="1"/>
  <c r="CF32"/>
  <c r="T25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CW25"/>
  <c r="CW26" s="1"/>
  <c r="CR28"/>
  <c r="CU28" s="1"/>
  <c r="CL39"/>
  <c r="CM39" s="1"/>
  <c r="CJ51"/>
  <c r="CS51"/>
  <c r="CT51" s="1"/>
  <c r="CF51"/>
  <c r="CR51"/>
  <c r="CU51" s="1"/>
  <c r="CJ32"/>
  <c r="CS32"/>
  <c r="CT32" s="1"/>
  <c r="P43"/>
  <c r="O43"/>
  <c r="Q43" s="1"/>
  <c r="CG51"/>
  <c r="Q51"/>
  <c r="CM53"/>
  <c r="CT53"/>
  <c r="CF28"/>
  <c r="CJ28"/>
  <c r="CK39"/>
  <c r="CN39" s="1"/>
  <c r="CM43"/>
  <c r="CP43"/>
  <c r="CL46"/>
  <c r="CK46"/>
  <c r="CN46" s="1"/>
  <c r="CM47"/>
  <c r="CT47"/>
  <c r="CG47"/>
  <c r="CL55"/>
  <c r="CM55" s="1"/>
  <c r="CK55"/>
  <c r="CN55" s="1"/>
  <c r="CS66"/>
  <c r="CT66" s="1"/>
  <c r="CJ66"/>
  <c r="CR66"/>
  <c r="CU66" s="1"/>
  <c r="CM74"/>
  <c r="CP74"/>
  <c r="CT36"/>
  <c r="CS39"/>
  <c r="CT39" s="1"/>
  <c r="CG43"/>
  <c r="DH43"/>
  <c r="DI43" s="1"/>
  <c r="CM44"/>
  <c r="CM45"/>
  <c r="DH46"/>
  <c r="DI46" s="1"/>
  <c r="CG46"/>
  <c r="CM59"/>
  <c r="CT59"/>
  <c r="CL62"/>
  <c r="CM62" s="1"/>
  <c r="CK62"/>
  <c r="CN62" s="1"/>
  <c r="CM71"/>
  <c r="CP71"/>
  <c r="CL89"/>
  <c r="CM89" s="1"/>
  <c r="CK89"/>
  <c r="CN89" s="1"/>
  <c r="CO42"/>
  <c r="CS46"/>
  <c r="CT46" s="1"/>
  <c r="CF46"/>
  <c r="CF66"/>
  <c r="P74"/>
  <c r="O74"/>
  <c r="Q74" s="1"/>
  <c r="CF55"/>
  <c r="CF62"/>
  <c r="CT64"/>
  <c r="CG66"/>
  <c r="CO71"/>
  <c r="CL75"/>
  <c r="CK75"/>
  <c r="CN75" s="1"/>
  <c r="CS55"/>
  <c r="CT55" s="1"/>
  <c r="CS62"/>
  <c r="CT62" s="1"/>
  <c r="CM76"/>
  <c r="CT76"/>
  <c r="CG76"/>
  <c r="CL78"/>
  <c r="CM78" s="1"/>
  <c r="CK78"/>
  <c r="CN78" s="1"/>
  <c r="CO74"/>
  <c r="CG74"/>
  <c r="DH74"/>
  <c r="DI74" s="1"/>
  <c r="CF75"/>
  <c r="CF78"/>
  <c r="CR85"/>
  <c r="CU85" s="1"/>
  <c r="CS78"/>
  <c r="CT78" s="1"/>
  <c r="CF85"/>
  <c r="CG85"/>
  <c r="CG75"/>
  <c r="DH75"/>
  <c r="DI75" s="1"/>
  <c r="CG78"/>
  <c r="CS85"/>
  <c r="CT85" s="1"/>
  <c r="CL85"/>
  <c r="CM85" s="1"/>
  <c r="CS89"/>
  <c r="CT89" s="1"/>
  <c r="CT80"/>
  <c r="CT87"/>
  <c r="C64" i="8"/>
  <c r="D64"/>
  <c r="E64"/>
  <c r="F64"/>
  <c r="C65"/>
  <c r="D65"/>
  <c r="E65"/>
  <c r="F65"/>
  <c r="C66"/>
  <c r="D66"/>
  <c r="E66"/>
  <c r="F66"/>
  <c r="C69"/>
  <c r="D69"/>
  <c r="E69"/>
  <c r="F69"/>
  <c r="D72"/>
  <c r="D73"/>
  <c r="C78"/>
  <c r="E78"/>
  <c r="C80"/>
  <c r="E80"/>
  <c r="D90"/>
  <c r="D91"/>
  <c r="G47" i="23"/>
  <c r="H47"/>
  <c r="G51"/>
  <c r="H51"/>
  <c r="G47" i="19"/>
  <c r="H47"/>
  <c r="G51"/>
  <c r="H51"/>
  <c r="AX15" i="7"/>
  <c r="BC20"/>
  <c r="AR21"/>
  <c r="BX25"/>
  <c r="AR26"/>
  <c r="BC26"/>
  <c r="BX26"/>
  <c r="AR28"/>
  <c r="BC29"/>
  <c r="BC32"/>
  <c r="AR34"/>
  <c r="AM35"/>
  <c r="BC35"/>
  <c r="AR36"/>
  <c r="AM37"/>
  <c r="C42"/>
  <c r="AM43"/>
  <c r="BC43"/>
  <c r="C44"/>
  <c r="D44"/>
  <c r="BX44"/>
  <c r="AM45"/>
  <c r="BX45"/>
  <c r="BM51"/>
  <c r="BN51"/>
  <c r="C52"/>
  <c r="C54"/>
  <c r="D54"/>
  <c r="BM55"/>
  <c r="BN55"/>
  <c r="C66"/>
  <c r="D66"/>
  <c r="BX66"/>
  <c r="BX67"/>
  <c r="C68"/>
  <c r="D68"/>
  <c r="AR71"/>
  <c r="AR73"/>
  <c r="AR79"/>
  <c r="AR81"/>
  <c r="BX84"/>
  <c r="BX85"/>
  <c r="C2" i="10"/>
  <c r="C3"/>
  <c r="G3"/>
  <c r="C4"/>
  <c r="G4"/>
  <c r="C5"/>
  <c r="G5"/>
  <c r="C6"/>
  <c r="C7"/>
  <c r="C8"/>
  <c r="C9"/>
  <c r="G9"/>
  <c r="C10"/>
  <c r="E10"/>
  <c r="G10"/>
  <c r="C11"/>
  <c r="G11"/>
  <c r="G19"/>
  <c r="J19"/>
  <c r="K19"/>
  <c r="N19"/>
  <c r="Q19"/>
  <c r="H20"/>
  <c r="L20"/>
  <c r="T27"/>
  <c r="T28"/>
  <c r="T29"/>
  <c r="T30"/>
  <c r="T31"/>
  <c r="T33"/>
  <c r="W33"/>
  <c r="T34"/>
  <c r="W34"/>
  <c r="T35"/>
  <c r="T36"/>
  <c r="T37"/>
  <c r="W37"/>
  <c r="T38"/>
  <c r="T39"/>
  <c r="T41"/>
  <c r="W41"/>
  <c r="T42"/>
  <c r="W42"/>
  <c r="C39" i="9"/>
  <c r="C51"/>
  <c r="C54"/>
  <c r="C71"/>
  <c r="C72"/>
  <c r="C73"/>
  <c r="C74"/>
  <c r="C75"/>
  <c r="C76"/>
  <c r="C77"/>
  <c r="C78"/>
  <c r="C79"/>
  <c r="C80"/>
  <c r="C81"/>
  <c r="L107"/>
  <c r="N107"/>
  <c r="P107"/>
  <c r="T107"/>
  <c r="V107"/>
  <c r="X107"/>
  <c r="C108"/>
  <c r="L108" s="1"/>
  <c r="G108"/>
  <c r="V108" s="1"/>
  <c r="N108"/>
  <c r="P108"/>
  <c r="T108"/>
  <c r="X108"/>
  <c r="C109"/>
  <c r="L109" s="1"/>
  <c r="G109"/>
  <c r="V109" s="1"/>
  <c r="N109"/>
  <c r="P109"/>
  <c r="T109"/>
  <c r="X109"/>
  <c r="C110"/>
  <c r="L110" s="1"/>
  <c r="G110"/>
  <c r="V110" s="1"/>
  <c r="N110"/>
  <c r="P110"/>
  <c r="T110"/>
  <c r="X110"/>
  <c r="C111"/>
  <c r="L111" s="1"/>
  <c r="G111"/>
  <c r="V111" s="1"/>
  <c r="N111"/>
  <c r="P111"/>
  <c r="T111"/>
  <c r="X111"/>
  <c r="C112"/>
  <c r="L112" s="1"/>
  <c r="G112"/>
  <c r="V112" s="1"/>
  <c r="N112"/>
  <c r="P112"/>
  <c r="T112"/>
  <c r="X112"/>
  <c r="C113"/>
  <c r="L113" s="1"/>
  <c r="G113"/>
  <c r="V113" s="1"/>
  <c r="N113"/>
  <c r="P113"/>
  <c r="T113"/>
  <c r="X113"/>
  <c r="C114"/>
  <c r="L114" s="1"/>
  <c r="G114"/>
  <c r="V114" s="1"/>
  <c r="N114"/>
  <c r="P114"/>
  <c r="T114"/>
  <c r="X114"/>
  <c r="C115"/>
  <c r="L115" s="1"/>
  <c r="G115"/>
  <c r="V115" s="1"/>
  <c r="N115"/>
  <c r="P115"/>
  <c r="T115"/>
  <c r="X115"/>
  <c r="C116"/>
  <c r="L116" s="1"/>
  <c r="G116"/>
  <c r="V116" s="1"/>
  <c r="N116"/>
  <c r="P116"/>
  <c r="T116"/>
  <c r="X116"/>
  <c r="C117"/>
  <c r="L117" s="1"/>
  <c r="G117"/>
  <c r="V117" s="1"/>
  <c r="N117"/>
  <c r="P117"/>
  <c r="T117"/>
  <c r="X117"/>
  <c r="L118"/>
  <c r="N118"/>
  <c r="P118"/>
  <c r="T118"/>
  <c r="V118"/>
  <c r="X118"/>
  <c r="I126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2" i="2"/>
  <c r="J2"/>
  <c r="DN2"/>
  <c r="DO2"/>
  <c r="DP2"/>
  <c r="DQ2"/>
  <c r="DR2"/>
  <c r="DS2"/>
  <c r="DT2"/>
  <c r="DU2"/>
  <c r="DV2"/>
  <c r="DW2"/>
  <c r="EW5"/>
  <c r="EX5"/>
  <c r="EY5"/>
  <c r="EZ5"/>
  <c r="FA5"/>
  <c r="EI6"/>
  <c r="EJ6" s="1"/>
  <c r="EK6" s="1"/>
  <c r="EL6" s="1"/>
  <c r="EM6" s="1"/>
  <c r="EN6" s="1"/>
  <c r="EO6" s="1"/>
  <c r="EP6" s="1"/>
  <c r="EQ6" s="1"/>
  <c r="ER6" s="1"/>
  <c r="ES6" s="1"/>
  <c r="ET6" s="1"/>
  <c r="EW6"/>
  <c r="EX6"/>
  <c r="EY6"/>
  <c r="EZ6"/>
  <c r="FA6"/>
  <c r="CF94"/>
  <c r="AE102"/>
  <c r="AE107"/>
  <c r="N110"/>
  <c r="O110"/>
  <c r="P110"/>
  <c r="R110"/>
  <c r="V110"/>
  <c r="W110"/>
  <c r="X110"/>
  <c r="Y110"/>
  <c r="Z110"/>
  <c r="AA110"/>
  <c r="AB110"/>
  <c r="AC110"/>
  <c r="AD110"/>
  <c r="AE110"/>
  <c r="AQ110"/>
  <c r="AR110"/>
  <c r="AS110"/>
  <c r="AT110"/>
  <c r="AU110"/>
  <c r="N111"/>
  <c r="O111"/>
  <c r="P111"/>
  <c r="Q111"/>
  <c r="R111"/>
  <c r="Y111"/>
  <c r="AC111"/>
  <c r="N112"/>
  <c r="O112"/>
  <c r="P112"/>
  <c r="Q112"/>
  <c r="D149"/>
  <c r="D152"/>
  <c r="D3" i="10" s="1"/>
  <c r="D162" i="2"/>
  <c r="D7" i="10" s="1"/>
  <c r="E232" i="2"/>
  <c r="E233"/>
  <c r="D258" s="1"/>
  <c r="D269"/>
  <c r="D280" s="1"/>
  <c r="EI326"/>
  <c r="EJ326" s="1"/>
  <c r="EK326" s="1"/>
  <c r="EL326" s="1"/>
  <c r="EM326" s="1"/>
  <c r="EN326" s="1"/>
  <c r="EO326" s="1"/>
  <c r="EP326" s="1"/>
  <c r="EQ326" s="1"/>
  <c r="ER326" s="1"/>
  <c r="ES326" s="1"/>
  <c r="ET326" s="1"/>
  <c r="D326" s="1"/>
  <c r="D355"/>
  <c r="U362"/>
  <c r="U363" s="1"/>
  <c r="U364" s="1"/>
  <c r="U365" s="1"/>
  <c r="U366" s="1"/>
  <c r="AE362"/>
  <c r="AZ362" s="1"/>
  <c r="AF362"/>
  <c r="AF363" s="1"/>
  <c r="AH362"/>
  <c r="AJ362"/>
  <c r="AL362"/>
  <c r="AN362"/>
  <c r="AP362"/>
  <c r="AV362"/>
  <c r="AV363" s="1"/>
  <c r="AW362"/>
  <c r="AW363" s="1"/>
  <c r="AX362"/>
  <c r="AX363" s="1"/>
  <c r="AX364" s="1"/>
  <c r="AX365" s="1"/>
  <c r="AX366" s="1"/>
  <c r="CH362"/>
  <c r="R362" s="1"/>
  <c r="CL362"/>
  <c r="V362" s="1"/>
  <c r="CY362"/>
  <c r="CZ362"/>
  <c r="DD362"/>
  <c r="DE362"/>
  <c r="O363"/>
  <c r="P363"/>
  <c r="CH363"/>
  <c r="CQ363"/>
  <c r="CJ363" s="1"/>
  <c r="EA363"/>
  <c r="N364"/>
  <c r="P364" s="1"/>
  <c r="CH364"/>
  <c r="CJ364"/>
  <c r="CK364" s="1"/>
  <c r="CN364" s="1"/>
  <c r="CQ364"/>
  <c r="DL364"/>
  <c r="N365"/>
  <c r="O365" s="1"/>
  <c r="CH365"/>
  <c r="CJ365"/>
  <c r="BA365" s="1"/>
  <c r="CQ365"/>
  <c r="DL365"/>
  <c r="N366"/>
  <c r="CH366"/>
  <c r="CL366" s="1"/>
  <c r="CM366" s="1"/>
  <c r="CK366"/>
  <c r="CN366" s="1"/>
  <c r="CQ366"/>
  <c r="DH366"/>
  <c r="DG366" s="1"/>
  <c r="DI366"/>
  <c r="DJ366"/>
  <c r="U368"/>
  <c r="AE368"/>
  <c r="AZ368" s="1"/>
  <c r="AF368"/>
  <c r="AH368"/>
  <c r="AJ368"/>
  <c r="AL368"/>
  <c r="AN368"/>
  <c r="AP368"/>
  <c r="AV368"/>
  <c r="AW368"/>
  <c r="AX368"/>
  <c r="CH368"/>
  <c r="R368" s="1"/>
  <c r="CL368"/>
  <c r="V368" s="1"/>
  <c r="CY368"/>
  <c r="CZ368"/>
  <c r="DD368"/>
  <c r="DE368"/>
  <c r="R371"/>
  <c r="S371"/>
  <c r="T371"/>
  <c r="U371"/>
  <c r="V371"/>
  <c r="Z371"/>
  <c r="BF371" s="1"/>
  <c r="AD371"/>
  <c r="AY371" s="1"/>
  <c r="AF371"/>
  <c r="AG371"/>
  <c r="AI371"/>
  <c r="AK371"/>
  <c r="AM371"/>
  <c r="AO371"/>
  <c r="AV371"/>
  <c r="AW371"/>
  <c r="AX371"/>
  <c r="BA371"/>
  <c r="CF371"/>
  <c r="CW371"/>
  <c r="CX371"/>
  <c r="DB371"/>
  <c r="DC371"/>
  <c r="R373"/>
  <c r="R374" s="1"/>
  <c r="R375" s="1"/>
  <c r="R376" s="1"/>
  <c r="R377" s="1"/>
  <c r="S373"/>
  <c r="S374" s="1"/>
  <c r="S375" s="1"/>
  <c r="S376" s="1"/>
  <c r="S377" s="1"/>
  <c r="T373"/>
  <c r="T374" s="1"/>
  <c r="T375" s="1"/>
  <c r="T376" s="1"/>
  <c r="T377" s="1"/>
  <c r="U373"/>
  <c r="U374" s="1"/>
  <c r="U375" s="1"/>
  <c r="U376" s="1"/>
  <c r="U377" s="1"/>
  <c r="V373"/>
  <c r="BA373" s="1"/>
  <c r="W373"/>
  <c r="X373"/>
  <c r="Y373"/>
  <c r="BB373" s="1"/>
  <c r="Z373"/>
  <c r="BF373" s="1"/>
  <c r="AA373"/>
  <c r="AB373"/>
  <c r="AC373"/>
  <c r="BG373" s="1"/>
  <c r="AD373"/>
  <c r="AD374" s="1"/>
  <c r="AD375" s="1"/>
  <c r="AE373"/>
  <c r="AF373"/>
  <c r="AF374" s="1"/>
  <c r="AF375" s="1"/>
  <c r="AF376" s="1"/>
  <c r="AF377" s="1"/>
  <c r="AG373"/>
  <c r="AG374" s="1"/>
  <c r="AH373"/>
  <c r="AI373"/>
  <c r="AJ373"/>
  <c r="AK373"/>
  <c r="AL373"/>
  <c r="AM373"/>
  <c r="AN373"/>
  <c r="AO373"/>
  <c r="AP373"/>
  <c r="AV373"/>
  <c r="AW373"/>
  <c r="AT373" s="1"/>
  <c r="AX373"/>
  <c r="AX374" s="1"/>
  <c r="AX375" s="1"/>
  <c r="AX376" s="1"/>
  <c r="AX377" s="1"/>
  <c r="AY373"/>
  <c r="AZ373"/>
  <c r="CW373"/>
  <c r="CX373"/>
  <c r="CY373"/>
  <c r="CZ373"/>
  <c r="DB373"/>
  <c r="DC373"/>
  <c r="DD373"/>
  <c r="DE373"/>
  <c r="CF374"/>
  <c r="CM374" s="1"/>
  <c r="CG374"/>
  <c r="CF376"/>
  <c r="Q376" s="1"/>
  <c r="CG376"/>
  <c r="CF377"/>
  <c r="CM377" s="1"/>
  <c r="CG377"/>
  <c r="R381"/>
  <c r="R382" s="1"/>
  <c r="S381"/>
  <c r="S382" s="1"/>
  <c r="T381"/>
  <c r="T382" s="1"/>
  <c r="U381"/>
  <c r="U382" s="1"/>
  <c r="V381"/>
  <c r="BA381" s="1"/>
  <c r="W381"/>
  <c r="W382" s="1"/>
  <c r="X381"/>
  <c r="X382" s="1"/>
  <c r="Y381"/>
  <c r="Y382" s="1"/>
  <c r="BB382" s="1"/>
  <c r="Z381"/>
  <c r="BF381" s="1"/>
  <c r="AA381"/>
  <c r="AA382" s="1"/>
  <c r="AB381"/>
  <c r="AB382" s="1"/>
  <c r="AC381"/>
  <c r="AD381"/>
  <c r="AY381" s="1"/>
  <c r="AE381"/>
  <c r="AE382" s="1"/>
  <c r="AZ382" s="1"/>
  <c r="AF381"/>
  <c r="AF382" s="1"/>
  <c r="AG381"/>
  <c r="AG382" s="1"/>
  <c r="AH381"/>
  <c r="AH382" s="1"/>
  <c r="AI381"/>
  <c r="AI382" s="1"/>
  <c r="AJ381"/>
  <c r="AJ382" s="1"/>
  <c r="AK381"/>
  <c r="AK382" s="1"/>
  <c r="AL381"/>
  <c r="AL382" s="1"/>
  <c r="AM381"/>
  <c r="AM382" s="1"/>
  <c r="AN381"/>
  <c r="AN382" s="1"/>
  <c r="AO381"/>
  <c r="AO382" s="1"/>
  <c r="AP381"/>
  <c r="AP382" s="1"/>
  <c r="AV381"/>
  <c r="AV382" s="1"/>
  <c r="AW381"/>
  <c r="AX381"/>
  <c r="CW381"/>
  <c r="CW382" s="1"/>
  <c r="CX381"/>
  <c r="CX382" s="1"/>
  <c r="CY381"/>
  <c r="CY382" s="1"/>
  <c r="CZ381"/>
  <c r="CZ382" s="1"/>
  <c r="DB381"/>
  <c r="DB382" s="1"/>
  <c r="DC381"/>
  <c r="DC382" s="1"/>
  <c r="DD381"/>
  <c r="DD382" s="1"/>
  <c r="DE381"/>
  <c r="DE382" s="1"/>
  <c r="U386"/>
  <c r="U387" s="1"/>
  <c r="AF386"/>
  <c r="AV386"/>
  <c r="AV387" s="1"/>
  <c r="AW386"/>
  <c r="AW387" s="1"/>
  <c r="AX386"/>
  <c r="AX387" s="1"/>
  <c r="BB386"/>
  <c r="BG386"/>
  <c r="CH386"/>
  <c r="R386" s="1"/>
  <c r="CI386"/>
  <c r="CJ386"/>
  <c r="DB386"/>
  <c r="DC386"/>
  <c r="DD386"/>
  <c r="DE386"/>
  <c r="AY387"/>
  <c r="CH387"/>
  <c r="CI387"/>
  <c r="CQ387"/>
  <c r="B3" i="20"/>
  <c r="C3"/>
  <c r="D3"/>
  <c r="E3"/>
  <c r="B4"/>
  <c r="C4"/>
  <c r="D4"/>
  <c r="E4"/>
  <c r="B5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O11"/>
  <c r="P11"/>
  <c r="Q11"/>
  <c r="R11"/>
  <c r="R13" s="1"/>
  <c r="S11"/>
  <c r="T11"/>
  <c r="T13" s="1"/>
  <c r="U11"/>
  <c r="V11"/>
  <c r="V13" s="1"/>
  <c r="W11"/>
  <c r="X11"/>
  <c r="Y11"/>
  <c r="Z11"/>
  <c r="Z13" s="1"/>
  <c r="B12"/>
  <c r="C12"/>
  <c r="D12"/>
  <c r="E12"/>
  <c r="M12"/>
  <c r="P12"/>
  <c r="T12"/>
  <c r="X12"/>
  <c r="B13"/>
  <c r="C13"/>
  <c r="D13"/>
  <c r="E13"/>
  <c r="G13"/>
  <c r="M13"/>
  <c r="P13" s="1"/>
  <c r="O13"/>
  <c r="S13"/>
  <c r="W13"/>
  <c r="B14"/>
  <c r="C14"/>
  <c r="D14"/>
  <c r="E14"/>
  <c r="F14"/>
  <c r="G14"/>
  <c r="M14"/>
  <c r="H14" s="1"/>
  <c r="V14"/>
  <c r="B15"/>
  <c r="C15"/>
  <c r="D15"/>
  <c r="E15"/>
  <c r="G15" s="1"/>
  <c r="I15"/>
  <c r="M15"/>
  <c r="I13" s="1"/>
  <c r="O15"/>
  <c r="Q15"/>
  <c r="R15"/>
  <c r="S15"/>
  <c r="U15"/>
  <c r="W15"/>
  <c r="Y15"/>
  <c r="Z15"/>
  <c r="B16"/>
  <c r="C16"/>
  <c r="D16"/>
  <c r="E16"/>
  <c r="G16" s="1"/>
  <c r="B17"/>
  <c r="C17"/>
  <c r="D17"/>
  <c r="E17"/>
  <c r="G17" s="1"/>
  <c r="F17"/>
  <c r="I17"/>
  <c r="B18"/>
  <c r="C18"/>
  <c r="D18"/>
  <c r="E18"/>
  <c r="G18" s="1"/>
  <c r="H18"/>
  <c r="B19"/>
  <c r="C19"/>
  <c r="D19"/>
  <c r="E19"/>
  <c r="G19" s="1"/>
  <c r="F19"/>
  <c r="I19"/>
  <c r="B20"/>
  <c r="C20"/>
  <c r="D20"/>
  <c r="E20"/>
  <c r="G20" s="1"/>
  <c r="B21"/>
  <c r="C21"/>
  <c r="D21"/>
  <c r="E21"/>
  <c r="G21" s="1"/>
  <c r="F21"/>
  <c r="I21"/>
  <c r="B22"/>
  <c r="C22"/>
  <c r="D22"/>
  <c r="E22"/>
  <c r="G22" s="1"/>
  <c r="H22"/>
  <c r="B23"/>
  <c r="C23"/>
  <c r="D23"/>
  <c r="E23"/>
  <c r="G23" s="1"/>
  <c r="F23"/>
  <c r="I23"/>
  <c r="B24"/>
  <c r="C24"/>
  <c r="D24"/>
  <c r="E24"/>
  <c r="G24" s="1"/>
  <c r="B25"/>
  <c r="C25"/>
  <c r="D25"/>
  <c r="E25"/>
  <c r="G25" s="1"/>
  <c r="F25"/>
  <c r="I25"/>
  <c r="B26"/>
  <c r="C26"/>
  <c r="D26"/>
  <c r="E26"/>
  <c r="G26" s="1"/>
  <c r="H26"/>
  <c r="B27"/>
  <c r="C27"/>
  <c r="D27"/>
  <c r="E27"/>
  <c r="G27" s="1"/>
  <c r="F27"/>
  <c r="I27"/>
  <c r="B28"/>
  <c r="C28"/>
  <c r="D28"/>
  <c r="E28"/>
  <c r="G28" s="1"/>
  <c r="B29"/>
  <c r="C29"/>
  <c r="D29"/>
  <c r="E29"/>
  <c r="G29" s="1"/>
  <c r="F29"/>
  <c r="I29"/>
  <c r="B30"/>
  <c r="C30"/>
  <c r="D30"/>
  <c r="E30"/>
  <c r="G30" s="1"/>
  <c r="H30"/>
  <c r="B31"/>
  <c r="C31"/>
  <c r="D31"/>
  <c r="E31"/>
  <c r="G31" s="1"/>
  <c r="F31"/>
  <c r="I31"/>
  <c r="B32"/>
  <c r="C32"/>
  <c r="D32"/>
  <c r="E32"/>
  <c r="G32" s="1"/>
  <c r="B33"/>
  <c r="C33"/>
  <c r="D33"/>
  <c r="E33"/>
  <c r="G33" s="1"/>
  <c r="F33"/>
  <c r="I33"/>
  <c r="B34"/>
  <c r="C34"/>
  <c r="D34"/>
  <c r="E34"/>
  <c r="G34" s="1"/>
  <c r="H34"/>
  <c r="B35"/>
  <c r="C35"/>
  <c r="D35"/>
  <c r="E35"/>
  <c r="G35" s="1"/>
  <c r="F35"/>
  <c r="I35"/>
  <c r="B36"/>
  <c r="C36"/>
  <c r="D36"/>
  <c r="E36"/>
  <c r="G36" s="1"/>
  <c r="B37"/>
  <c r="C37"/>
  <c r="D37"/>
  <c r="E37"/>
  <c r="G37" s="1"/>
  <c r="F37"/>
  <c r="I37"/>
  <c r="B38"/>
  <c r="C38"/>
  <c r="D38"/>
  <c r="E38"/>
  <c r="G38" s="1"/>
  <c r="H38"/>
  <c r="B39"/>
  <c r="C39"/>
  <c r="D39"/>
  <c r="E39"/>
  <c r="G39" s="1"/>
  <c r="F39"/>
  <c r="I39"/>
  <c r="B40"/>
  <c r="C40"/>
  <c r="D40"/>
  <c r="E40"/>
  <c r="G40" s="1"/>
  <c r="B41"/>
  <c r="C41"/>
  <c r="D41"/>
  <c r="E41"/>
  <c r="G41" s="1"/>
  <c r="F41"/>
  <c r="I41"/>
  <c r="B42"/>
  <c r="C42"/>
  <c r="D42"/>
  <c r="E42"/>
  <c r="G42" s="1"/>
  <c r="H42"/>
  <c r="B43"/>
  <c r="C43"/>
  <c r="D43"/>
  <c r="E43"/>
  <c r="G43" s="1"/>
  <c r="F43"/>
  <c r="I43"/>
  <c r="B44"/>
  <c r="C44"/>
  <c r="D44"/>
  <c r="E44"/>
  <c r="G44" s="1"/>
  <c r="B45"/>
  <c r="C45"/>
  <c r="D45"/>
  <c r="E45"/>
  <c r="G45" s="1"/>
  <c r="F45"/>
  <c r="I45"/>
  <c r="B46"/>
  <c r="C46"/>
  <c r="D46"/>
  <c r="E46"/>
  <c r="G46" s="1"/>
  <c r="H46"/>
  <c r="B47"/>
  <c r="C47"/>
  <c r="D47"/>
  <c r="E47"/>
  <c r="G47" s="1"/>
  <c r="F47"/>
  <c r="I47"/>
  <c r="B48"/>
  <c r="C48"/>
  <c r="D48"/>
  <c r="E48"/>
  <c r="G48" s="1"/>
  <c r="B49"/>
  <c r="C49"/>
  <c r="D49"/>
  <c r="E49"/>
  <c r="G49" s="1"/>
  <c r="F49"/>
  <c r="I49"/>
  <c r="B50"/>
  <c r="C50"/>
  <c r="D50"/>
  <c r="E50"/>
  <c r="G50" s="1"/>
  <c r="H50"/>
  <c r="B51"/>
  <c r="C51"/>
  <c r="D51"/>
  <c r="E51"/>
  <c r="G51" s="1"/>
  <c r="F51"/>
  <c r="I51"/>
  <c r="B52"/>
  <c r="C52"/>
  <c r="D52"/>
  <c r="E52"/>
  <c r="G52" s="1"/>
  <c r="B53"/>
  <c r="C53"/>
  <c r="D53"/>
  <c r="E53"/>
  <c r="G53" s="1"/>
  <c r="F53"/>
  <c r="I53"/>
  <c r="B54"/>
  <c r="C54"/>
  <c r="D54"/>
  <c r="E54"/>
  <c r="G54" s="1"/>
  <c r="H54"/>
  <c r="B55"/>
  <c r="C55"/>
  <c r="D55"/>
  <c r="E55"/>
  <c r="G55" s="1"/>
  <c r="F55"/>
  <c r="I55"/>
  <c r="B56"/>
  <c r="C56"/>
  <c r="D56"/>
  <c r="E56"/>
  <c r="G56" s="1"/>
  <c r="B57"/>
  <c r="C57"/>
  <c r="D57"/>
  <c r="E57"/>
  <c r="G57" s="1"/>
  <c r="F57"/>
  <c r="I57"/>
  <c r="B58"/>
  <c r="C58"/>
  <c r="D58"/>
  <c r="E58"/>
  <c r="G58" s="1"/>
  <c r="H58"/>
  <c r="B59"/>
  <c r="C59"/>
  <c r="D59"/>
  <c r="E59"/>
  <c r="G59" s="1"/>
  <c r="F59"/>
  <c r="I59"/>
  <c r="B60"/>
  <c r="C60"/>
  <c r="D60"/>
  <c r="E60"/>
  <c r="G60" s="1"/>
  <c r="B61"/>
  <c r="C61"/>
  <c r="D61"/>
  <c r="E61"/>
  <c r="G61" s="1"/>
  <c r="F61"/>
  <c r="I61"/>
  <c r="B62"/>
  <c r="C62"/>
  <c r="D62"/>
  <c r="E62"/>
  <c r="G62" s="1"/>
  <c r="H62"/>
  <c r="B63"/>
  <c r="C63"/>
  <c r="D63"/>
  <c r="E63"/>
  <c r="G63" s="1"/>
  <c r="F63"/>
  <c r="I63"/>
  <c r="B64"/>
  <c r="C64"/>
  <c r="D64"/>
  <c r="E64"/>
  <c r="G64" s="1"/>
  <c r="B65"/>
  <c r="C65"/>
  <c r="D65"/>
  <c r="E65"/>
  <c r="G65" s="1"/>
  <c r="F65"/>
  <c r="I65"/>
  <c r="B66"/>
  <c r="C66"/>
  <c r="D66"/>
  <c r="E66"/>
  <c r="G66" s="1"/>
  <c r="H66"/>
  <c r="B67"/>
  <c r="C67"/>
  <c r="D67"/>
  <c r="E67"/>
  <c r="G67" s="1"/>
  <c r="F67"/>
  <c r="I67"/>
  <c r="B68"/>
  <c r="C68"/>
  <c r="D68"/>
  <c r="E68"/>
  <c r="G68" s="1"/>
  <c r="B69"/>
  <c r="C69"/>
  <c r="D69"/>
  <c r="E69"/>
  <c r="G69" s="1"/>
  <c r="F69"/>
  <c r="I69"/>
  <c r="B70"/>
  <c r="C70"/>
  <c r="D70"/>
  <c r="E70"/>
  <c r="G70" s="1"/>
  <c r="H70"/>
  <c r="B71"/>
  <c r="C71"/>
  <c r="D71"/>
  <c r="E71"/>
  <c r="G71" s="1"/>
  <c r="F71"/>
  <c r="I71"/>
  <c r="B72"/>
  <c r="C72"/>
  <c r="D72"/>
  <c r="E72"/>
  <c r="G72" s="1"/>
  <c r="B73"/>
  <c r="C73"/>
  <c r="D73"/>
  <c r="E73"/>
  <c r="G73" s="1"/>
  <c r="F73"/>
  <c r="I73"/>
  <c r="B74"/>
  <c r="C74"/>
  <c r="D74"/>
  <c r="E74"/>
  <c r="G74" s="1"/>
  <c r="H74"/>
  <c r="B75"/>
  <c r="C75"/>
  <c r="D75"/>
  <c r="E75"/>
  <c r="G75" s="1"/>
  <c r="F75"/>
  <c r="I75"/>
  <c r="B76"/>
  <c r="C76"/>
  <c r="D76"/>
  <c r="E76"/>
  <c r="G76" s="1"/>
  <c r="B77"/>
  <c r="C77"/>
  <c r="D77"/>
  <c r="E77"/>
  <c r="G77" s="1"/>
  <c r="F77"/>
  <c r="I77"/>
  <c r="B78"/>
  <c r="C78"/>
  <c r="D78"/>
  <c r="E78"/>
  <c r="G78" s="1"/>
  <c r="H78"/>
  <c r="B79"/>
  <c r="C79"/>
  <c r="D79"/>
  <c r="E79"/>
  <c r="G79" s="1"/>
  <c r="F79"/>
  <c r="I79"/>
  <c r="B80"/>
  <c r="C80"/>
  <c r="D80"/>
  <c r="E80"/>
  <c r="G80" s="1"/>
  <c r="B81"/>
  <c r="C81"/>
  <c r="D81"/>
  <c r="E81"/>
  <c r="F81"/>
  <c r="G81"/>
  <c r="H81"/>
  <c r="I81"/>
  <c r="B82"/>
  <c r="C82"/>
  <c r="D82"/>
  <c r="E82"/>
  <c r="F82"/>
  <c r="G82"/>
  <c r="H82"/>
  <c r="I82"/>
  <c r="B83"/>
  <c r="C83"/>
  <c r="D83"/>
  <c r="E83"/>
  <c r="F83"/>
  <c r="G83"/>
  <c r="H83"/>
  <c r="I83"/>
  <c r="B84"/>
  <c r="C84"/>
  <c r="D84"/>
  <c r="E84"/>
  <c r="F84"/>
  <c r="G84"/>
  <c r="H84"/>
  <c r="I84"/>
  <c r="B85"/>
  <c r="C85"/>
  <c r="D85"/>
  <c r="E85"/>
  <c r="F85"/>
  <c r="G85"/>
  <c r="H85"/>
  <c r="I85"/>
  <c r="B86"/>
  <c r="C86"/>
  <c r="D86"/>
  <c r="E86"/>
  <c r="F86"/>
  <c r="G86"/>
  <c r="H86"/>
  <c r="I86"/>
  <c r="B87"/>
  <c r="C87"/>
  <c r="D87"/>
  <c r="E87"/>
  <c r="F87"/>
  <c r="G87"/>
  <c r="H87"/>
  <c r="I87"/>
  <c r="B88"/>
  <c r="C88"/>
  <c r="D88"/>
  <c r="E88"/>
  <c r="F88"/>
  <c r="G88"/>
  <c r="H88"/>
  <c r="I88"/>
  <c r="B89"/>
  <c r="C89"/>
  <c r="D89"/>
  <c r="E89"/>
  <c r="F89"/>
  <c r="G89"/>
  <c r="H89"/>
  <c r="I89"/>
  <c r="B90"/>
  <c r="C90"/>
  <c r="D90"/>
  <c r="E90"/>
  <c r="F90"/>
  <c r="G90"/>
  <c r="H90"/>
  <c r="I90"/>
  <c r="B91"/>
  <c r="C91"/>
  <c r="D91"/>
  <c r="E91"/>
  <c r="F91"/>
  <c r="G91"/>
  <c r="H91"/>
  <c r="I91"/>
  <c r="B92"/>
  <c r="C92"/>
  <c r="D92"/>
  <c r="E92"/>
  <c r="F92"/>
  <c r="G92"/>
  <c r="H92"/>
  <c r="I92"/>
  <c r="B93"/>
  <c r="C93"/>
  <c r="D93"/>
  <c r="E93"/>
  <c r="F93"/>
  <c r="G93"/>
  <c r="H93"/>
  <c r="I93"/>
  <c r="B94"/>
  <c r="C94"/>
  <c r="D94"/>
  <c r="E94"/>
  <c r="F94"/>
  <c r="G94"/>
  <c r="H94"/>
  <c r="I94"/>
  <c r="B95"/>
  <c r="C95"/>
  <c r="D95"/>
  <c r="E95"/>
  <c r="F95"/>
  <c r="G95"/>
  <c r="H95"/>
  <c r="I95"/>
  <c r="B96"/>
  <c r="C96"/>
  <c r="D96"/>
  <c r="E96"/>
  <c r="F96"/>
  <c r="G96"/>
  <c r="H96"/>
  <c r="I96"/>
  <c r="B97"/>
  <c r="C97"/>
  <c r="D97"/>
  <c r="E97"/>
  <c r="F97"/>
  <c r="G97"/>
  <c r="H97"/>
  <c r="I97"/>
  <c r="B98"/>
  <c r="C98"/>
  <c r="D98"/>
  <c r="E98"/>
  <c r="F98"/>
  <c r="G98"/>
  <c r="H98"/>
  <c r="I98"/>
  <c r="B99"/>
  <c r="C99"/>
  <c r="D99"/>
  <c r="E99"/>
  <c r="F99"/>
  <c r="G99"/>
  <c r="H99"/>
  <c r="I99"/>
  <c r="B100"/>
  <c r="C100"/>
  <c r="D100"/>
  <c r="E100"/>
  <c r="F100"/>
  <c r="G100"/>
  <c r="H100"/>
  <c r="I100"/>
  <c r="B101"/>
  <c r="C101"/>
  <c r="D101"/>
  <c r="E101"/>
  <c r="F101"/>
  <c r="G101"/>
  <c r="H101"/>
  <c r="I101"/>
  <c r="B102"/>
  <c r="C102"/>
  <c r="D102"/>
  <c r="E102"/>
  <c r="F102"/>
  <c r="G102"/>
  <c r="H102"/>
  <c r="I102"/>
  <c r="B103"/>
  <c r="C103"/>
  <c r="D103"/>
  <c r="E103"/>
  <c r="F103"/>
  <c r="G103"/>
  <c r="H103"/>
  <c r="I103"/>
  <c r="B104"/>
  <c r="C104"/>
  <c r="D104"/>
  <c r="E104"/>
  <c r="F104"/>
  <c r="G104"/>
  <c r="H104"/>
  <c r="I104"/>
  <c r="B105"/>
  <c r="C105"/>
  <c r="D105"/>
  <c r="E105"/>
  <c r="F105"/>
  <c r="G105"/>
  <c r="H105"/>
  <c r="I105"/>
  <c r="B106"/>
  <c r="C106"/>
  <c r="D106"/>
  <c r="E106"/>
  <c r="F106"/>
  <c r="G106"/>
  <c r="H106"/>
  <c r="I106"/>
  <c r="B107"/>
  <c r="C107"/>
  <c r="D107"/>
  <c r="E107"/>
  <c r="F107"/>
  <c r="G107"/>
  <c r="H107"/>
  <c r="I107"/>
  <c r="B108"/>
  <c r="C108"/>
  <c r="D108"/>
  <c r="E108"/>
  <c r="F108"/>
  <c r="G108"/>
  <c r="H108"/>
  <c r="I108"/>
  <c r="B109"/>
  <c r="C109"/>
  <c r="D109"/>
  <c r="E109"/>
  <c r="F109"/>
  <c r="G109"/>
  <c r="H109"/>
  <c r="I109"/>
  <c r="B110"/>
  <c r="C110"/>
  <c r="D110"/>
  <c r="E110"/>
  <c r="F110"/>
  <c r="G110"/>
  <c r="H110"/>
  <c r="I110"/>
  <c r="B111"/>
  <c r="C111"/>
  <c r="D111"/>
  <c r="E111"/>
  <c r="F111"/>
  <c r="G111"/>
  <c r="H111"/>
  <c r="I111"/>
  <c r="B112"/>
  <c r="C112"/>
  <c r="D112"/>
  <c r="E112"/>
  <c r="F112"/>
  <c r="G112"/>
  <c r="H112"/>
  <c r="I112"/>
  <c r="B113"/>
  <c r="C113"/>
  <c r="D113"/>
  <c r="E113"/>
  <c r="F113"/>
  <c r="G113"/>
  <c r="H113"/>
  <c r="I113"/>
  <c r="B114"/>
  <c r="C114"/>
  <c r="D114"/>
  <c r="E114"/>
  <c r="F114"/>
  <c r="G114"/>
  <c r="H114"/>
  <c r="I114"/>
  <c r="B115"/>
  <c r="C115"/>
  <c r="D115"/>
  <c r="E115"/>
  <c r="F115"/>
  <c r="G115"/>
  <c r="H115"/>
  <c r="I115"/>
  <c r="B116"/>
  <c r="C116"/>
  <c r="D116"/>
  <c r="E116"/>
  <c r="F116"/>
  <c r="G116"/>
  <c r="H116"/>
  <c r="I116"/>
  <c r="B117"/>
  <c r="C117"/>
  <c r="D117"/>
  <c r="E117"/>
  <c r="F117"/>
  <c r="G117"/>
  <c r="H117"/>
  <c r="I117"/>
  <c r="B118"/>
  <c r="C118"/>
  <c r="D118"/>
  <c r="E118"/>
  <c r="F118"/>
  <c r="G118"/>
  <c r="H118"/>
  <c r="I118"/>
  <c r="B119"/>
  <c r="C119"/>
  <c r="D119"/>
  <c r="E119"/>
  <c r="F119"/>
  <c r="G119"/>
  <c r="H119"/>
  <c r="I119"/>
  <c r="B120"/>
  <c r="C120"/>
  <c r="D120"/>
  <c r="E120"/>
  <c r="F120"/>
  <c r="G120"/>
  <c r="H120"/>
  <c r="I120"/>
  <c r="B121"/>
  <c r="C121"/>
  <c r="D121"/>
  <c r="E121"/>
  <c r="F121"/>
  <c r="G121"/>
  <c r="H121"/>
  <c r="I121"/>
  <c r="B122"/>
  <c r="C122"/>
  <c r="D122"/>
  <c r="E122"/>
  <c r="F122"/>
  <c r="G122"/>
  <c r="H122"/>
  <c r="I122"/>
  <c r="B123"/>
  <c r="C123"/>
  <c r="D123"/>
  <c r="E123"/>
  <c r="F123"/>
  <c r="G123"/>
  <c r="H123"/>
  <c r="I123"/>
  <c r="B124"/>
  <c r="C124"/>
  <c r="D124"/>
  <c r="E124"/>
  <c r="F124"/>
  <c r="G124"/>
  <c r="H124"/>
  <c r="I124"/>
  <c r="B125"/>
  <c r="C125"/>
  <c r="D125"/>
  <c r="E125"/>
  <c r="F125"/>
  <c r="G125"/>
  <c r="H125"/>
  <c r="I125"/>
  <c r="B126"/>
  <c r="C126"/>
  <c r="D126"/>
  <c r="E126"/>
  <c r="F126"/>
  <c r="G126"/>
  <c r="H126"/>
  <c r="I126"/>
  <c r="B127"/>
  <c r="C127"/>
  <c r="D127"/>
  <c r="E127"/>
  <c r="F127"/>
  <c r="G127"/>
  <c r="H127"/>
  <c r="I127"/>
  <c r="B128"/>
  <c r="C128"/>
  <c r="D128"/>
  <c r="E128"/>
  <c r="F128"/>
  <c r="G128"/>
  <c r="H128"/>
  <c r="I128"/>
  <c r="B129"/>
  <c r="C129"/>
  <c r="D129"/>
  <c r="E129"/>
  <c r="F129"/>
  <c r="G129"/>
  <c r="H129"/>
  <c r="I129"/>
  <c r="B130"/>
  <c r="C130"/>
  <c r="D130"/>
  <c r="E130"/>
  <c r="F130"/>
  <c r="G130"/>
  <c r="H130"/>
  <c r="I130"/>
  <c r="B3" i="14"/>
  <c r="C3"/>
  <c r="L3"/>
  <c r="Q3"/>
  <c r="E43" s="1"/>
  <c r="B4"/>
  <c r="C4"/>
  <c r="L4"/>
  <c r="Q4"/>
  <c r="B5"/>
  <c r="C5"/>
  <c r="L5"/>
  <c r="Q5"/>
  <c r="B6"/>
  <c r="C6"/>
  <c r="D6"/>
  <c r="L6"/>
  <c r="Q6"/>
  <c r="E26" s="1"/>
  <c r="B7"/>
  <c r="C7"/>
  <c r="D7"/>
  <c r="L7"/>
  <c r="Q7"/>
  <c r="E7" s="1"/>
  <c r="B8"/>
  <c r="C8"/>
  <c r="D8"/>
  <c r="E8"/>
  <c r="L8"/>
  <c r="Q8"/>
  <c r="E15" s="1"/>
  <c r="I15" s="1"/>
  <c r="T8"/>
  <c r="U8"/>
  <c r="V8"/>
  <c r="V20" s="1"/>
  <c r="W8"/>
  <c r="X8"/>
  <c r="X20" s="1"/>
  <c r="B9"/>
  <c r="C9"/>
  <c r="D9"/>
  <c r="E9"/>
  <c r="G9" s="1"/>
  <c r="L9"/>
  <c r="Q9"/>
  <c r="E14" s="1"/>
  <c r="T9"/>
  <c r="T21" s="1"/>
  <c r="U9"/>
  <c r="U21" s="1"/>
  <c r="V9"/>
  <c r="V21" s="1"/>
  <c r="W9"/>
  <c r="X9"/>
  <c r="X21" s="1"/>
  <c r="B10"/>
  <c r="C10"/>
  <c r="D10"/>
  <c r="E10"/>
  <c r="I10" s="1"/>
  <c r="L10"/>
  <c r="Q10"/>
  <c r="E13" s="1"/>
  <c r="B11"/>
  <c r="C11"/>
  <c r="D11"/>
  <c r="E11"/>
  <c r="H11" s="1"/>
  <c r="L11"/>
  <c r="B12"/>
  <c r="C12"/>
  <c r="D12"/>
  <c r="L12"/>
  <c r="P12"/>
  <c r="D3" s="1"/>
  <c r="S12"/>
  <c r="Q12" s="1"/>
  <c r="T12"/>
  <c r="U12"/>
  <c r="V12"/>
  <c r="W12"/>
  <c r="X12"/>
  <c r="Y12"/>
  <c r="B13"/>
  <c r="C13"/>
  <c r="D13"/>
  <c r="L13"/>
  <c r="P13"/>
  <c r="D4" s="1"/>
  <c r="Q13"/>
  <c r="E4" s="1"/>
  <c r="S13"/>
  <c r="T13"/>
  <c r="U13"/>
  <c r="V13"/>
  <c r="W13"/>
  <c r="X13"/>
  <c r="Y13"/>
  <c r="B14"/>
  <c r="C14"/>
  <c r="D14"/>
  <c r="L14"/>
  <c r="P14"/>
  <c r="D5" s="1"/>
  <c r="Q14"/>
  <c r="E5" s="1"/>
  <c r="S14"/>
  <c r="T14"/>
  <c r="U14"/>
  <c r="V14"/>
  <c r="W14"/>
  <c r="X14"/>
  <c r="Y14"/>
  <c r="B15"/>
  <c r="C15"/>
  <c r="D15"/>
  <c r="L15"/>
  <c r="B16"/>
  <c r="C16"/>
  <c r="D16"/>
  <c r="E16"/>
  <c r="I16" s="1"/>
  <c r="L16"/>
  <c r="P16"/>
  <c r="D23" s="1"/>
  <c r="S16"/>
  <c r="Q16" s="1"/>
  <c r="T16"/>
  <c r="U16"/>
  <c r="V16"/>
  <c r="Y16"/>
  <c r="B17"/>
  <c r="C17"/>
  <c r="D17"/>
  <c r="L17"/>
  <c r="P17"/>
  <c r="D24" s="1"/>
  <c r="Q17"/>
  <c r="E21" s="1"/>
  <c r="S17"/>
  <c r="T17"/>
  <c r="U17"/>
  <c r="V17"/>
  <c r="Y17"/>
  <c r="B18"/>
  <c r="C18"/>
  <c r="D18"/>
  <c r="L18"/>
  <c r="P18"/>
  <c r="D20" s="1"/>
  <c r="S18"/>
  <c r="Q18" s="1"/>
  <c r="E25" s="1"/>
  <c r="T18"/>
  <c r="U18"/>
  <c r="V18"/>
  <c r="Y18"/>
  <c r="B19"/>
  <c r="C19"/>
  <c r="D19"/>
  <c r="E19"/>
  <c r="H19" s="1"/>
  <c r="L19"/>
  <c r="B20"/>
  <c r="C20"/>
  <c r="L20"/>
  <c r="P20"/>
  <c r="D70" s="1"/>
  <c r="S20"/>
  <c r="Q20" s="1"/>
  <c r="T20"/>
  <c r="U20"/>
  <c r="W20"/>
  <c r="Y20"/>
  <c r="B21"/>
  <c r="C21"/>
  <c r="L21"/>
  <c r="P21"/>
  <c r="D71" s="1"/>
  <c r="S21"/>
  <c r="Q21" s="1"/>
  <c r="W21"/>
  <c r="Y21"/>
  <c r="B22"/>
  <c r="C22"/>
  <c r="L22"/>
  <c r="P22"/>
  <c r="Q22"/>
  <c r="E72" s="1"/>
  <c r="S22"/>
  <c r="T22"/>
  <c r="U22"/>
  <c r="V22"/>
  <c r="W22"/>
  <c r="X22"/>
  <c r="Y22"/>
  <c r="B23"/>
  <c r="C23"/>
  <c r="L23"/>
  <c r="B24"/>
  <c r="C24"/>
  <c r="E24"/>
  <c r="I24" s="1"/>
  <c r="L24"/>
  <c r="P24"/>
  <c r="S24"/>
  <c r="Q24" s="1"/>
  <c r="T24"/>
  <c r="U24"/>
  <c r="W24"/>
  <c r="Y24"/>
  <c r="B25"/>
  <c r="C25"/>
  <c r="L25"/>
  <c r="P25"/>
  <c r="Q25"/>
  <c r="E161" s="1"/>
  <c r="S25"/>
  <c r="T25"/>
  <c r="U25"/>
  <c r="W25"/>
  <c r="Y25"/>
  <c r="B26"/>
  <c r="C26"/>
  <c r="D26"/>
  <c r="L26"/>
  <c r="P26"/>
  <c r="S26"/>
  <c r="Q26" s="1"/>
  <c r="T26"/>
  <c r="U26"/>
  <c r="W26"/>
  <c r="Y26"/>
  <c r="B27"/>
  <c r="C27"/>
  <c r="D27"/>
  <c r="L27"/>
  <c r="B28"/>
  <c r="C28"/>
  <c r="D28"/>
  <c r="L28"/>
  <c r="B29"/>
  <c r="C29"/>
  <c r="D29"/>
  <c r="E29"/>
  <c r="H29" s="1"/>
  <c r="L29"/>
  <c r="B30"/>
  <c r="C30"/>
  <c r="D30"/>
  <c r="E30"/>
  <c r="L30"/>
  <c r="B31"/>
  <c r="C31"/>
  <c r="D31"/>
  <c r="E31"/>
  <c r="H31" s="1"/>
  <c r="L31"/>
  <c r="R31"/>
  <c r="S31"/>
  <c r="T31"/>
  <c r="T33" s="1"/>
  <c r="U31"/>
  <c r="V31"/>
  <c r="W31"/>
  <c r="X31"/>
  <c r="X33" s="1"/>
  <c r="Y31"/>
  <c r="Z31"/>
  <c r="AA31"/>
  <c r="AB31"/>
  <c r="AB33" s="1"/>
  <c r="AC31"/>
  <c r="B32"/>
  <c r="C32"/>
  <c r="D32"/>
  <c r="L32"/>
  <c r="P32"/>
  <c r="S32"/>
  <c r="W32"/>
  <c r="AA32"/>
  <c r="B33"/>
  <c r="C33"/>
  <c r="D33"/>
  <c r="L33"/>
  <c r="P33"/>
  <c r="S33" s="1"/>
  <c r="R33"/>
  <c r="V33"/>
  <c r="W33"/>
  <c r="Z33"/>
  <c r="B34"/>
  <c r="C34"/>
  <c r="D34"/>
  <c r="E34"/>
  <c r="G34"/>
  <c r="H34"/>
  <c r="L34"/>
  <c r="P34"/>
  <c r="U34"/>
  <c r="Y34"/>
  <c r="AC34"/>
  <c r="B35"/>
  <c r="C35"/>
  <c r="D35"/>
  <c r="E35"/>
  <c r="I35" s="1"/>
  <c r="L35"/>
  <c r="B36"/>
  <c r="C36"/>
  <c r="D36"/>
  <c r="L36"/>
  <c r="B37"/>
  <c r="C37"/>
  <c r="D37"/>
  <c r="E37"/>
  <c r="I37" s="1"/>
  <c r="L37"/>
  <c r="B38"/>
  <c r="C38"/>
  <c r="D38"/>
  <c r="E38"/>
  <c r="I38" s="1"/>
  <c r="L38"/>
  <c r="B39"/>
  <c r="C39"/>
  <c r="D39"/>
  <c r="E39"/>
  <c r="I39" s="1"/>
  <c r="L39"/>
  <c r="B40"/>
  <c r="C40"/>
  <c r="D40"/>
  <c r="E40"/>
  <c r="I40" s="1"/>
  <c r="L40"/>
  <c r="B41"/>
  <c r="C41"/>
  <c r="D41"/>
  <c r="E41"/>
  <c r="H41" s="1"/>
  <c r="L41"/>
  <c r="B42"/>
  <c r="C42"/>
  <c r="D42"/>
  <c r="E42"/>
  <c r="G42" s="1"/>
  <c r="L42"/>
  <c r="B43"/>
  <c r="C43"/>
  <c r="D43"/>
  <c r="L43"/>
  <c r="B44"/>
  <c r="C44"/>
  <c r="D44"/>
  <c r="E44"/>
  <c r="H44" s="1"/>
  <c r="L44"/>
  <c r="B45"/>
  <c r="C45"/>
  <c r="D45"/>
  <c r="E45"/>
  <c r="I45" s="1"/>
  <c r="L45"/>
  <c r="N45"/>
  <c r="B46"/>
  <c r="C46"/>
  <c r="D46"/>
  <c r="L46"/>
  <c r="N46"/>
  <c r="B47"/>
  <c r="C47"/>
  <c r="D47"/>
  <c r="E47"/>
  <c r="G47" s="1"/>
  <c r="L47"/>
  <c r="B48"/>
  <c r="C48"/>
  <c r="D48"/>
  <c r="E48"/>
  <c r="G48" s="1"/>
  <c r="L48"/>
  <c r="B49"/>
  <c r="C49"/>
  <c r="D49"/>
  <c r="E49"/>
  <c r="G49" s="1"/>
  <c r="L49"/>
  <c r="B50"/>
  <c r="C50"/>
  <c r="D50"/>
  <c r="E50"/>
  <c r="G50" s="1"/>
  <c r="L50"/>
  <c r="B51"/>
  <c r="C51"/>
  <c r="D51"/>
  <c r="E51"/>
  <c r="G51" s="1"/>
  <c r="L51"/>
  <c r="B52"/>
  <c r="C52"/>
  <c r="D52"/>
  <c r="E52"/>
  <c r="G52" s="1"/>
  <c r="L52"/>
  <c r="B53"/>
  <c r="C53"/>
  <c r="D53"/>
  <c r="E53"/>
  <c r="G53" s="1"/>
  <c r="L53"/>
  <c r="B54"/>
  <c r="C54"/>
  <c r="D54"/>
  <c r="E54"/>
  <c r="G54" s="1"/>
  <c r="L54"/>
  <c r="B55"/>
  <c r="C55"/>
  <c r="D55"/>
  <c r="E55"/>
  <c r="G55" s="1"/>
  <c r="L55"/>
  <c r="B56"/>
  <c r="C56"/>
  <c r="D56"/>
  <c r="E56"/>
  <c r="G56" s="1"/>
  <c r="L56"/>
  <c r="B57"/>
  <c r="C57"/>
  <c r="D57"/>
  <c r="E57"/>
  <c r="G57" s="1"/>
  <c r="L57"/>
  <c r="B58"/>
  <c r="C58"/>
  <c r="D58"/>
  <c r="E58"/>
  <c r="G58" s="1"/>
  <c r="L58"/>
  <c r="B59"/>
  <c r="C59"/>
  <c r="D59"/>
  <c r="E59"/>
  <c r="G59" s="1"/>
  <c r="L59"/>
  <c r="B60"/>
  <c r="C60"/>
  <c r="D60"/>
  <c r="E60"/>
  <c r="G60" s="1"/>
  <c r="I60"/>
  <c r="L60"/>
  <c r="B61"/>
  <c r="C61"/>
  <c r="D61"/>
  <c r="E61"/>
  <c r="G61" s="1"/>
  <c r="H61"/>
  <c r="L61"/>
  <c r="B62"/>
  <c r="C62"/>
  <c r="D62"/>
  <c r="E62"/>
  <c r="G62" s="1"/>
  <c r="L62"/>
  <c r="B63"/>
  <c r="C63"/>
  <c r="D63"/>
  <c r="E63"/>
  <c r="G63" s="1"/>
  <c r="H63"/>
  <c r="I63"/>
  <c r="L63"/>
  <c r="B64"/>
  <c r="C64"/>
  <c r="D64"/>
  <c r="E64"/>
  <c r="G64" s="1"/>
  <c r="I64"/>
  <c r="L64"/>
  <c r="B65"/>
  <c r="C65"/>
  <c r="D65"/>
  <c r="E65"/>
  <c r="G65" s="1"/>
  <c r="H65"/>
  <c r="L65"/>
  <c r="B66"/>
  <c r="C66"/>
  <c r="D66"/>
  <c r="E66"/>
  <c r="G66" s="1"/>
  <c r="L66"/>
  <c r="B67"/>
  <c r="C67"/>
  <c r="D67"/>
  <c r="E67"/>
  <c r="G67" s="1"/>
  <c r="H67"/>
  <c r="I67"/>
  <c r="L67"/>
  <c r="B68"/>
  <c r="C68"/>
  <c r="D68"/>
  <c r="E68"/>
  <c r="G68" s="1"/>
  <c r="I68"/>
  <c r="L68"/>
  <c r="B69"/>
  <c r="C69"/>
  <c r="D69"/>
  <c r="L69"/>
  <c r="B70"/>
  <c r="C70"/>
  <c r="L70"/>
  <c r="B71"/>
  <c r="C71"/>
  <c r="L71"/>
  <c r="B72"/>
  <c r="C72"/>
  <c r="D72"/>
  <c r="L72"/>
  <c r="B73"/>
  <c r="C73"/>
  <c r="D73"/>
  <c r="E73"/>
  <c r="G73" s="1"/>
  <c r="I73"/>
  <c r="L73"/>
  <c r="B74"/>
  <c r="C74"/>
  <c r="D74"/>
  <c r="L74"/>
  <c r="B75"/>
  <c r="C75"/>
  <c r="L75"/>
  <c r="B76"/>
  <c r="C76"/>
  <c r="D76"/>
  <c r="E76"/>
  <c r="G76" s="1"/>
  <c r="L76"/>
  <c r="B77"/>
  <c r="C77"/>
  <c r="D77"/>
  <c r="E77"/>
  <c r="G77" s="1"/>
  <c r="H77"/>
  <c r="I77"/>
  <c r="L77"/>
  <c r="B78"/>
  <c r="C78"/>
  <c r="D78"/>
  <c r="E78"/>
  <c r="G78" s="1"/>
  <c r="I78"/>
  <c r="L78"/>
  <c r="B79"/>
  <c r="C79"/>
  <c r="D79"/>
  <c r="L79"/>
  <c r="B80"/>
  <c r="C80"/>
  <c r="D80"/>
  <c r="E80"/>
  <c r="G80" s="1"/>
  <c r="L80"/>
  <c r="B81"/>
  <c r="C81"/>
  <c r="D81"/>
  <c r="E81"/>
  <c r="G81" s="1"/>
  <c r="H81"/>
  <c r="I81"/>
  <c r="L81"/>
  <c r="B82"/>
  <c r="C82"/>
  <c r="D82"/>
  <c r="E82"/>
  <c r="G82" s="1"/>
  <c r="I82"/>
  <c r="L82"/>
  <c r="B83"/>
  <c r="C83"/>
  <c r="D83"/>
  <c r="E83"/>
  <c r="G83" s="1"/>
  <c r="H83"/>
  <c r="L83"/>
  <c r="B84"/>
  <c r="C84"/>
  <c r="D84"/>
  <c r="E84"/>
  <c r="G84" s="1"/>
  <c r="L84"/>
  <c r="B85"/>
  <c r="C85"/>
  <c r="D85"/>
  <c r="E85"/>
  <c r="G85" s="1"/>
  <c r="H85"/>
  <c r="I85"/>
  <c r="L85"/>
  <c r="B86"/>
  <c r="C86"/>
  <c r="D86"/>
  <c r="E86"/>
  <c r="G86" s="1"/>
  <c r="I86"/>
  <c r="L86"/>
  <c r="B87"/>
  <c r="C87"/>
  <c r="D87"/>
  <c r="E87"/>
  <c r="G87" s="1"/>
  <c r="H87"/>
  <c r="L87"/>
  <c r="B88"/>
  <c r="C88"/>
  <c r="D88"/>
  <c r="E88"/>
  <c r="G88" s="1"/>
  <c r="L88"/>
  <c r="B89"/>
  <c r="C89"/>
  <c r="D89"/>
  <c r="E89"/>
  <c r="G89" s="1"/>
  <c r="I89"/>
  <c r="L89"/>
  <c r="B90"/>
  <c r="C90"/>
  <c r="D90"/>
  <c r="E90"/>
  <c r="G90" s="1"/>
  <c r="H90"/>
  <c r="L90"/>
  <c r="B91"/>
  <c r="C91"/>
  <c r="D91"/>
  <c r="E91"/>
  <c r="G91" s="1"/>
  <c r="L91"/>
  <c r="B92"/>
  <c r="C92"/>
  <c r="D92"/>
  <c r="L92"/>
  <c r="B93"/>
  <c r="C93"/>
  <c r="D93"/>
  <c r="E93"/>
  <c r="G93" s="1"/>
  <c r="I93"/>
  <c r="L93"/>
  <c r="B94"/>
  <c r="C94"/>
  <c r="D94"/>
  <c r="E94"/>
  <c r="G94" s="1"/>
  <c r="H94"/>
  <c r="L94"/>
  <c r="B95"/>
  <c r="C95"/>
  <c r="D95"/>
  <c r="E95"/>
  <c r="G95" s="1"/>
  <c r="L95"/>
  <c r="B96"/>
  <c r="C96"/>
  <c r="D96"/>
  <c r="L96"/>
  <c r="B97"/>
  <c r="C97"/>
  <c r="D97"/>
  <c r="E97"/>
  <c r="G97" s="1"/>
  <c r="H97"/>
  <c r="L97"/>
  <c r="B98"/>
  <c r="C98"/>
  <c r="D98"/>
  <c r="E98"/>
  <c r="G98" s="1"/>
  <c r="H98"/>
  <c r="L98"/>
  <c r="B99"/>
  <c r="C99"/>
  <c r="D99"/>
  <c r="L99"/>
  <c r="B100"/>
  <c r="C100"/>
  <c r="D100"/>
  <c r="E100"/>
  <c r="G100" s="1"/>
  <c r="H100"/>
  <c r="L100"/>
  <c r="B101"/>
  <c r="C101"/>
  <c r="D101"/>
  <c r="E101"/>
  <c r="G101" s="1"/>
  <c r="H101"/>
  <c r="L101"/>
  <c r="B102"/>
  <c r="C102"/>
  <c r="D102"/>
  <c r="E102"/>
  <c r="G102" s="1"/>
  <c r="H102"/>
  <c r="L102"/>
  <c r="B103"/>
  <c r="C103"/>
  <c r="D103"/>
  <c r="E103"/>
  <c r="G103" s="1"/>
  <c r="H103"/>
  <c r="L103"/>
  <c r="B104"/>
  <c r="C104"/>
  <c r="D104"/>
  <c r="E104"/>
  <c r="G104" s="1"/>
  <c r="H104"/>
  <c r="L104"/>
  <c r="B105"/>
  <c r="C105"/>
  <c r="D105"/>
  <c r="E105"/>
  <c r="G105" s="1"/>
  <c r="H105"/>
  <c r="L105"/>
  <c r="B106"/>
  <c r="C106"/>
  <c r="D106"/>
  <c r="L106"/>
  <c r="B107"/>
  <c r="C107"/>
  <c r="D107"/>
  <c r="E107"/>
  <c r="G107" s="1"/>
  <c r="H107"/>
  <c r="L107"/>
  <c r="B108"/>
  <c r="C108"/>
  <c r="D108"/>
  <c r="E108"/>
  <c r="G108" s="1"/>
  <c r="H108"/>
  <c r="L108"/>
  <c r="B109"/>
  <c r="C109"/>
  <c r="D109"/>
  <c r="L109"/>
  <c r="B110"/>
  <c r="C110"/>
  <c r="D110"/>
  <c r="E110"/>
  <c r="G110" s="1"/>
  <c r="H110"/>
  <c r="L110"/>
  <c r="B111"/>
  <c r="C111"/>
  <c r="D111"/>
  <c r="E111"/>
  <c r="G111" s="1"/>
  <c r="H111"/>
  <c r="L111"/>
  <c r="B112"/>
  <c r="C112"/>
  <c r="D112"/>
  <c r="L112"/>
  <c r="B113"/>
  <c r="C113"/>
  <c r="D113"/>
  <c r="L113"/>
  <c r="B114"/>
  <c r="C114"/>
  <c r="D114"/>
  <c r="E114"/>
  <c r="G114" s="1"/>
  <c r="H114"/>
  <c r="L114"/>
  <c r="B115"/>
  <c r="C115"/>
  <c r="D115"/>
  <c r="E115"/>
  <c r="G115" s="1"/>
  <c r="H115"/>
  <c r="L115"/>
  <c r="B116"/>
  <c r="C116"/>
  <c r="D116"/>
  <c r="L116"/>
  <c r="B117"/>
  <c r="C117"/>
  <c r="D117"/>
  <c r="E117"/>
  <c r="G117" s="1"/>
  <c r="H117"/>
  <c r="L117"/>
  <c r="B118"/>
  <c r="C118"/>
  <c r="D118"/>
  <c r="E118"/>
  <c r="G118" s="1"/>
  <c r="H118"/>
  <c r="L118"/>
  <c r="B119"/>
  <c r="C119"/>
  <c r="D119"/>
  <c r="L119"/>
  <c r="B120"/>
  <c r="C120"/>
  <c r="D120"/>
  <c r="E120"/>
  <c r="G120" s="1"/>
  <c r="H120"/>
  <c r="L120"/>
  <c r="B121"/>
  <c r="C121"/>
  <c r="D121"/>
  <c r="E121"/>
  <c r="G121" s="1"/>
  <c r="H121"/>
  <c r="L121"/>
  <c r="B122"/>
  <c r="C122"/>
  <c r="D122"/>
  <c r="E122"/>
  <c r="G122" s="1"/>
  <c r="H122"/>
  <c r="L122"/>
  <c r="B123"/>
  <c r="C123"/>
  <c r="D123"/>
  <c r="E123"/>
  <c r="G123" s="1"/>
  <c r="H123"/>
  <c r="L123"/>
  <c r="B124"/>
  <c r="C124"/>
  <c r="D124"/>
  <c r="E124"/>
  <c r="G124" s="1"/>
  <c r="H124"/>
  <c r="L124"/>
  <c r="B125"/>
  <c r="C125"/>
  <c r="D125"/>
  <c r="E125"/>
  <c r="G125" s="1"/>
  <c r="H125"/>
  <c r="L125"/>
  <c r="B126"/>
  <c r="C126"/>
  <c r="D126"/>
  <c r="L126"/>
  <c r="B127"/>
  <c r="C127"/>
  <c r="D127"/>
  <c r="E127"/>
  <c r="G127" s="1"/>
  <c r="H127"/>
  <c r="L127"/>
  <c r="B128"/>
  <c r="C128"/>
  <c r="D128"/>
  <c r="E128"/>
  <c r="G128" s="1"/>
  <c r="H128"/>
  <c r="L128"/>
  <c r="B129"/>
  <c r="C129"/>
  <c r="D129"/>
  <c r="L129"/>
  <c r="B130"/>
  <c r="C130"/>
  <c r="D130"/>
  <c r="E130"/>
  <c r="G130" s="1"/>
  <c r="H130"/>
  <c r="L130"/>
  <c r="B131"/>
  <c r="C131"/>
  <c r="D131"/>
  <c r="E131"/>
  <c r="G131" s="1"/>
  <c r="H131"/>
  <c r="L131"/>
  <c r="B132"/>
  <c r="C132"/>
  <c r="D132"/>
  <c r="L132"/>
  <c r="B133"/>
  <c r="C133"/>
  <c r="D133"/>
  <c r="L133"/>
  <c r="B134"/>
  <c r="C134"/>
  <c r="D134"/>
  <c r="E134"/>
  <c r="G134" s="1"/>
  <c r="H134"/>
  <c r="L134"/>
  <c r="B135"/>
  <c r="C135"/>
  <c r="D135"/>
  <c r="E135"/>
  <c r="G135" s="1"/>
  <c r="H135"/>
  <c r="L135"/>
  <c r="B136"/>
  <c r="C136"/>
  <c r="D136"/>
  <c r="L136"/>
  <c r="B137"/>
  <c r="C137"/>
  <c r="D137"/>
  <c r="E137"/>
  <c r="G137" s="1"/>
  <c r="H137"/>
  <c r="L137"/>
  <c r="B138"/>
  <c r="C138"/>
  <c r="D138"/>
  <c r="E138"/>
  <c r="G138" s="1"/>
  <c r="H138"/>
  <c r="L138"/>
  <c r="B139"/>
  <c r="C139"/>
  <c r="D139"/>
  <c r="L139"/>
  <c r="B140"/>
  <c r="C140"/>
  <c r="D140"/>
  <c r="E140"/>
  <c r="G140" s="1"/>
  <c r="H140"/>
  <c r="L140"/>
  <c r="B141"/>
  <c r="C141"/>
  <c r="D141"/>
  <c r="E141"/>
  <c r="G141" s="1"/>
  <c r="H141"/>
  <c r="L141"/>
  <c r="B142"/>
  <c r="C142"/>
  <c r="D142"/>
  <c r="E142"/>
  <c r="G142" s="1"/>
  <c r="H142"/>
  <c r="L142"/>
  <c r="B143"/>
  <c r="C143"/>
  <c r="D143"/>
  <c r="E143"/>
  <c r="G143" s="1"/>
  <c r="H143"/>
  <c r="L143"/>
  <c r="B144"/>
  <c r="C144"/>
  <c r="D144"/>
  <c r="E144"/>
  <c r="G144" s="1"/>
  <c r="H144"/>
  <c r="L144"/>
  <c r="B145"/>
  <c r="C145"/>
  <c r="D145"/>
  <c r="E145"/>
  <c r="G145" s="1"/>
  <c r="H145"/>
  <c r="L145"/>
  <c r="B146"/>
  <c r="C146"/>
  <c r="D146"/>
  <c r="L146"/>
  <c r="B147"/>
  <c r="C147"/>
  <c r="D147"/>
  <c r="E147"/>
  <c r="G147" s="1"/>
  <c r="H147"/>
  <c r="L147"/>
  <c r="B148"/>
  <c r="C148"/>
  <c r="D148"/>
  <c r="E148"/>
  <c r="G148" s="1"/>
  <c r="H148"/>
  <c r="L148"/>
  <c r="B149"/>
  <c r="C149"/>
  <c r="D149"/>
  <c r="L149"/>
  <c r="B150"/>
  <c r="C150"/>
  <c r="D150"/>
  <c r="E150"/>
  <c r="G150" s="1"/>
  <c r="H150"/>
  <c r="L150"/>
  <c r="B151"/>
  <c r="C151"/>
  <c r="D151"/>
  <c r="E151"/>
  <c r="G151" s="1"/>
  <c r="H151"/>
  <c r="L151"/>
  <c r="B152"/>
  <c r="C152"/>
  <c r="D152"/>
  <c r="L152"/>
  <c r="B153"/>
  <c r="C153"/>
  <c r="D153"/>
  <c r="L153"/>
  <c r="B154"/>
  <c r="C154"/>
  <c r="D154"/>
  <c r="E154"/>
  <c r="G154" s="1"/>
  <c r="H154"/>
  <c r="L154"/>
  <c r="B155"/>
  <c r="C155"/>
  <c r="D155"/>
  <c r="E155"/>
  <c r="G155" s="1"/>
  <c r="H155"/>
  <c r="L155"/>
  <c r="B156"/>
  <c r="C156"/>
  <c r="D156"/>
  <c r="L156"/>
  <c r="B157"/>
  <c r="C157"/>
  <c r="D157"/>
  <c r="E157"/>
  <c r="G157" s="1"/>
  <c r="H157"/>
  <c r="L157"/>
  <c r="B158"/>
  <c r="C158"/>
  <c r="D158"/>
  <c r="E158"/>
  <c r="G158" s="1"/>
  <c r="H158"/>
  <c r="L158"/>
  <c r="B159"/>
  <c r="C159"/>
  <c r="D159"/>
  <c r="L159"/>
  <c r="B160"/>
  <c r="C160"/>
  <c r="D160"/>
  <c r="L160"/>
  <c r="B161"/>
  <c r="C161"/>
  <c r="D161"/>
  <c r="L161"/>
  <c r="B162"/>
  <c r="C162"/>
  <c r="D162"/>
  <c r="L162"/>
  <c r="B163"/>
  <c r="C163"/>
  <c r="D163"/>
  <c r="L163"/>
  <c r="B164"/>
  <c r="C164"/>
  <c r="D164"/>
  <c r="L164"/>
  <c r="B165"/>
  <c r="C165"/>
  <c r="D165"/>
  <c r="L165"/>
  <c r="B166"/>
  <c r="C166"/>
  <c r="D166"/>
  <c r="L166"/>
  <c r="B167"/>
  <c r="C167"/>
  <c r="D167"/>
  <c r="E167"/>
  <c r="G167" s="1"/>
  <c r="H167"/>
  <c r="L167"/>
  <c r="B168"/>
  <c r="C168"/>
  <c r="D168"/>
  <c r="E168"/>
  <c r="G168" s="1"/>
  <c r="H168"/>
  <c r="L168"/>
  <c r="B169"/>
  <c r="C169"/>
  <c r="D169"/>
  <c r="L169"/>
  <c r="B170"/>
  <c r="C170"/>
  <c r="D170"/>
  <c r="E170"/>
  <c r="G170" s="1"/>
  <c r="H170"/>
  <c r="L170"/>
  <c r="B171"/>
  <c r="C171"/>
  <c r="D171"/>
  <c r="E171"/>
  <c r="G171" s="1"/>
  <c r="H171"/>
  <c r="L171"/>
  <c r="B172"/>
  <c r="C172"/>
  <c r="D172"/>
  <c r="L172"/>
  <c r="B173"/>
  <c r="C173"/>
  <c r="D173"/>
  <c r="L173"/>
  <c r="B174"/>
  <c r="C174"/>
  <c r="D174"/>
  <c r="E174"/>
  <c r="G174" s="1"/>
  <c r="H174"/>
  <c r="L174"/>
  <c r="B175"/>
  <c r="C175"/>
  <c r="D175"/>
  <c r="E175"/>
  <c r="G175" s="1"/>
  <c r="H175"/>
  <c r="L175"/>
  <c r="B176"/>
  <c r="C176"/>
  <c r="D176"/>
  <c r="L176"/>
  <c r="B177"/>
  <c r="C177"/>
  <c r="D177"/>
  <c r="E177"/>
  <c r="G177" s="1"/>
  <c r="H177"/>
  <c r="L177"/>
  <c r="B178"/>
  <c r="C178"/>
  <c r="D178"/>
  <c r="E178"/>
  <c r="G178" s="1"/>
  <c r="H178"/>
  <c r="L178"/>
  <c r="B179"/>
  <c r="C179"/>
  <c r="D179"/>
  <c r="L179"/>
  <c r="B180"/>
  <c r="C180"/>
  <c r="D180"/>
  <c r="E180"/>
  <c r="G180" s="1"/>
  <c r="H180"/>
  <c r="L180"/>
  <c r="B181"/>
  <c r="C181"/>
  <c r="D181"/>
  <c r="E181"/>
  <c r="G181" s="1"/>
  <c r="H181"/>
  <c r="L181"/>
  <c r="B182"/>
  <c r="C182"/>
  <c r="D182"/>
  <c r="E182"/>
  <c r="G182" s="1"/>
  <c r="H182"/>
  <c r="L182"/>
  <c r="B183"/>
  <c r="C183"/>
  <c r="D183"/>
  <c r="E183"/>
  <c r="G183" s="1"/>
  <c r="H183"/>
  <c r="L183"/>
  <c r="B184"/>
  <c r="C184"/>
  <c r="D184"/>
  <c r="E184"/>
  <c r="G184" s="1"/>
  <c r="H184"/>
  <c r="L184"/>
  <c r="B185"/>
  <c r="C185"/>
  <c r="D185"/>
  <c r="E185"/>
  <c r="G185" s="1"/>
  <c r="H185"/>
  <c r="L185"/>
  <c r="B186"/>
  <c r="C186"/>
  <c r="D186"/>
  <c r="L186"/>
  <c r="B187"/>
  <c r="C187"/>
  <c r="D187"/>
  <c r="E187"/>
  <c r="G187" s="1"/>
  <c r="H187"/>
  <c r="L187"/>
  <c r="B188"/>
  <c r="C188"/>
  <c r="D188"/>
  <c r="E188"/>
  <c r="G188" s="1"/>
  <c r="H188"/>
  <c r="L188"/>
  <c r="B189"/>
  <c r="C189"/>
  <c r="D189"/>
  <c r="L189"/>
  <c r="B190"/>
  <c r="C190"/>
  <c r="D190"/>
  <c r="E190"/>
  <c r="G190" s="1"/>
  <c r="H190"/>
  <c r="L190"/>
  <c r="B191"/>
  <c r="C191"/>
  <c r="D191"/>
  <c r="E191"/>
  <c r="G191" s="1"/>
  <c r="H191"/>
  <c r="L191"/>
  <c r="B192"/>
  <c r="C192"/>
  <c r="D192"/>
  <c r="L192"/>
  <c r="B193"/>
  <c r="C193"/>
  <c r="D193"/>
  <c r="L193"/>
  <c r="B194"/>
  <c r="C194"/>
  <c r="D194"/>
  <c r="E194"/>
  <c r="G194" s="1"/>
  <c r="H194"/>
  <c r="L194"/>
  <c r="B195"/>
  <c r="C195"/>
  <c r="D195"/>
  <c r="E195"/>
  <c r="G195" s="1"/>
  <c r="H195"/>
  <c r="L195"/>
  <c r="B196"/>
  <c r="C196"/>
  <c r="D196"/>
  <c r="L196"/>
  <c r="B197"/>
  <c r="C197"/>
  <c r="D197"/>
  <c r="E197"/>
  <c r="G197" s="1"/>
  <c r="H197"/>
  <c r="L197"/>
  <c r="B198"/>
  <c r="C198"/>
  <c r="D198"/>
  <c r="E198"/>
  <c r="G198" s="1"/>
  <c r="H198"/>
  <c r="L198"/>
  <c r="B199"/>
  <c r="C199"/>
  <c r="D199"/>
  <c r="L199"/>
  <c r="B200"/>
  <c r="C200"/>
  <c r="D200"/>
  <c r="E200"/>
  <c r="G200" s="1"/>
  <c r="H200"/>
  <c r="L200"/>
  <c r="B201"/>
  <c r="C201"/>
  <c r="D201"/>
  <c r="E201"/>
  <c r="G201" s="1"/>
  <c r="H201"/>
  <c r="L201"/>
  <c r="B202"/>
  <c r="C202"/>
  <c r="D202"/>
  <c r="E202"/>
  <c r="G202" s="1"/>
  <c r="H202"/>
  <c r="L202"/>
  <c r="B203"/>
  <c r="C203"/>
  <c r="D203"/>
  <c r="E203"/>
  <c r="G203" s="1"/>
  <c r="H203"/>
  <c r="L203"/>
  <c r="B204"/>
  <c r="C204"/>
  <c r="D204"/>
  <c r="E204"/>
  <c r="G204" s="1"/>
  <c r="H204"/>
  <c r="L204"/>
  <c r="B205"/>
  <c r="C205"/>
  <c r="D205"/>
  <c r="E205"/>
  <c r="G205" s="1"/>
  <c r="H205"/>
  <c r="L205"/>
  <c r="B206"/>
  <c r="C206"/>
  <c r="D206"/>
  <c r="E206"/>
  <c r="G206" s="1"/>
  <c r="H206"/>
  <c r="L206"/>
  <c r="B207"/>
  <c r="C207"/>
  <c r="D207"/>
  <c r="E207"/>
  <c r="G207" s="1"/>
  <c r="H207"/>
  <c r="L207"/>
  <c r="B208"/>
  <c r="C208"/>
  <c r="D208"/>
  <c r="E208"/>
  <c r="G208" s="1"/>
  <c r="H208"/>
  <c r="L208"/>
  <c r="B209"/>
  <c r="C209"/>
  <c r="D209"/>
  <c r="E209"/>
  <c r="G209" s="1"/>
  <c r="H209"/>
  <c r="L209"/>
  <c r="B210"/>
  <c r="C210"/>
  <c r="D210"/>
  <c r="E210"/>
  <c r="G210" s="1"/>
  <c r="H210"/>
  <c r="L210"/>
  <c r="B211"/>
  <c r="C211"/>
  <c r="D211"/>
  <c r="E211"/>
  <c r="G211" s="1"/>
  <c r="H211"/>
  <c r="L211"/>
  <c r="B212"/>
  <c r="C212"/>
  <c r="D212"/>
  <c r="L212"/>
  <c r="B213"/>
  <c r="C213"/>
  <c r="D213"/>
  <c r="L213"/>
  <c r="B214"/>
  <c r="C214"/>
  <c r="D214"/>
  <c r="E214"/>
  <c r="G214" s="1"/>
  <c r="H214"/>
  <c r="L214"/>
  <c r="B215"/>
  <c r="C215"/>
  <c r="D215"/>
  <c r="E215"/>
  <c r="G215" s="1"/>
  <c r="H215"/>
  <c r="L215"/>
  <c r="B216"/>
  <c r="C216"/>
  <c r="D216"/>
  <c r="E216"/>
  <c r="G216" s="1"/>
  <c r="H216"/>
  <c r="L216"/>
  <c r="B217"/>
  <c r="C217"/>
  <c r="D217"/>
  <c r="E217"/>
  <c r="G217" s="1"/>
  <c r="H217"/>
  <c r="L217"/>
  <c r="B218"/>
  <c r="C218"/>
  <c r="D218"/>
  <c r="E218"/>
  <c r="G218" s="1"/>
  <c r="H218"/>
  <c r="L218"/>
  <c r="B219"/>
  <c r="C219"/>
  <c r="D219"/>
  <c r="E219"/>
  <c r="G219" s="1"/>
  <c r="H219"/>
  <c r="L219"/>
  <c r="B220"/>
  <c r="C220"/>
  <c r="D220"/>
  <c r="E220"/>
  <c r="G220" s="1"/>
  <c r="H220"/>
  <c r="L220"/>
  <c r="B221"/>
  <c r="C221"/>
  <c r="D221"/>
  <c r="E221"/>
  <c r="G221" s="1"/>
  <c r="H221"/>
  <c r="L221"/>
  <c r="B222"/>
  <c r="C222"/>
  <c r="D222"/>
  <c r="E222"/>
  <c r="G222" s="1"/>
  <c r="H222"/>
  <c r="L222"/>
  <c r="B223"/>
  <c r="C223"/>
  <c r="D223"/>
  <c r="E223"/>
  <c r="G223" s="1"/>
  <c r="H223"/>
  <c r="L223"/>
  <c r="B224"/>
  <c r="C224"/>
  <c r="D224"/>
  <c r="E224"/>
  <c r="G224" s="1"/>
  <c r="H224"/>
  <c r="L224"/>
  <c r="B225"/>
  <c r="C225"/>
  <c r="D225"/>
  <c r="E225"/>
  <c r="G225" s="1"/>
  <c r="H225"/>
  <c r="L225"/>
  <c r="B226"/>
  <c r="C226"/>
  <c r="D226"/>
  <c r="E226"/>
  <c r="G226" s="1"/>
  <c r="H226"/>
  <c r="L226"/>
  <c r="B227"/>
  <c r="C227"/>
  <c r="D227"/>
  <c r="E227"/>
  <c r="G227" s="1"/>
  <c r="H227"/>
  <c r="L227"/>
  <c r="B228"/>
  <c r="C228"/>
  <c r="D228"/>
  <c r="E228"/>
  <c r="G228" s="1"/>
  <c r="H228"/>
  <c r="L228"/>
  <c r="B229"/>
  <c r="C229"/>
  <c r="D229"/>
  <c r="E229"/>
  <c r="G229" s="1"/>
  <c r="H229"/>
  <c r="L229"/>
  <c r="B230"/>
  <c r="C230"/>
  <c r="D230"/>
  <c r="E230"/>
  <c r="G230" s="1"/>
  <c r="H230"/>
  <c r="L230"/>
  <c r="B231"/>
  <c r="C231"/>
  <c r="D231"/>
  <c r="E231"/>
  <c r="G231" s="1"/>
  <c r="H231"/>
  <c r="L231"/>
  <c r="B232"/>
  <c r="C232"/>
  <c r="D232"/>
  <c r="L232"/>
  <c r="B233"/>
  <c r="C233"/>
  <c r="D233"/>
  <c r="L233"/>
  <c r="B234"/>
  <c r="C234"/>
  <c r="D234"/>
  <c r="E234"/>
  <c r="G234" s="1"/>
  <c r="H234"/>
  <c r="L234"/>
  <c r="B235"/>
  <c r="C235"/>
  <c r="D235"/>
  <c r="E235"/>
  <c r="G235" s="1"/>
  <c r="H235"/>
  <c r="L235"/>
  <c r="B236"/>
  <c r="C236"/>
  <c r="D236"/>
  <c r="E236"/>
  <c r="G236" s="1"/>
  <c r="H236"/>
  <c r="L236"/>
  <c r="B237"/>
  <c r="C237"/>
  <c r="D237"/>
  <c r="E237"/>
  <c r="G237" s="1"/>
  <c r="H237"/>
  <c r="L237"/>
  <c r="B238"/>
  <c r="C238"/>
  <c r="D238"/>
  <c r="E238"/>
  <c r="G238" s="1"/>
  <c r="H238"/>
  <c r="L238"/>
  <c r="B239"/>
  <c r="C239"/>
  <c r="D239"/>
  <c r="E239"/>
  <c r="G239" s="1"/>
  <c r="H239"/>
  <c r="L239"/>
  <c r="B240"/>
  <c r="C240"/>
  <c r="D240"/>
  <c r="E240"/>
  <c r="G240" s="1"/>
  <c r="H240"/>
  <c r="L240"/>
  <c r="B241"/>
  <c r="C241"/>
  <c r="D241"/>
  <c r="E241"/>
  <c r="G241" s="1"/>
  <c r="H241"/>
  <c r="L241"/>
  <c r="B242"/>
  <c r="C242"/>
  <c r="D242"/>
  <c r="E242"/>
  <c r="G242" s="1"/>
  <c r="H242"/>
  <c r="L242"/>
  <c r="B243"/>
  <c r="C243"/>
  <c r="D243"/>
  <c r="E243"/>
  <c r="G243" s="1"/>
  <c r="H243"/>
  <c r="L243"/>
  <c r="B244"/>
  <c r="C244"/>
  <c r="D244"/>
  <c r="E244"/>
  <c r="G244" s="1"/>
  <c r="H244"/>
  <c r="L244"/>
  <c r="B245"/>
  <c r="C245"/>
  <c r="D245"/>
  <c r="E245"/>
  <c r="G245" s="1"/>
  <c r="H245"/>
  <c r="L245"/>
  <c r="B246"/>
  <c r="C246"/>
  <c r="D246"/>
  <c r="E246"/>
  <c r="G246" s="1"/>
  <c r="H246"/>
  <c r="L246"/>
  <c r="B247"/>
  <c r="C247"/>
  <c r="D247"/>
  <c r="E247"/>
  <c r="G247" s="1"/>
  <c r="H247"/>
  <c r="L247"/>
  <c r="B248"/>
  <c r="C248"/>
  <c r="D248"/>
  <c r="E248"/>
  <c r="G248" s="1"/>
  <c r="H248"/>
  <c r="L248"/>
  <c r="B249"/>
  <c r="C249"/>
  <c r="D249"/>
  <c r="E249"/>
  <c r="G249" s="1"/>
  <c r="H249"/>
  <c r="L249"/>
  <c r="B250"/>
  <c r="C250"/>
  <c r="D250"/>
  <c r="E250"/>
  <c r="G250" s="1"/>
  <c r="H250"/>
  <c r="L250"/>
  <c r="B251"/>
  <c r="C251"/>
  <c r="D251"/>
  <c r="E251"/>
  <c r="G251" s="1"/>
  <c r="H251"/>
  <c r="L251"/>
  <c r="B252"/>
  <c r="C252"/>
  <c r="D252"/>
  <c r="L252"/>
  <c r="B253"/>
  <c r="C253"/>
  <c r="D253"/>
  <c r="L253"/>
  <c r="B254"/>
  <c r="C254"/>
  <c r="D254"/>
  <c r="E254"/>
  <c r="G254" s="1"/>
  <c r="H254"/>
  <c r="L254"/>
  <c r="B255"/>
  <c r="C255"/>
  <c r="D255"/>
  <c r="E255"/>
  <c r="G255" s="1"/>
  <c r="H255"/>
  <c r="L255"/>
  <c r="B256"/>
  <c r="C256"/>
  <c r="D256"/>
  <c r="E256"/>
  <c r="G256" s="1"/>
  <c r="H256"/>
  <c r="L256"/>
  <c r="B257"/>
  <c r="C257"/>
  <c r="D257"/>
  <c r="E257"/>
  <c r="G257" s="1"/>
  <c r="H257"/>
  <c r="L257"/>
  <c r="B258"/>
  <c r="C258"/>
  <c r="D258"/>
  <c r="E258"/>
  <c r="G258" s="1"/>
  <c r="H258"/>
  <c r="L258"/>
  <c r="B259"/>
  <c r="C259"/>
  <c r="D259"/>
  <c r="E259"/>
  <c r="G259" s="1"/>
  <c r="H259"/>
  <c r="L259"/>
  <c r="B260"/>
  <c r="C260"/>
  <c r="D260"/>
  <c r="E260"/>
  <c r="G260" s="1"/>
  <c r="H260"/>
  <c r="L260"/>
  <c r="B261"/>
  <c r="C261"/>
  <c r="D261"/>
  <c r="E261"/>
  <c r="G261" s="1"/>
  <c r="H261"/>
  <c r="L261"/>
  <c r="B262"/>
  <c r="C262"/>
  <c r="D262"/>
  <c r="E262"/>
  <c r="G262" s="1"/>
  <c r="H262"/>
  <c r="L262"/>
  <c r="B263"/>
  <c r="C263"/>
  <c r="D263"/>
  <c r="E263"/>
  <c r="G263" s="1"/>
  <c r="H263"/>
  <c r="L263"/>
  <c r="B264"/>
  <c r="C264"/>
  <c r="D264"/>
  <c r="E264"/>
  <c r="G264" s="1"/>
  <c r="H264"/>
  <c r="L264"/>
  <c r="B265"/>
  <c r="C265"/>
  <c r="D265"/>
  <c r="E265"/>
  <c r="G265" s="1"/>
  <c r="H265"/>
  <c r="L265"/>
  <c r="B266"/>
  <c r="C266"/>
  <c r="D266"/>
  <c r="E266"/>
  <c r="G266" s="1"/>
  <c r="H266"/>
  <c r="L266"/>
  <c r="B267"/>
  <c r="C267"/>
  <c r="D267"/>
  <c r="E267"/>
  <c r="G267" s="1"/>
  <c r="H267"/>
  <c r="L267"/>
  <c r="B268"/>
  <c r="C268"/>
  <c r="D268"/>
  <c r="E268"/>
  <c r="G268" s="1"/>
  <c r="H268"/>
  <c r="L268"/>
  <c r="B269"/>
  <c r="C269"/>
  <c r="D269"/>
  <c r="E269"/>
  <c r="G269" s="1"/>
  <c r="H269"/>
  <c r="L269"/>
  <c r="B270"/>
  <c r="C270"/>
  <c r="D270"/>
  <c r="E270"/>
  <c r="G270" s="1"/>
  <c r="H270"/>
  <c r="L270"/>
  <c r="B271"/>
  <c r="C271"/>
  <c r="D271"/>
  <c r="E271"/>
  <c r="G271" s="1"/>
  <c r="H271"/>
  <c r="L271"/>
  <c r="B272"/>
  <c r="C272"/>
  <c r="D272"/>
  <c r="E272"/>
  <c r="G272" s="1"/>
  <c r="H272"/>
  <c r="L272"/>
  <c r="B273"/>
  <c r="C273"/>
  <c r="D273"/>
  <c r="E273"/>
  <c r="G273" s="1"/>
  <c r="H273"/>
  <c r="L273"/>
  <c r="B274"/>
  <c r="C274"/>
  <c r="D274"/>
  <c r="E274"/>
  <c r="G274" s="1"/>
  <c r="H274"/>
  <c r="L274"/>
  <c r="B275"/>
  <c r="C275"/>
  <c r="D275"/>
  <c r="E275"/>
  <c r="G275" s="1"/>
  <c r="H275"/>
  <c r="L275"/>
  <c r="B276"/>
  <c r="C276"/>
  <c r="D276"/>
  <c r="E276"/>
  <c r="G276" s="1"/>
  <c r="H276"/>
  <c r="L276"/>
  <c r="B277"/>
  <c r="C277"/>
  <c r="D277"/>
  <c r="E277"/>
  <c r="G277" s="1"/>
  <c r="H277"/>
  <c r="L277"/>
  <c r="B278"/>
  <c r="C278"/>
  <c r="D278"/>
  <c r="E278"/>
  <c r="G278" s="1"/>
  <c r="H278"/>
  <c r="L278"/>
  <c r="B279"/>
  <c r="C279"/>
  <c r="D279"/>
  <c r="E279"/>
  <c r="G279" s="1"/>
  <c r="H279"/>
  <c r="L279"/>
  <c r="B280"/>
  <c r="C280"/>
  <c r="D280"/>
  <c r="E280"/>
  <c r="G280" s="1"/>
  <c r="H280"/>
  <c r="L280"/>
  <c r="B281"/>
  <c r="C281"/>
  <c r="D281"/>
  <c r="E281"/>
  <c r="G281" s="1"/>
  <c r="H281"/>
  <c r="L281"/>
  <c r="B282"/>
  <c r="C282"/>
  <c r="D282"/>
  <c r="E282"/>
  <c r="G282" s="1"/>
  <c r="H282"/>
  <c r="L282"/>
  <c r="B283"/>
  <c r="C283"/>
  <c r="D283"/>
  <c r="E283"/>
  <c r="G283" s="1"/>
  <c r="H283"/>
  <c r="L283"/>
  <c r="B284"/>
  <c r="C284"/>
  <c r="D284"/>
  <c r="E284"/>
  <c r="G284" s="1"/>
  <c r="H284"/>
  <c r="L284"/>
  <c r="B285"/>
  <c r="C285"/>
  <c r="D285"/>
  <c r="E285"/>
  <c r="G285" s="1"/>
  <c r="H285"/>
  <c r="L285"/>
  <c r="B286"/>
  <c r="C286"/>
  <c r="D286"/>
  <c r="E286"/>
  <c r="G286" s="1"/>
  <c r="H286"/>
  <c r="L286"/>
  <c r="B287"/>
  <c r="C287"/>
  <c r="D287"/>
  <c r="E287"/>
  <c r="G287" s="1"/>
  <c r="H287"/>
  <c r="L287"/>
  <c r="B288"/>
  <c r="C288"/>
  <c r="D288"/>
  <c r="E288"/>
  <c r="G288" s="1"/>
  <c r="H288"/>
  <c r="L288"/>
  <c r="B289"/>
  <c r="C289"/>
  <c r="D289"/>
  <c r="E289"/>
  <c r="G289" s="1"/>
  <c r="H289"/>
  <c r="L289"/>
  <c r="B290"/>
  <c r="C290"/>
  <c r="D290"/>
  <c r="E290"/>
  <c r="G290" s="1"/>
  <c r="H290"/>
  <c r="L290"/>
  <c r="B291"/>
  <c r="C291"/>
  <c r="D291"/>
  <c r="E291"/>
  <c r="G291" s="1"/>
  <c r="H291"/>
  <c r="L291"/>
  <c r="B292"/>
  <c r="C292"/>
  <c r="D292"/>
  <c r="E292"/>
  <c r="G292" s="1"/>
  <c r="H292"/>
  <c r="L292"/>
  <c r="B293"/>
  <c r="C293"/>
  <c r="D293"/>
  <c r="E293"/>
  <c r="G293" s="1"/>
  <c r="H293"/>
  <c r="L293"/>
  <c r="B294"/>
  <c r="C294"/>
  <c r="D294"/>
  <c r="E294"/>
  <c r="G294" s="1"/>
  <c r="H294"/>
  <c r="L294"/>
  <c r="B295"/>
  <c r="C295"/>
  <c r="D295"/>
  <c r="E295"/>
  <c r="G295" s="1"/>
  <c r="H295"/>
  <c r="L295"/>
  <c r="B296"/>
  <c r="C296"/>
  <c r="D296"/>
  <c r="E296"/>
  <c r="G296" s="1"/>
  <c r="H296"/>
  <c r="L296"/>
  <c r="B297"/>
  <c r="C297"/>
  <c r="D297"/>
  <c r="E297"/>
  <c r="G297" s="1"/>
  <c r="H297"/>
  <c r="L297"/>
  <c r="B298"/>
  <c r="C298"/>
  <c r="D298"/>
  <c r="E298"/>
  <c r="G298" s="1"/>
  <c r="H298"/>
  <c r="L298"/>
  <c r="B299"/>
  <c r="C299"/>
  <c r="D299"/>
  <c r="E299"/>
  <c r="G299" s="1"/>
  <c r="H299"/>
  <c r="L299"/>
  <c r="B300"/>
  <c r="C300"/>
  <c r="D300"/>
  <c r="E300"/>
  <c r="G300" s="1"/>
  <c r="H300"/>
  <c r="L300"/>
  <c r="B301"/>
  <c r="C301"/>
  <c r="D301"/>
  <c r="E301"/>
  <c r="G301" s="1"/>
  <c r="H301"/>
  <c r="L301"/>
  <c r="B302"/>
  <c r="C302"/>
  <c r="D302"/>
  <c r="E302"/>
  <c r="G302" s="1"/>
  <c r="H302"/>
  <c r="L302"/>
  <c r="B303"/>
  <c r="C303"/>
  <c r="D303"/>
  <c r="E303"/>
  <c r="G303" s="1"/>
  <c r="H303"/>
  <c r="L303"/>
  <c r="B304"/>
  <c r="C304"/>
  <c r="D304"/>
  <c r="E304"/>
  <c r="G304" s="1"/>
  <c r="H304"/>
  <c r="L304"/>
  <c r="B305"/>
  <c r="C305"/>
  <c r="D305"/>
  <c r="E305"/>
  <c r="G305" s="1"/>
  <c r="H305"/>
  <c r="L305"/>
  <c r="B306"/>
  <c r="C306"/>
  <c r="D306"/>
  <c r="E306"/>
  <c r="G306" s="1"/>
  <c r="H306"/>
  <c r="L306"/>
  <c r="B307"/>
  <c r="C307"/>
  <c r="D307"/>
  <c r="E307"/>
  <c r="G307" s="1"/>
  <c r="H307"/>
  <c r="L307"/>
  <c r="B308"/>
  <c r="C308"/>
  <c r="D308"/>
  <c r="E308"/>
  <c r="G308" s="1"/>
  <c r="H308"/>
  <c r="L308"/>
  <c r="B309"/>
  <c r="C309"/>
  <c r="D309"/>
  <c r="E309"/>
  <c r="G309" s="1"/>
  <c r="H309"/>
  <c r="L309"/>
  <c r="B310"/>
  <c r="C310"/>
  <c r="D310"/>
  <c r="E310"/>
  <c r="G310" s="1"/>
  <c r="H310"/>
  <c r="L310"/>
  <c r="B311"/>
  <c r="C311"/>
  <c r="D311"/>
  <c r="E311"/>
  <c r="G311" s="1"/>
  <c r="H311"/>
  <c r="L311"/>
  <c r="B312"/>
  <c r="C312"/>
  <c r="D312"/>
  <c r="E312"/>
  <c r="G312" s="1"/>
  <c r="H312"/>
  <c r="L312"/>
  <c r="B313"/>
  <c r="C313"/>
  <c r="D313"/>
  <c r="E313"/>
  <c r="G313" s="1"/>
  <c r="H313"/>
  <c r="L313"/>
  <c r="B314"/>
  <c r="C314"/>
  <c r="D314"/>
  <c r="E314"/>
  <c r="G314" s="1"/>
  <c r="H314"/>
  <c r="L314"/>
  <c r="B315"/>
  <c r="C315"/>
  <c r="D315"/>
  <c r="E315"/>
  <c r="G315" s="1"/>
  <c r="H315"/>
  <c r="L315"/>
  <c r="B316"/>
  <c r="C316"/>
  <c r="D316"/>
  <c r="E316"/>
  <c r="G316" s="1"/>
  <c r="H316"/>
  <c r="L316"/>
  <c r="B317"/>
  <c r="C317"/>
  <c r="D317"/>
  <c r="E317"/>
  <c r="G317" s="1"/>
  <c r="H317"/>
  <c r="L317"/>
  <c r="B318"/>
  <c r="C318"/>
  <c r="D318"/>
  <c r="E318"/>
  <c r="G318" s="1"/>
  <c r="H318"/>
  <c r="L318"/>
  <c r="B319"/>
  <c r="C319"/>
  <c r="D319"/>
  <c r="E319"/>
  <c r="G319" s="1"/>
  <c r="H319"/>
  <c r="L319"/>
  <c r="B320"/>
  <c r="C320"/>
  <c r="D320"/>
  <c r="E320"/>
  <c r="G320" s="1"/>
  <c r="H320"/>
  <c r="L320"/>
  <c r="B321"/>
  <c r="C321"/>
  <c r="D321"/>
  <c r="E321"/>
  <c r="G321" s="1"/>
  <c r="H321"/>
  <c r="L321"/>
  <c r="B322"/>
  <c r="C322"/>
  <c r="D322"/>
  <c r="L322"/>
  <c r="B3" i="16"/>
  <c r="D3"/>
  <c r="K3"/>
  <c r="B4"/>
  <c r="D4"/>
  <c r="I4"/>
  <c r="C85" s="1"/>
  <c r="K4"/>
  <c r="B5"/>
  <c r="D5"/>
  <c r="I5"/>
  <c r="C5" s="1"/>
  <c r="B6"/>
  <c r="D6"/>
  <c r="I6"/>
  <c r="C20" s="1"/>
  <c r="K6"/>
  <c r="E6" s="1"/>
  <c r="B7"/>
  <c r="D7"/>
  <c r="I7"/>
  <c r="C7" s="1"/>
  <c r="K7"/>
  <c r="E7" s="1"/>
  <c r="N7"/>
  <c r="O7"/>
  <c r="P7"/>
  <c r="Q7"/>
  <c r="R7"/>
  <c r="B8"/>
  <c r="C8"/>
  <c r="D8"/>
  <c r="E8"/>
  <c r="I8"/>
  <c r="K8"/>
  <c r="E36" s="1"/>
  <c r="B9"/>
  <c r="C9"/>
  <c r="D9"/>
  <c r="I9"/>
  <c r="C10" s="1"/>
  <c r="K9"/>
  <c r="B10"/>
  <c r="D10"/>
  <c r="E10"/>
  <c r="B11"/>
  <c r="C11"/>
  <c r="D11"/>
  <c r="I11"/>
  <c r="C3" s="1"/>
  <c r="M11"/>
  <c r="K11" s="1"/>
  <c r="N11"/>
  <c r="O11"/>
  <c r="P11"/>
  <c r="Q11"/>
  <c r="R11"/>
  <c r="S11"/>
  <c r="B12"/>
  <c r="D12"/>
  <c r="E12"/>
  <c r="M12"/>
  <c r="K12" s="1"/>
  <c r="N12"/>
  <c r="O12"/>
  <c r="P12"/>
  <c r="Q12"/>
  <c r="R12"/>
  <c r="S12"/>
  <c r="B13"/>
  <c r="C13"/>
  <c r="D13"/>
  <c r="E13"/>
  <c r="B14"/>
  <c r="C14"/>
  <c r="D14"/>
  <c r="I14"/>
  <c r="C16" s="1"/>
  <c r="M14"/>
  <c r="K14" s="1"/>
  <c r="N14"/>
  <c r="O14"/>
  <c r="P14"/>
  <c r="S14"/>
  <c r="B15"/>
  <c r="D15"/>
  <c r="M15"/>
  <c r="K15" s="1"/>
  <c r="N15"/>
  <c r="O15"/>
  <c r="P15"/>
  <c r="S15"/>
  <c r="B16"/>
  <c r="D16"/>
  <c r="B17"/>
  <c r="D17"/>
  <c r="I17"/>
  <c r="C53" s="1"/>
  <c r="M17"/>
  <c r="K17" s="1"/>
  <c r="E50" s="1"/>
  <c r="N17"/>
  <c r="O17"/>
  <c r="P17"/>
  <c r="Q17"/>
  <c r="R17"/>
  <c r="S17"/>
  <c r="B18"/>
  <c r="D18"/>
  <c r="M18"/>
  <c r="K18" s="1"/>
  <c r="N18"/>
  <c r="O18"/>
  <c r="P18"/>
  <c r="Q18"/>
  <c r="R18"/>
  <c r="S18"/>
  <c r="B19"/>
  <c r="C19"/>
  <c r="D19"/>
  <c r="B20"/>
  <c r="D20"/>
  <c r="E20"/>
  <c r="I20"/>
  <c r="K20"/>
  <c r="M20"/>
  <c r="N20"/>
  <c r="O20"/>
  <c r="Q20"/>
  <c r="S20"/>
  <c r="B21"/>
  <c r="D21"/>
  <c r="E21"/>
  <c r="M21"/>
  <c r="K21" s="1"/>
  <c r="N21"/>
  <c r="O21"/>
  <c r="Q21"/>
  <c r="S21"/>
  <c r="B22"/>
  <c r="C22"/>
  <c r="D22"/>
  <c r="B23"/>
  <c r="D23"/>
  <c r="E23"/>
  <c r="B24"/>
  <c r="D24"/>
  <c r="E24"/>
  <c r="B25"/>
  <c r="C25"/>
  <c r="D25"/>
  <c r="B26"/>
  <c r="D26"/>
  <c r="E26"/>
  <c r="B27"/>
  <c r="D27"/>
  <c r="E27"/>
  <c r="M27"/>
  <c r="K5" s="1"/>
  <c r="B28"/>
  <c r="D28"/>
  <c r="B29"/>
  <c r="D29"/>
  <c r="E29"/>
  <c r="B30"/>
  <c r="C30"/>
  <c r="D30"/>
  <c r="E30"/>
  <c r="B31"/>
  <c r="C31"/>
  <c r="D31"/>
  <c r="E31"/>
  <c r="B32"/>
  <c r="D32"/>
  <c r="E32"/>
  <c r="M32"/>
  <c r="B33"/>
  <c r="D33"/>
  <c r="M33"/>
  <c r="B34"/>
  <c r="D34"/>
  <c r="E34"/>
  <c r="B35"/>
  <c r="C35"/>
  <c r="D35"/>
  <c r="E35"/>
  <c r="B36"/>
  <c r="C36"/>
  <c r="D36"/>
  <c r="B37"/>
  <c r="D37"/>
  <c r="B38"/>
  <c r="C38"/>
  <c r="D38"/>
  <c r="B39"/>
  <c r="C39"/>
  <c r="D39"/>
  <c r="B40"/>
  <c r="C40"/>
  <c r="D40"/>
  <c r="E40"/>
  <c r="B41"/>
  <c r="D41"/>
  <c r="B42"/>
  <c r="D42"/>
  <c r="B43"/>
  <c r="D43"/>
  <c r="E43"/>
  <c r="B44"/>
  <c r="C44"/>
  <c r="D44"/>
  <c r="E44"/>
  <c r="B45"/>
  <c r="C45"/>
  <c r="D45"/>
  <c r="E45"/>
  <c r="B46"/>
  <c r="D46"/>
  <c r="E46"/>
  <c r="B47"/>
  <c r="C47"/>
  <c r="D47"/>
  <c r="B48"/>
  <c r="D48"/>
  <c r="E48"/>
  <c r="B49"/>
  <c r="C49"/>
  <c r="D49"/>
  <c r="E49"/>
  <c r="B50"/>
  <c r="C50"/>
  <c r="D50"/>
  <c r="B51"/>
  <c r="D51"/>
  <c r="B52"/>
  <c r="D52"/>
  <c r="B53"/>
  <c r="D53"/>
  <c r="B54"/>
  <c r="C54"/>
  <c r="D54"/>
  <c r="E54"/>
  <c r="B55"/>
  <c r="C55"/>
  <c r="D55"/>
  <c r="E55"/>
  <c r="B56"/>
  <c r="C56"/>
  <c r="D56"/>
  <c r="B57"/>
  <c r="D57"/>
  <c r="E57"/>
  <c r="B58"/>
  <c r="C58"/>
  <c r="D58"/>
  <c r="E58"/>
  <c r="B59"/>
  <c r="C59"/>
  <c r="D59"/>
  <c r="E59"/>
  <c r="B60"/>
  <c r="D60"/>
  <c r="E60"/>
  <c r="B61"/>
  <c r="D61"/>
  <c r="B62"/>
  <c r="C62"/>
  <c r="D62"/>
  <c r="E62"/>
  <c r="B63"/>
  <c r="C63"/>
  <c r="D63"/>
  <c r="E63"/>
  <c r="B64"/>
  <c r="C64"/>
  <c r="D64"/>
  <c r="B65"/>
  <c r="D65"/>
  <c r="B66"/>
  <c r="C66"/>
  <c r="D66"/>
  <c r="B67"/>
  <c r="C67"/>
  <c r="D67"/>
  <c r="B68"/>
  <c r="C68"/>
  <c r="D68"/>
  <c r="E68"/>
  <c r="B69"/>
  <c r="C69"/>
  <c r="D69"/>
  <c r="E69"/>
  <c r="B70"/>
  <c r="C70"/>
  <c r="D70"/>
  <c r="B71"/>
  <c r="D71"/>
  <c r="E71"/>
  <c r="B72"/>
  <c r="C72"/>
  <c r="D72"/>
  <c r="E72"/>
  <c r="B73"/>
  <c r="C73"/>
  <c r="D73"/>
  <c r="E73"/>
  <c r="B74"/>
  <c r="D74"/>
  <c r="E74"/>
  <c r="B75"/>
  <c r="D75"/>
  <c r="B76"/>
  <c r="C76"/>
  <c r="D76"/>
  <c r="E76"/>
  <c r="B77"/>
  <c r="C77"/>
  <c r="D77"/>
  <c r="E77"/>
  <c r="B78"/>
  <c r="C78"/>
  <c r="D78"/>
  <c r="B79"/>
  <c r="D79"/>
  <c r="B80"/>
  <c r="C80"/>
  <c r="D80"/>
  <c r="B81"/>
  <c r="C81"/>
  <c r="D81"/>
  <c r="B82"/>
  <c r="C82"/>
  <c r="D82"/>
  <c r="E82"/>
  <c r="B83"/>
  <c r="C83"/>
  <c r="D83"/>
  <c r="E83"/>
  <c r="B84"/>
  <c r="C84"/>
  <c r="D84"/>
  <c r="B85"/>
  <c r="D85"/>
  <c r="E85"/>
  <c r="B86"/>
  <c r="C86"/>
  <c r="D86"/>
  <c r="E86"/>
  <c r="B87"/>
  <c r="C87"/>
  <c r="D87"/>
  <c r="E87"/>
  <c r="B88"/>
  <c r="D88"/>
  <c r="E88"/>
  <c r="B89"/>
  <c r="D89"/>
  <c r="B90"/>
  <c r="C90"/>
  <c r="D90"/>
  <c r="E90"/>
  <c r="B91"/>
  <c r="C91"/>
  <c r="D91"/>
  <c r="E91"/>
  <c r="B92"/>
  <c r="C92"/>
  <c r="D92"/>
  <c r="E92"/>
  <c r="B93"/>
  <c r="C93"/>
  <c r="D93"/>
  <c r="B94"/>
  <c r="D94"/>
  <c r="B95"/>
  <c r="C95"/>
  <c r="D95"/>
  <c r="E95"/>
  <c r="B96"/>
  <c r="C96"/>
  <c r="D96"/>
  <c r="E96"/>
  <c r="B97"/>
  <c r="C97"/>
  <c r="D97"/>
  <c r="E97"/>
  <c r="B98"/>
  <c r="C98"/>
  <c r="D98"/>
  <c r="B99"/>
  <c r="D99"/>
  <c r="E99"/>
  <c r="B100"/>
  <c r="C100"/>
  <c r="D100"/>
  <c r="E100"/>
  <c r="B101"/>
  <c r="C101"/>
  <c r="D101"/>
  <c r="E101"/>
  <c r="B102"/>
  <c r="D102"/>
  <c r="E102"/>
  <c r="B103"/>
  <c r="D103"/>
  <c r="B104"/>
  <c r="C104"/>
  <c r="D104"/>
  <c r="E104"/>
  <c r="B105"/>
  <c r="C105"/>
  <c r="D105"/>
  <c r="E105"/>
  <c r="B106"/>
  <c r="C106"/>
  <c r="D106"/>
  <c r="E106"/>
  <c r="B107"/>
  <c r="C107"/>
  <c r="D107"/>
  <c r="B108"/>
  <c r="D108"/>
  <c r="B109"/>
  <c r="C109"/>
  <c r="D109"/>
  <c r="E109"/>
  <c r="B110"/>
  <c r="C110"/>
  <c r="D110"/>
  <c r="E110"/>
  <c r="B111"/>
  <c r="C111"/>
  <c r="D111"/>
  <c r="E111"/>
  <c r="B112"/>
  <c r="C112"/>
  <c r="D112"/>
  <c r="B113"/>
  <c r="D113"/>
  <c r="B114"/>
  <c r="C114"/>
  <c r="D114"/>
  <c r="B115"/>
  <c r="C115"/>
  <c r="D115"/>
  <c r="B116"/>
  <c r="D116"/>
  <c r="B117"/>
  <c r="D117"/>
  <c r="B118"/>
  <c r="C118"/>
  <c r="D118"/>
  <c r="E118"/>
  <c r="B119"/>
  <c r="C119"/>
  <c r="D119"/>
  <c r="E119"/>
  <c r="B120"/>
  <c r="C120"/>
  <c r="D120"/>
  <c r="E120"/>
  <c r="B121"/>
  <c r="C121"/>
  <c r="D121"/>
  <c r="B122"/>
  <c r="D122"/>
  <c r="B123"/>
  <c r="C123"/>
  <c r="D123"/>
  <c r="E123"/>
  <c r="B124"/>
  <c r="C124"/>
  <c r="D124"/>
  <c r="E124"/>
  <c r="B125"/>
  <c r="C125"/>
  <c r="D125"/>
  <c r="E125"/>
  <c r="B126"/>
  <c r="C126"/>
  <c r="D126"/>
  <c r="B127"/>
  <c r="D127"/>
  <c r="E127"/>
  <c r="B128"/>
  <c r="C128"/>
  <c r="D128"/>
  <c r="E128"/>
  <c r="B129"/>
  <c r="C129"/>
  <c r="D129"/>
  <c r="E129"/>
  <c r="B130"/>
  <c r="D130"/>
  <c r="E130"/>
  <c r="B131"/>
  <c r="D131"/>
  <c r="B132"/>
  <c r="C132"/>
  <c r="D132"/>
  <c r="E132"/>
  <c r="B133"/>
  <c r="C133"/>
  <c r="D133"/>
  <c r="E133"/>
  <c r="B134"/>
  <c r="C134"/>
  <c r="D134"/>
  <c r="E134"/>
  <c r="B135"/>
  <c r="C135"/>
  <c r="D135"/>
  <c r="B136"/>
  <c r="D136"/>
  <c r="B137"/>
  <c r="C137"/>
  <c r="D137"/>
  <c r="E137"/>
  <c r="B138"/>
  <c r="C138"/>
  <c r="D138"/>
  <c r="E138"/>
  <c r="B139"/>
  <c r="C139"/>
  <c r="D139"/>
  <c r="E139"/>
  <c r="B140"/>
  <c r="C140"/>
  <c r="D140"/>
  <c r="B141"/>
  <c r="D141"/>
  <c r="E141"/>
  <c r="B142"/>
  <c r="C142"/>
  <c r="D142"/>
  <c r="E142"/>
  <c r="B143"/>
  <c r="C143"/>
  <c r="D143"/>
  <c r="E143"/>
  <c r="B144"/>
  <c r="D144"/>
  <c r="E144"/>
  <c r="B145"/>
  <c r="D145"/>
  <c r="B146"/>
  <c r="C146"/>
  <c r="D146"/>
  <c r="E146"/>
  <c r="B147"/>
  <c r="C147"/>
  <c r="D147"/>
  <c r="E147"/>
  <c r="B148"/>
  <c r="C148"/>
  <c r="D148"/>
  <c r="E148"/>
  <c r="B149"/>
  <c r="C149"/>
  <c r="D149"/>
  <c r="B150"/>
  <c r="D150"/>
  <c r="B151"/>
  <c r="C151"/>
  <c r="D151"/>
  <c r="E151"/>
  <c r="B152"/>
  <c r="C152"/>
  <c r="D152"/>
  <c r="E152"/>
  <c r="B153"/>
  <c r="C153"/>
  <c r="D153"/>
  <c r="E153"/>
  <c r="B154"/>
  <c r="C154"/>
  <c r="D154"/>
  <c r="B155"/>
  <c r="D155"/>
  <c r="E155"/>
  <c r="B156"/>
  <c r="C156"/>
  <c r="D156"/>
  <c r="E156"/>
  <c r="B157"/>
  <c r="C157"/>
  <c r="D157"/>
  <c r="E157"/>
  <c r="B158"/>
  <c r="D158"/>
  <c r="E158"/>
  <c r="B159"/>
  <c r="D159"/>
  <c r="B160"/>
  <c r="C160"/>
  <c r="D160"/>
  <c r="E160"/>
  <c r="B161"/>
  <c r="C161"/>
  <c r="D161"/>
  <c r="E161"/>
  <c r="B162"/>
  <c r="C162"/>
  <c r="D162"/>
  <c r="E162"/>
  <c r="B163"/>
  <c r="C163"/>
  <c r="D163"/>
  <c r="B164"/>
  <c r="D164"/>
  <c r="B165"/>
  <c r="C165"/>
  <c r="D165"/>
  <c r="E165"/>
  <c r="B166"/>
  <c r="C166"/>
  <c r="D166"/>
  <c r="E166"/>
  <c r="B167"/>
  <c r="C167"/>
  <c r="D167"/>
  <c r="E167"/>
  <c r="B168"/>
  <c r="C168"/>
  <c r="D168"/>
  <c r="B169"/>
  <c r="D169"/>
  <c r="E169"/>
  <c r="B170"/>
  <c r="C170"/>
  <c r="D170"/>
  <c r="E170"/>
  <c r="B171"/>
  <c r="C171"/>
  <c r="D171"/>
  <c r="E171"/>
  <c r="B172"/>
  <c r="D172"/>
  <c r="E172"/>
  <c r="B173"/>
  <c r="D173"/>
  <c r="B174"/>
  <c r="C174"/>
  <c r="D174"/>
  <c r="E174"/>
  <c r="B175"/>
  <c r="C175"/>
  <c r="D175"/>
  <c r="E175"/>
  <c r="B176"/>
  <c r="C176"/>
  <c r="D176"/>
  <c r="E176"/>
  <c r="B177"/>
  <c r="C177"/>
  <c r="D177"/>
  <c r="B178"/>
  <c r="D178"/>
  <c r="B179"/>
  <c r="C179"/>
  <c r="D179"/>
  <c r="E179"/>
  <c r="B180"/>
  <c r="C180"/>
  <c r="D180"/>
  <c r="E180"/>
  <c r="B181"/>
  <c r="C181"/>
  <c r="D181"/>
  <c r="E181"/>
  <c r="B182"/>
  <c r="C182"/>
  <c r="D182"/>
  <c r="B183"/>
  <c r="D183"/>
  <c r="E183"/>
  <c r="B184"/>
  <c r="C184"/>
  <c r="D184"/>
  <c r="E184"/>
  <c r="B185"/>
  <c r="C185"/>
  <c r="D185"/>
  <c r="E185"/>
  <c r="B186"/>
  <c r="D186"/>
  <c r="E186"/>
  <c r="B187"/>
  <c r="D187"/>
  <c r="B188"/>
  <c r="C188"/>
  <c r="D188"/>
  <c r="E188"/>
  <c r="B189"/>
  <c r="C189"/>
  <c r="D189"/>
  <c r="E189"/>
  <c r="B190"/>
  <c r="C190"/>
  <c r="D190"/>
  <c r="E190"/>
  <c r="B191"/>
  <c r="C191"/>
  <c r="D191"/>
  <c r="B192"/>
  <c r="D192"/>
  <c r="B193"/>
  <c r="C193"/>
  <c r="D193"/>
  <c r="E193"/>
  <c r="B194"/>
  <c r="C194"/>
  <c r="D194"/>
  <c r="E194"/>
  <c r="B195"/>
  <c r="C195"/>
  <c r="D195"/>
  <c r="E195"/>
  <c r="B196"/>
  <c r="C196"/>
  <c r="D196"/>
  <c r="B197"/>
  <c r="D197"/>
  <c r="E197"/>
  <c r="B198"/>
  <c r="C198"/>
  <c r="D198"/>
  <c r="E198"/>
  <c r="B199"/>
  <c r="C199"/>
  <c r="D199"/>
  <c r="E199"/>
  <c r="B200"/>
  <c r="D200"/>
  <c r="E200"/>
  <c r="B201"/>
  <c r="D201"/>
  <c r="B202"/>
  <c r="C202"/>
  <c r="D202"/>
  <c r="E202"/>
  <c r="B203"/>
  <c r="C203"/>
  <c r="D203"/>
  <c r="E203"/>
  <c r="B204"/>
  <c r="C204"/>
  <c r="D204"/>
  <c r="E204"/>
  <c r="B205"/>
  <c r="C205"/>
  <c r="D205"/>
  <c r="B206"/>
  <c r="D206"/>
  <c r="B207"/>
  <c r="C207"/>
  <c r="D207"/>
  <c r="E207"/>
  <c r="B208"/>
  <c r="C208"/>
  <c r="D208"/>
  <c r="E208"/>
  <c r="B209"/>
  <c r="C209"/>
  <c r="D209"/>
  <c r="E209"/>
  <c r="B210"/>
  <c r="C210"/>
  <c r="D210"/>
  <c r="B211"/>
  <c r="D211"/>
  <c r="E211"/>
  <c r="B212"/>
  <c r="C212"/>
  <c r="D212"/>
  <c r="E212"/>
  <c r="B213"/>
  <c r="C213"/>
  <c r="D213"/>
  <c r="E213"/>
  <c r="B214"/>
  <c r="D214"/>
  <c r="E214"/>
  <c r="B215"/>
  <c r="D215"/>
  <c r="B216"/>
  <c r="C216"/>
  <c r="D216"/>
  <c r="E216"/>
  <c r="B217"/>
  <c r="C217"/>
  <c r="D217"/>
  <c r="E217"/>
  <c r="B218"/>
  <c r="C218"/>
  <c r="D218"/>
  <c r="E218"/>
  <c r="B219"/>
  <c r="C219"/>
  <c r="D219"/>
  <c r="B220"/>
  <c r="D220"/>
  <c r="B221"/>
  <c r="C221"/>
  <c r="D221"/>
  <c r="E221"/>
  <c r="B222"/>
  <c r="C222"/>
  <c r="D222"/>
  <c r="E222"/>
  <c r="B223"/>
  <c r="C223"/>
  <c r="D223"/>
  <c r="E223"/>
  <c r="B224"/>
  <c r="C224"/>
  <c r="D224"/>
  <c r="B225"/>
  <c r="D225"/>
  <c r="B226"/>
  <c r="D226"/>
  <c r="B3" i="22"/>
  <c r="B4"/>
  <c r="J4"/>
  <c r="C74" s="1"/>
  <c r="B5"/>
  <c r="D5"/>
  <c r="J5"/>
  <c r="C5" s="1"/>
  <c r="V5"/>
  <c r="F5" s="1"/>
  <c r="B6"/>
  <c r="D6"/>
  <c r="J6"/>
  <c r="C13" s="1"/>
  <c r="V6"/>
  <c r="F6" s="1"/>
  <c r="B7"/>
  <c r="D7"/>
  <c r="E7" s="1"/>
  <c r="J7"/>
  <c r="C7" s="1"/>
  <c r="M7"/>
  <c r="V7" s="1"/>
  <c r="O7"/>
  <c r="P7"/>
  <c r="Q7"/>
  <c r="R7"/>
  <c r="S7"/>
  <c r="B8"/>
  <c r="C8"/>
  <c r="D8"/>
  <c r="F8"/>
  <c r="J8"/>
  <c r="B9"/>
  <c r="D9"/>
  <c r="F9"/>
  <c r="J9"/>
  <c r="C9" s="1"/>
  <c r="B10"/>
  <c r="D10"/>
  <c r="E10" s="1"/>
  <c r="F10"/>
  <c r="B11"/>
  <c r="C11"/>
  <c r="D11"/>
  <c r="F11"/>
  <c r="J11"/>
  <c r="C3" s="1"/>
  <c r="K11"/>
  <c r="D3" s="1"/>
  <c r="E3" s="1"/>
  <c r="M11"/>
  <c r="F3" s="1"/>
  <c r="O11"/>
  <c r="P11"/>
  <c r="Q11"/>
  <c r="R11"/>
  <c r="S11"/>
  <c r="B12"/>
  <c r="C12"/>
  <c r="D12"/>
  <c r="J12"/>
  <c r="C4" s="1"/>
  <c r="K12"/>
  <c r="D4" s="1"/>
  <c r="M12"/>
  <c r="F4" s="1"/>
  <c r="O12"/>
  <c r="P12"/>
  <c r="Q12"/>
  <c r="R12"/>
  <c r="S12"/>
  <c r="B13"/>
  <c r="D13"/>
  <c r="B14"/>
  <c r="D14"/>
  <c r="F14"/>
  <c r="J14"/>
  <c r="C17" s="1"/>
  <c r="K14"/>
  <c r="D16" s="1"/>
  <c r="M14"/>
  <c r="F16" s="1"/>
  <c r="O14"/>
  <c r="P14"/>
  <c r="Q14"/>
  <c r="B15"/>
  <c r="J15"/>
  <c r="C15" s="1"/>
  <c r="K15"/>
  <c r="D15" s="1"/>
  <c r="M15"/>
  <c r="F18" s="1"/>
  <c r="O15"/>
  <c r="P15"/>
  <c r="Q15"/>
  <c r="B16"/>
  <c r="B17"/>
  <c r="J17"/>
  <c r="C50" s="1"/>
  <c r="K17"/>
  <c r="D50" s="1"/>
  <c r="M17"/>
  <c r="F53" s="1"/>
  <c r="O17"/>
  <c r="P17"/>
  <c r="Q17"/>
  <c r="R17"/>
  <c r="S17"/>
  <c r="B18"/>
  <c r="D18"/>
  <c r="K18"/>
  <c r="D51" s="1"/>
  <c r="E51" s="1"/>
  <c r="M18"/>
  <c r="O18"/>
  <c r="P18"/>
  <c r="Q18"/>
  <c r="R18"/>
  <c r="S18"/>
  <c r="B19"/>
  <c r="C19"/>
  <c r="D19"/>
  <c r="E19" s="1"/>
  <c r="F19"/>
  <c r="B20"/>
  <c r="C20"/>
  <c r="D20"/>
  <c r="J20"/>
  <c r="K20"/>
  <c r="M20"/>
  <c r="O20"/>
  <c r="P20"/>
  <c r="R20"/>
  <c r="B21"/>
  <c r="C21"/>
  <c r="D21"/>
  <c r="J21"/>
  <c r="K21"/>
  <c r="M21"/>
  <c r="O21"/>
  <c r="P21"/>
  <c r="R21"/>
  <c r="B22"/>
  <c r="C22"/>
  <c r="D22"/>
  <c r="F22"/>
  <c r="B23"/>
  <c r="C23"/>
  <c r="D23"/>
  <c r="F23"/>
  <c r="B24"/>
  <c r="C24"/>
  <c r="D24"/>
  <c r="E24" s="1"/>
  <c r="F24"/>
  <c r="B25"/>
  <c r="C25"/>
  <c r="D25"/>
  <c r="F25"/>
  <c r="B26"/>
  <c r="C26"/>
  <c r="D26"/>
  <c r="B27"/>
  <c r="C27"/>
  <c r="D27"/>
  <c r="B28"/>
  <c r="D28"/>
  <c r="F28"/>
  <c r="B29"/>
  <c r="C29"/>
  <c r="D29"/>
  <c r="F29"/>
  <c r="B30"/>
  <c r="C30"/>
  <c r="D30"/>
  <c r="F30"/>
  <c r="B31"/>
  <c r="C31"/>
  <c r="D31"/>
  <c r="F31"/>
  <c r="B32"/>
  <c r="C32"/>
  <c r="D32"/>
  <c r="F32"/>
  <c r="B33"/>
  <c r="C33"/>
  <c r="D33"/>
  <c r="E33"/>
  <c r="F33"/>
  <c r="O33"/>
  <c r="B34"/>
  <c r="C34"/>
  <c r="D34"/>
  <c r="O34"/>
  <c r="B35"/>
  <c r="C35"/>
  <c r="D35"/>
  <c r="B36"/>
  <c r="C36"/>
  <c r="D36"/>
  <c r="F36"/>
  <c r="B37"/>
  <c r="C37"/>
  <c r="D37"/>
  <c r="F37"/>
  <c r="B38"/>
  <c r="C38"/>
  <c r="D38"/>
  <c r="F38"/>
  <c r="B39"/>
  <c r="C39"/>
  <c r="D39"/>
  <c r="F39"/>
  <c r="B40"/>
  <c r="C40"/>
  <c r="D40"/>
  <c r="B41"/>
  <c r="C41"/>
  <c r="D41"/>
  <c r="B42"/>
  <c r="D42"/>
  <c r="E42" s="1"/>
  <c r="F42"/>
  <c r="B43"/>
  <c r="D43"/>
  <c r="F43"/>
  <c r="B44"/>
  <c r="C44"/>
  <c r="D44"/>
  <c r="F44"/>
  <c r="B45"/>
  <c r="C45"/>
  <c r="D45"/>
  <c r="F45"/>
  <c r="B46"/>
  <c r="D46"/>
  <c r="F46"/>
  <c r="B47"/>
  <c r="D47"/>
  <c r="F47"/>
  <c r="B48"/>
  <c r="C48"/>
  <c r="D48"/>
  <c r="B49"/>
  <c r="C49"/>
  <c r="D49"/>
  <c r="B50"/>
  <c r="F50"/>
  <c r="B51"/>
  <c r="F51"/>
  <c r="B52"/>
  <c r="D52"/>
  <c r="F52"/>
  <c r="B53"/>
  <c r="D53"/>
  <c r="B54"/>
  <c r="C54"/>
  <c r="D54"/>
  <c r="B55"/>
  <c r="C55"/>
  <c r="D55"/>
  <c r="B56"/>
  <c r="D56"/>
  <c r="E56" s="1"/>
  <c r="F56"/>
  <c r="B57"/>
  <c r="C57"/>
  <c r="D57"/>
  <c r="F57"/>
  <c r="B58"/>
  <c r="C58"/>
  <c r="D58"/>
  <c r="F58"/>
  <c r="B59"/>
  <c r="C59"/>
  <c r="D59"/>
  <c r="F59"/>
  <c r="B60"/>
  <c r="C60"/>
  <c r="D60"/>
  <c r="F60"/>
  <c r="B61"/>
  <c r="C61"/>
  <c r="D61"/>
  <c r="F61"/>
  <c r="B62"/>
  <c r="C62"/>
  <c r="D62"/>
  <c r="B63"/>
  <c r="C63"/>
  <c r="D63"/>
  <c r="E63" s="1"/>
  <c r="B64"/>
  <c r="C64"/>
  <c r="D64"/>
  <c r="F64"/>
  <c r="B65"/>
  <c r="C65"/>
  <c r="D65"/>
  <c r="F65"/>
  <c r="B66"/>
  <c r="C66"/>
  <c r="D66"/>
  <c r="F66"/>
  <c r="B67"/>
  <c r="C67"/>
  <c r="D67"/>
  <c r="F67"/>
  <c r="B68"/>
  <c r="C68"/>
  <c r="D68"/>
  <c r="B69"/>
  <c r="C69"/>
  <c r="D69"/>
  <c r="B70"/>
  <c r="C70"/>
  <c r="D70"/>
  <c r="E70" s="1"/>
  <c r="F70"/>
  <c r="B71"/>
  <c r="C71"/>
  <c r="D71"/>
  <c r="F71"/>
  <c r="B72"/>
  <c r="C72"/>
  <c r="D72"/>
  <c r="F72"/>
  <c r="B73"/>
  <c r="C73"/>
  <c r="D73"/>
  <c r="E73"/>
  <c r="F73"/>
  <c r="B74"/>
  <c r="D74"/>
  <c r="F74"/>
  <c r="B75"/>
  <c r="D75"/>
  <c r="F75"/>
  <c r="B76"/>
  <c r="C76"/>
  <c r="D76"/>
  <c r="B77"/>
  <c r="C77"/>
  <c r="D77"/>
  <c r="B78"/>
  <c r="C78"/>
  <c r="D78"/>
  <c r="F78"/>
  <c r="B79"/>
  <c r="D79"/>
  <c r="E79" s="1"/>
  <c r="F79"/>
  <c r="B80"/>
  <c r="C80"/>
  <c r="D80"/>
  <c r="F80"/>
  <c r="B81"/>
  <c r="C81"/>
  <c r="D81"/>
  <c r="F81"/>
  <c r="B82"/>
  <c r="C82"/>
  <c r="D82"/>
  <c r="B83"/>
  <c r="C83"/>
  <c r="D83"/>
  <c r="B84"/>
  <c r="D84"/>
  <c r="E84" s="1"/>
  <c r="F84"/>
  <c r="B85"/>
  <c r="D85"/>
  <c r="F85"/>
  <c r="B86"/>
  <c r="C86"/>
  <c r="D86"/>
  <c r="F86"/>
  <c r="B87"/>
  <c r="C87"/>
  <c r="D87"/>
  <c r="F87"/>
  <c r="B88"/>
  <c r="D88"/>
  <c r="F88"/>
  <c r="B89"/>
  <c r="D89"/>
  <c r="F89"/>
  <c r="B90"/>
  <c r="C90"/>
  <c r="D90"/>
  <c r="B91"/>
  <c r="C91"/>
  <c r="D91"/>
  <c r="B92"/>
  <c r="C92"/>
  <c r="D92"/>
  <c r="F92"/>
  <c r="B93"/>
  <c r="C93"/>
  <c r="D93"/>
  <c r="F93"/>
  <c r="B94"/>
  <c r="C94"/>
  <c r="D94"/>
  <c r="F94"/>
  <c r="B95"/>
  <c r="C95"/>
  <c r="D95"/>
  <c r="F95"/>
  <c r="B96"/>
  <c r="C96"/>
  <c r="D96"/>
  <c r="B97"/>
  <c r="C97"/>
  <c r="D97"/>
  <c r="B98"/>
  <c r="D98"/>
  <c r="E98" s="1"/>
  <c r="F98"/>
  <c r="B99"/>
  <c r="D99"/>
  <c r="F99"/>
  <c r="B100"/>
  <c r="C100"/>
  <c r="D100"/>
  <c r="F100"/>
  <c r="B101"/>
  <c r="C101"/>
  <c r="D101"/>
  <c r="F101"/>
  <c r="B102"/>
  <c r="D102"/>
  <c r="F102"/>
  <c r="B103"/>
  <c r="D103"/>
  <c r="F103"/>
  <c r="B104"/>
  <c r="C104"/>
  <c r="D104"/>
  <c r="B105"/>
  <c r="C105"/>
  <c r="D105"/>
  <c r="B106"/>
  <c r="C106"/>
  <c r="D106"/>
  <c r="F106"/>
  <c r="B107"/>
  <c r="C107"/>
  <c r="D107"/>
  <c r="E107" s="1"/>
  <c r="F107"/>
  <c r="B108"/>
  <c r="C108"/>
  <c r="D108"/>
  <c r="F108"/>
  <c r="B109"/>
  <c r="C109"/>
  <c r="D109"/>
  <c r="F109"/>
  <c r="B110"/>
  <c r="C110"/>
  <c r="D110"/>
  <c r="B111"/>
  <c r="C111"/>
  <c r="D111"/>
  <c r="F111"/>
  <c r="B112"/>
  <c r="C112"/>
  <c r="D112"/>
  <c r="E112" s="1"/>
  <c r="F112"/>
  <c r="B113"/>
  <c r="C113"/>
  <c r="D113"/>
  <c r="F113"/>
  <c r="B114"/>
  <c r="C114"/>
  <c r="D114"/>
  <c r="F114"/>
  <c r="B115"/>
  <c r="C115"/>
  <c r="D115"/>
  <c r="F115"/>
  <c r="B116"/>
  <c r="C116"/>
  <c r="D116"/>
  <c r="F116"/>
  <c r="B117"/>
  <c r="C117"/>
  <c r="D117"/>
  <c r="F117"/>
  <c r="B118"/>
  <c r="C118"/>
  <c r="D118"/>
  <c r="F118"/>
  <c r="B119"/>
  <c r="C119"/>
  <c r="D119"/>
  <c r="E119" s="1"/>
  <c r="B120"/>
  <c r="C120"/>
  <c r="D120"/>
  <c r="F120"/>
  <c r="B121"/>
  <c r="C121"/>
  <c r="D121"/>
  <c r="F121"/>
  <c r="B122"/>
  <c r="C122"/>
  <c r="D122"/>
  <c r="F122"/>
  <c r="B123"/>
  <c r="C123"/>
  <c r="D123"/>
  <c r="F123"/>
  <c r="B124"/>
  <c r="C124"/>
  <c r="D124"/>
  <c r="B125"/>
  <c r="C125"/>
  <c r="D125"/>
  <c r="B126"/>
  <c r="D126"/>
  <c r="E126" s="1"/>
  <c r="F126"/>
  <c r="B127"/>
  <c r="D127"/>
  <c r="F127"/>
  <c r="B128"/>
  <c r="C128"/>
  <c r="D128"/>
  <c r="F128"/>
  <c r="B129"/>
  <c r="C129"/>
  <c r="D129"/>
  <c r="F129"/>
  <c r="B130"/>
  <c r="D130"/>
  <c r="F130"/>
  <c r="B131"/>
  <c r="D131"/>
  <c r="E131" s="1"/>
  <c r="F131"/>
  <c r="B132"/>
  <c r="C132"/>
  <c r="D132"/>
  <c r="F132"/>
  <c r="B133"/>
  <c r="C133"/>
  <c r="D133"/>
  <c r="B134"/>
  <c r="C134"/>
  <c r="D134"/>
  <c r="F134"/>
  <c r="B135"/>
  <c r="C135"/>
  <c r="D135"/>
  <c r="F135"/>
  <c r="B136"/>
  <c r="C136"/>
  <c r="D136"/>
  <c r="F136"/>
  <c r="B137"/>
  <c r="C137"/>
  <c r="D137"/>
  <c r="F137"/>
  <c r="B138"/>
  <c r="C138"/>
  <c r="D138"/>
  <c r="B139"/>
  <c r="C139"/>
  <c r="D139"/>
  <c r="F139"/>
  <c r="B140"/>
  <c r="C140"/>
  <c r="D140"/>
  <c r="F140"/>
  <c r="B141"/>
  <c r="C141"/>
  <c r="D141"/>
  <c r="F141"/>
  <c r="B142"/>
  <c r="C142"/>
  <c r="D142"/>
  <c r="E142" s="1"/>
  <c r="F142"/>
  <c r="B143"/>
  <c r="C143"/>
  <c r="D143"/>
  <c r="F143"/>
  <c r="B144"/>
  <c r="C144"/>
  <c r="D144"/>
  <c r="F144"/>
  <c r="B145"/>
  <c r="C145"/>
  <c r="D145"/>
  <c r="F145"/>
  <c r="B146"/>
  <c r="C146"/>
  <c r="D146"/>
  <c r="F146"/>
  <c r="B147"/>
  <c r="C147"/>
  <c r="D147"/>
  <c r="B148"/>
  <c r="C148"/>
  <c r="D148"/>
  <c r="F148"/>
  <c r="B149"/>
  <c r="C149"/>
  <c r="D149"/>
  <c r="F149"/>
  <c r="B150"/>
  <c r="C150"/>
  <c r="D150"/>
  <c r="F150"/>
  <c r="B151"/>
  <c r="C151"/>
  <c r="D151"/>
  <c r="F151"/>
  <c r="B152"/>
  <c r="C152"/>
  <c r="D152"/>
  <c r="B153"/>
  <c r="C153"/>
  <c r="D153"/>
  <c r="F153"/>
  <c r="B154"/>
  <c r="C154"/>
  <c r="D154"/>
  <c r="E154" s="1"/>
  <c r="F154"/>
  <c r="B155"/>
  <c r="C155"/>
  <c r="D155"/>
  <c r="F155"/>
  <c r="B156"/>
  <c r="C156"/>
  <c r="D156"/>
  <c r="F156"/>
  <c r="B157"/>
  <c r="C157"/>
  <c r="D157"/>
  <c r="F157"/>
  <c r="B158"/>
  <c r="C158"/>
  <c r="D158"/>
  <c r="F158"/>
  <c r="B159"/>
  <c r="C159"/>
  <c r="D159"/>
  <c r="F159"/>
  <c r="B160"/>
  <c r="C160"/>
  <c r="D160"/>
  <c r="F160"/>
  <c r="B161"/>
  <c r="C161"/>
  <c r="D161"/>
  <c r="B162"/>
  <c r="C162"/>
  <c r="D162"/>
  <c r="F162"/>
  <c r="B163"/>
  <c r="C163"/>
  <c r="D163"/>
  <c r="E163" s="1"/>
  <c r="F163"/>
  <c r="B164"/>
  <c r="C164"/>
  <c r="D164"/>
  <c r="F164"/>
  <c r="B165"/>
  <c r="C165"/>
  <c r="D165"/>
  <c r="F165"/>
  <c r="B166"/>
  <c r="C166"/>
  <c r="D166"/>
  <c r="B167"/>
  <c r="C167"/>
  <c r="D167"/>
  <c r="F167"/>
  <c r="B168"/>
  <c r="C168"/>
  <c r="D168"/>
  <c r="E168"/>
  <c r="F168"/>
  <c r="B169"/>
  <c r="D169"/>
  <c r="F169"/>
  <c r="B170"/>
  <c r="C170"/>
  <c r="D170"/>
  <c r="F170"/>
  <c r="B171"/>
  <c r="C171"/>
  <c r="D171"/>
  <c r="E171" s="1"/>
  <c r="F171"/>
  <c r="B172"/>
  <c r="D172"/>
  <c r="F172"/>
  <c r="B173"/>
  <c r="D173"/>
  <c r="F173"/>
  <c r="B174"/>
  <c r="C174"/>
  <c r="D174"/>
  <c r="B175"/>
  <c r="C175"/>
  <c r="D175"/>
  <c r="B176"/>
  <c r="C176"/>
  <c r="D176"/>
  <c r="F176"/>
  <c r="B177"/>
  <c r="C177"/>
  <c r="D177"/>
  <c r="E177" s="1"/>
  <c r="F177"/>
  <c r="B178"/>
  <c r="C178"/>
  <c r="D178"/>
  <c r="F178"/>
  <c r="B179"/>
  <c r="C179"/>
  <c r="D179"/>
  <c r="F179"/>
  <c r="B180"/>
  <c r="C180"/>
  <c r="D180"/>
  <c r="B181"/>
  <c r="C181"/>
  <c r="D181"/>
  <c r="B182"/>
  <c r="D182"/>
  <c r="E182" s="1"/>
  <c r="F182"/>
  <c r="B183"/>
  <c r="D183"/>
  <c r="F183"/>
  <c r="B184"/>
  <c r="C184"/>
  <c r="D184"/>
  <c r="F184"/>
  <c r="B185"/>
  <c r="C185"/>
  <c r="D185"/>
  <c r="F185"/>
  <c r="B186"/>
  <c r="D186"/>
  <c r="F186"/>
  <c r="B187"/>
  <c r="D187"/>
  <c r="F187"/>
  <c r="B188"/>
  <c r="C188"/>
  <c r="D188"/>
  <c r="B189"/>
  <c r="C189"/>
  <c r="D189"/>
  <c r="E189" s="1"/>
  <c r="B190"/>
  <c r="C190"/>
  <c r="D190"/>
  <c r="F190"/>
  <c r="B191"/>
  <c r="C191"/>
  <c r="D191"/>
  <c r="F191"/>
  <c r="B192"/>
  <c r="C192"/>
  <c r="D192"/>
  <c r="F192"/>
  <c r="B193"/>
  <c r="C193"/>
  <c r="D193"/>
  <c r="F193"/>
  <c r="B194"/>
  <c r="C194"/>
  <c r="D194"/>
  <c r="B195"/>
  <c r="C195"/>
  <c r="D195"/>
  <c r="F195"/>
  <c r="B196"/>
  <c r="C196"/>
  <c r="D196"/>
  <c r="E196" s="1"/>
  <c r="F196"/>
  <c r="B197"/>
  <c r="C197"/>
  <c r="D197"/>
  <c r="F197"/>
  <c r="B198"/>
  <c r="C198"/>
  <c r="D198"/>
  <c r="F198"/>
  <c r="B199"/>
  <c r="C199"/>
  <c r="D199"/>
  <c r="F199"/>
  <c r="B200"/>
  <c r="C200"/>
  <c r="D200"/>
  <c r="F200"/>
  <c r="B201"/>
  <c r="C201"/>
  <c r="D201"/>
  <c r="E201" s="1"/>
  <c r="F201"/>
  <c r="B202"/>
  <c r="C202"/>
  <c r="D202"/>
  <c r="F202"/>
  <c r="B203"/>
  <c r="C203"/>
  <c r="D203"/>
  <c r="B204"/>
  <c r="C204"/>
  <c r="D204"/>
  <c r="F204"/>
  <c r="B205"/>
  <c r="C205"/>
  <c r="D205"/>
  <c r="F205"/>
  <c r="B206"/>
  <c r="C206"/>
  <c r="D206"/>
  <c r="F206"/>
  <c r="B207"/>
  <c r="C207"/>
  <c r="D207"/>
  <c r="F207"/>
  <c r="B208"/>
  <c r="C208"/>
  <c r="D208"/>
  <c r="B209"/>
  <c r="C209"/>
  <c r="D209"/>
  <c r="F209"/>
  <c r="B210"/>
  <c r="C210"/>
  <c r="D210"/>
  <c r="F210"/>
  <c r="B211"/>
  <c r="C211"/>
  <c r="D211"/>
  <c r="F211"/>
  <c r="B212"/>
  <c r="C212"/>
  <c r="D212"/>
  <c r="F212"/>
  <c r="B213"/>
  <c r="C213"/>
  <c r="D213"/>
  <c r="F213"/>
  <c r="B214"/>
  <c r="C214"/>
  <c r="D214"/>
  <c r="F214"/>
  <c r="B215"/>
  <c r="C215"/>
  <c r="D215"/>
  <c r="F215"/>
  <c r="B216"/>
  <c r="C216"/>
  <c r="D216"/>
  <c r="F216"/>
  <c r="B217"/>
  <c r="C217"/>
  <c r="D217"/>
  <c r="B218"/>
  <c r="C218"/>
  <c r="D218"/>
  <c r="F218"/>
  <c r="B219"/>
  <c r="C219"/>
  <c r="D219"/>
  <c r="E219" s="1"/>
  <c r="F219"/>
  <c r="B220"/>
  <c r="C220"/>
  <c r="D220"/>
  <c r="F220"/>
  <c r="B221"/>
  <c r="C221"/>
  <c r="D221"/>
  <c r="F221"/>
  <c r="B222"/>
  <c r="C222"/>
  <c r="D222"/>
  <c r="B223"/>
  <c r="C223"/>
  <c r="D223"/>
  <c r="F223"/>
  <c r="B224"/>
  <c r="C224"/>
  <c r="D224"/>
  <c r="E224"/>
  <c r="F224"/>
  <c r="B225"/>
  <c r="D225"/>
  <c r="B226"/>
  <c r="C226"/>
  <c r="D226"/>
  <c r="F226"/>
  <c r="CO75" i="2" l="1"/>
  <c r="CO46"/>
  <c r="CL28"/>
  <c r="CM28" s="1"/>
  <c r="CK28"/>
  <c r="CN28" s="1"/>
  <c r="CL32"/>
  <c r="CM32" s="1"/>
  <c r="CK32"/>
  <c r="CN32" s="1"/>
  <c r="CL51"/>
  <c r="CM51" s="1"/>
  <c r="CK51"/>
  <c r="CN51" s="1"/>
  <c r="CW27"/>
  <c r="CY27"/>
  <c r="CZ27"/>
  <c r="CX27"/>
  <c r="DD28"/>
  <c r="DB28"/>
  <c r="CP46"/>
  <c r="CM46"/>
  <c r="DC27"/>
  <c r="DE27"/>
  <c r="CP75"/>
  <c r="CM75"/>
  <c r="CL66"/>
  <c r="CM66" s="1"/>
  <c r="CK66"/>
  <c r="CN66" s="1"/>
  <c r="AP28"/>
  <c r="AP29" s="1"/>
  <c r="AO28"/>
  <c r="U94"/>
  <c r="CH94"/>
  <c r="AZ381"/>
  <c r="D281"/>
  <c r="CU387"/>
  <c r="DF368"/>
  <c r="D282"/>
  <c r="BN365"/>
  <c r="CL364"/>
  <c r="CM364" s="1"/>
  <c r="AU387"/>
  <c r="AW374"/>
  <c r="AW375" s="1"/>
  <c r="T368"/>
  <c r="DF362"/>
  <c r="CT376"/>
  <c r="CZ374"/>
  <c r="V374"/>
  <c r="BA374" s="1"/>
  <c r="CT387"/>
  <c r="S386"/>
  <c r="S387" s="1"/>
  <c r="V382"/>
  <c r="BA382" s="1"/>
  <c r="Z374"/>
  <c r="CS363"/>
  <c r="CT363" s="1"/>
  <c r="CW362"/>
  <c r="CT374"/>
  <c r="AP374" s="1"/>
  <c r="DC374"/>
  <c r="CX374"/>
  <c r="AK374"/>
  <c r="BH371"/>
  <c r="AI362"/>
  <c r="W362"/>
  <c r="X362" s="1"/>
  <c r="AS362" s="1"/>
  <c r="ED362" s="1"/>
  <c r="DH364"/>
  <c r="DI364" s="1"/>
  <c r="T362"/>
  <c r="T363" s="1"/>
  <c r="E165" i="14"/>
  <c r="E160"/>
  <c r="G72"/>
  <c r="I72"/>
  <c r="H72"/>
  <c r="H14"/>
  <c r="G14"/>
  <c r="F7" i="22"/>
  <c r="F217"/>
  <c r="F21"/>
  <c r="F49"/>
  <c r="F54"/>
  <c r="F105"/>
  <c r="F175"/>
  <c r="F180"/>
  <c r="F133"/>
  <c r="F138"/>
  <c r="F147"/>
  <c r="F152"/>
  <c r="F161"/>
  <c r="F166"/>
  <c r="F189"/>
  <c r="F194"/>
  <c r="F203"/>
  <c r="F208"/>
  <c r="F222"/>
  <c r="F26"/>
  <c r="F77"/>
  <c r="F110"/>
  <c r="G161" i="14"/>
  <c r="H161"/>
  <c r="E74"/>
  <c r="E71"/>
  <c r="E22"/>
  <c r="E23"/>
  <c r="I23" s="1"/>
  <c r="E163"/>
  <c r="E162"/>
  <c r="G26"/>
  <c r="H26"/>
  <c r="E16" i="16"/>
  <c r="E17"/>
  <c r="E3"/>
  <c r="E226"/>
  <c r="F225" i="22"/>
  <c r="C187"/>
  <c r="C186"/>
  <c r="C183"/>
  <c r="C182"/>
  <c r="C173"/>
  <c r="C172"/>
  <c r="C169"/>
  <c r="C103"/>
  <c r="C102"/>
  <c r="C99"/>
  <c r="C98"/>
  <c r="C89"/>
  <c r="C88"/>
  <c r="C85"/>
  <c r="C84"/>
  <c r="F76"/>
  <c r="C53"/>
  <c r="C47"/>
  <c r="C46"/>
  <c r="C43"/>
  <c r="C42"/>
  <c r="F27"/>
  <c r="C18"/>
  <c r="C16"/>
  <c r="F15"/>
  <c r="C10"/>
  <c r="C6"/>
  <c r="C215" i="16"/>
  <c r="C214"/>
  <c r="C211"/>
  <c r="C201"/>
  <c r="C200"/>
  <c r="C197"/>
  <c r="C187"/>
  <c r="C186"/>
  <c r="C183"/>
  <c r="C173"/>
  <c r="C172"/>
  <c r="C169"/>
  <c r="C159"/>
  <c r="C158"/>
  <c r="C155"/>
  <c r="C145"/>
  <c r="C144"/>
  <c r="C141"/>
  <c r="C131"/>
  <c r="C130"/>
  <c r="C127"/>
  <c r="C117"/>
  <c r="C108"/>
  <c r="C94"/>
  <c r="C75"/>
  <c r="C61"/>
  <c r="C60"/>
  <c r="C57"/>
  <c r="E41"/>
  <c r="C33"/>
  <c r="E25"/>
  <c r="E22"/>
  <c r="I18"/>
  <c r="E11"/>
  <c r="E252" i="14"/>
  <c r="E232"/>
  <c r="I232" s="1"/>
  <c r="E212"/>
  <c r="E196"/>
  <c r="E192"/>
  <c r="E186"/>
  <c r="E176"/>
  <c r="E172"/>
  <c r="E166"/>
  <c r="E164"/>
  <c r="I164" s="1"/>
  <c r="E156"/>
  <c r="E152"/>
  <c r="E146"/>
  <c r="E136"/>
  <c r="I136" s="1"/>
  <c r="E132"/>
  <c r="E126"/>
  <c r="E116"/>
  <c r="E112"/>
  <c r="I112" s="1"/>
  <c r="E106"/>
  <c r="E96"/>
  <c r="I94"/>
  <c r="H93"/>
  <c r="E92"/>
  <c r="I90"/>
  <c r="H89"/>
  <c r="I87"/>
  <c r="H86"/>
  <c r="I83"/>
  <c r="H82"/>
  <c r="H78"/>
  <c r="D75"/>
  <c r="H73"/>
  <c r="H68"/>
  <c r="I65"/>
  <c r="H64"/>
  <c r="I61"/>
  <c r="H60"/>
  <c r="H58"/>
  <c r="H56"/>
  <c r="H54"/>
  <c r="H52"/>
  <c r="H50"/>
  <c r="H48"/>
  <c r="H42"/>
  <c r="E36"/>
  <c r="I36" s="1"/>
  <c r="I11"/>
  <c r="AA33"/>
  <c r="R32"/>
  <c r="H30"/>
  <c r="H9"/>
  <c r="I8"/>
  <c r="E6"/>
  <c r="I80" i="20"/>
  <c r="H79"/>
  <c r="F78"/>
  <c r="I76"/>
  <c r="H75"/>
  <c r="F74"/>
  <c r="I72"/>
  <c r="H71"/>
  <c r="F70"/>
  <c r="I68"/>
  <c r="H67"/>
  <c r="F66"/>
  <c r="I64"/>
  <c r="H63"/>
  <c r="F62"/>
  <c r="I60"/>
  <c r="H59"/>
  <c r="F58"/>
  <c r="I56"/>
  <c r="H55"/>
  <c r="F54"/>
  <c r="I52"/>
  <c r="H51"/>
  <c r="F50"/>
  <c r="I48"/>
  <c r="H47"/>
  <c r="F46"/>
  <c r="I44"/>
  <c r="H43"/>
  <c r="F42"/>
  <c r="I40"/>
  <c r="H39"/>
  <c r="F38"/>
  <c r="I36"/>
  <c r="H35"/>
  <c r="F34"/>
  <c r="I32"/>
  <c r="H31"/>
  <c r="F30"/>
  <c r="I28"/>
  <c r="H27"/>
  <c r="F26"/>
  <c r="I24"/>
  <c r="H23"/>
  <c r="F22"/>
  <c r="I20"/>
  <c r="H19"/>
  <c r="F18"/>
  <c r="I16"/>
  <c r="R14"/>
  <c r="X13"/>
  <c r="Z12"/>
  <c r="R12"/>
  <c r="Y13"/>
  <c r="U13"/>
  <c r="Q13"/>
  <c r="AS381" i="2"/>
  <c r="CT377"/>
  <c r="AO374"/>
  <c r="AM374"/>
  <c r="AI374"/>
  <c r="AR371"/>
  <c r="S368"/>
  <c r="CS366"/>
  <c r="CT366" s="1"/>
  <c r="Q363"/>
  <c r="CX362"/>
  <c r="R363"/>
  <c r="R364" s="1"/>
  <c r="R365" s="1"/>
  <c r="R366" s="1"/>
  <c r="S362"/>
  <c r="S363" s="1"/>
  <c r="S364" s="1"/>
  <c r="S365" s="1"/>
  <c r="S366" s="1"/>
  <c r="Z16" i="20"/>
  <c r="R16"/>
  <c r="T364" i="2"/>
  <c r="T365" s="1"/>
  <c r="T366" s="1"/>
  <c r="C225" i="22"/>
  <c r="F188"/>
  <c r="F181"/>
  <c r="F174"/>
  <c r="C131"/>
  <c r="C130"/>
  <c r="C127"/>
  <c r="C126"/>
  <c r="F104"/>
  <c r="F83"/>
  <c r="F55"/>
  <c r="F48"/>
  <c r="C14"/>
  <c r="C226" i="16"/>
  <c r="C220"/>
  <c r="C206"/>
  <c r="C192"/>
  <c r="C178"/>
  <c r="C164"/>
  <c r="C150"/>
  <c r="C136"/>
  <c r="C122"/>
  <c r="C103"/>
  <c r="C102"/>
  <c r="C99"/>
  <c r="C89"/>
  <c r="C88"/>
  <c r="C79"/>
  <c r="C65"/>
  <c r="C42"/>
  <c r="C37"/>
  <c r="C28"/>
  <c r="C26"/>
  <c r="C24"/>
  <c r="C23"/>
  <c r="C17"/>
  <c r="E253" i="14"/>
  <c r="E233"/>
  <c r="E213"/>
  <c r="E199"/>
  <c r="E193"/>
  <c r="E189"/>
  <c r="E179"/>
  <c r="I179" s="1"/>
  <c r="E173"/>
  <c r="E169"/>
  <c r="E159"/>
  <c r="E153"/>
  <c r="E149"/>
  <c r="E139"/>
  <c r="E133"/>
  <c r="E129"/>
  <c r="E119"/>
  <c r="E113"/>
  <c r="E109"/>
  <c r="E99"/>
  <c r="I99" s="1"/>
  <c r="H95"/>
  <c r="H91"/>
  <c r="H88"/>
  <c r="H84"/>
  <c r="H80"/>
  <c r="E79"/>
  <c r="H76"/>
  <c r="E69"/>
  <c r="H66"/>
  <c r="H62"/>
  <c r="H59"/>
  <c r="H57"/>
  <c r="H55"/>
  <c r="H53"/>
  <c r="H51"/>
  <c r="H49"/>
  <c r="H47"/>
  <c r="E46"/>
  <c r="G46" s="1"/>
  <c r="G44"/>
  <c r="I41"/>
  <c r="E32"/>
  <c r="H32" s="1"/>
  <c r="AC33"/>
  <c r="Y33"/>
  <c r="U33"/>
  <c r="D25"/>
  <c r="E12"/>
  <c r="H12" s="1"/>
  <c r="F80" i="20"/>
  <c r="I78"/>
  <c r="H77"/>
  <c r="F76"/>
  <c r="I74"/>
  <c r="H73"/>
  <c r="F72"/>
  <c r="I70"/>
  <c r="H69"/>
  <c r="F68"/>
  <c r="I66"/>
  <c r="H65"/>
  <c r="F64"/>
  <c r="I62"/>
  <c r="H61"/>
  <c r="F60"/>
  <c r="I58"/>
  <c r="H57"/>
  <c r="F56"/>
  <c r="I54"/>
  <c r="H53"/>
  <c r="F52"/>
  <c r="I50"/>
  <c r="H49"/>
  <c r="F48"/>
  <c r="I46"/>
  <c r="H45"/>
  <c r="F44"/>
  <c r="I42"/>
  <c r="H41"/>
  <c r="F40"/>
  <c r="I38"/>
  <c r="H37"/>
  <c r="F36"/>
  <c r="I34"/>
  <c r="H33"/>
  <c r="F32"/>
  <c r="I30"/>
  <c r="H29"/>
  <c r="F28"/>
  <c r="I26"/>
  <c r="H25"/>
  <c r="F24"/>
  <c r="I22"/>
  <c r="H21"/>
  <c r="F20"/>
  <c r="I18"/>
  <c r="H17"/>
  <c r="F16"/>
  <c r="V15"/>
  <c r="Z14"/>
  <c r="G3"/>
  <c r="V12"/>
  <c r="V16" s="1"/>
  <c r="F3"/>
  <c r="R387" i="2"/>
  <c r="T386"/>
  <c r="T387" s="1"/>
  <c r="AX382"/>
  <c r="AS382" s="1"/>
  <c r="BB381"/>
  <c r="CM376"/>
  <c r="DB374"/>
  <c r="CW374"/>
  <c r="CS368"/>
  <c r="Z368" s="1"/>
  <c r="O364"/>
  <c r="Q364" s="1"/>
  <c r="CS362"/>
  <c r="N113"/>
  <c r="I95" i="14"/>
  <c r="I91"/>
  <c r="I84"/>
  <c r="I80"/>
  <c r="I76"/>
  <c r="I66"/>
  <c r="I62"/>
  <c r="E33"/>
  <c r="H80" i="20"/>
  <c r="H76"/>
  <c r="H72"/>
  <c r="H68"/>
  <c r="H64"/>
  <c r="H60"/>
  <c r="H56"/>
  <c r="H52"/>
  <c r="H48"/>
  <c r="H44"/>
  <c r="H40"/>
  <c r="H36"/>
  <c r="H32"/>
  <c r="H28"/>
  <c r="H24"/>
  <c r="H20"/>
  <c r="H16"/>
  <c r="AS373" i="2"/>
  <c r="BC371"/>
  <c r="CW368"/>
  <c r="AI368"/>
  <c r="W368"/>
  <c r="X368" s="1"/>
  <c r="AS368" s="1"/>
  <c r="ED368" s="1"/>
  <c r="N114"/>
  <c r="AH374"/>
  <c r="AH375" s="1"/>
  <c r="C32" i="16"/>
  <c r="I12"/>
  <c r="I15"/>
  <c r="I21"/>
  <c r="C29"/>
  <c r="C43"/>
  <c r="C46"/>
  <c r="G22" i="14"/>
  <c r="I22"/>
  <c r="H22"/>
  <c r="G7"/>
  <c r="I7"/>
  <c r="H7"/>
  <c r="G43"/>
  <c r="I43"/>
  <c r="H43"/>
  <c r="F82" i="22"/>
  <c r="F62"/>
  <c r="F34"/>
  <c r="F17"/>
  <c r="F13"/>
  <c r="E114" i="16"/>
  <c r="E115"/>
  <c r="E15"/>
  <c r="E18"/>
  <c r="E37"/>
  <c r="E38"/>
  <c r="E65"/>
  <c r="E66"/>
  <c r="E79"/>
  <c r="E80"/>
  <c r="E93"/>
  <c r="E94"/>
  <c r="E107"/>
  <c r="E108"/>
  <c r="E121"/>
  <c r="E122"/>
  <c r="E135"/>
  <c r="E136"/>
  <c r="E149"/>
  <c r="E150"/>
  <c r="E163"/>
  <c r="E164"/>
  <c r="E177"/>
  <c r="E178"/>
  <c r="E191"/>
  <c r="E192"/>
  <c r="E205"/>
  <c r="E206"/>
  <c r="E219"/>
  <c r="E220"/>
  <c r="E9"/>
  <c r="I5" i="14"/>
  <c r="H5"/>
  <c r="G5"/>
  <c r="I4"/>
  <c r="H4"/>
  <c r="G4"/>
  <c r="E3"/>
  <c r="E322"/>
  <c r="H13"/>
  <c r="G13"/>
  <c r="I13"/>
  <c r="F125" i="22"/>
  <c r="F124"/>
  <c r="F119"/>
  <c r="F97"/>
  <c r="F96"/>
  <c r="F91"/>
  <c r="F90"/>
  <c r="C79"/>
  <c r="C75"/>
  <c r="F69"/>
  <c r="F68"/>
  <c r="F63"/>
  <c r="C56"/>
  <c r="F41"/>
  <c r="F40"/>
  <c r="F35"/>
  <c r="C28"/>
  <c r="F20"/>
  <c r="J18"/>
  <c r="F12"/>
  <c r="C74" i="16"/>
  <c r="C71"/>
  <c r="E42"/>
  <c r="E47"/>
  <c r="E56"/>
  <c r="E61"/>
  <c r="E70"/>
  <c r="E75"/>
  <c r="E84"/>
  <c r="E89"/>
  <c r="E98"/>
  <c r="E103"/>
  <c r="E112"/>
  <c r="E117"/>
  <c r="E126"/>
  <c r="E131"/>
  <c r="E140"/>
  <c r="E145"/>
  <c r="E154"/>
  <c r="E159"/>
  <c r="E168"/>
  <c r="E173"/>
  <c r="E182"/>
  <c r="E187"/>
  <c r="E196"/>
  <c r="E201"/>
  <c r="E210"/>
  <c r="E215"/>
  <c r="E224"/>
  <c r="E14"/>
  <c r="E19"/>
  <c r="E28"/>
  <c r="E33"/>
  <c r="E5"/>
  <c r="E113"/>
  <c r="E116"/>
  <c r="E51"/>
  <c r="E52"/>
  <c r="E4"/>
  <c r="E225"/>
  <c r="E70" i="14"/>
  <c r="E75"/>
  <c r="G25"/>
  <c r="I25"/>
  <c r="H25"/>
  <c r="C27" i="16"/>
  <c r="C6"/>
  <c r="C34"/>
  <c r="C41"/>
  <c r="C48"/>
  <c r="H21" i="14"/>
  <c r="G21"/>
  <c r="I21"/>
  <c r="D17" i="22"/>
  <c r="CS387" i="2"/>
  <c r="CR387"/>
  <c r="BG381"/>
  <c r="AC382"/>
  <c r="BG382" s="1"/>
  <c r="AY374"/>
  <c r="AV364"/>
  <c r="I321" i="14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5"/>
  <c r="I194"/>
  <c r="I193"/>
  <c r="I192"/>
  <c r="I191"/>
  <c r="I190"/>
  <c r="I189"/>
  <c r="I188"/>
  <c r="I187"/>
  <c r="I186"/>
  <c r="I185"/>
  <c r="I184"/>
  <c r="I183"/>
  <c r="I182"/>
  <c r="I181"/>
  <c r="I180"/>
  <c r="I178"/>
  <c r="I177"/>
  <c r="I176"/>
  <c r="I175"/>
  <c r="I174"/>
  <c r="I173"/>
  <c r="I171"/>
  <c r="I170"/>
  <c r="I169"/>
  <c r="I168"/>
  <c r="I167"/>
  <c r="I166"/>
  <c r="I165"/>
  <c r="I163"/>
  <c r="I161"/>
  <c r="I160"/>
  <c r="I159"/>
  <c r="I158"/>
  <c r="I157"/>
  <c r="I156"/>
  <c r="I155"/>
  <c r="I154"/>
  <c r="I153"/>
  <c r="I151"/>
  <c r="I150"/>
  <c r="I149"/>
  <c r="I148"/>
  <c r="I147"/>
  <c r="I146"/>
  <c r="I145"/>
  <c r="I144"/>
  <c r="I143"/>
  <c r="I142"/>
  <c r="I141"/>
  <c r="I140"/>
  <c r="I139"/>
  <c r="I138"/>
  <c r="I137"/>
  <c r="I135"/>
  <c r="I134"/>
  <c r="I133"/>
  <c r="I132"/>
  <c r="I131"/>
  <c r="I130"/>
  <c r="I129"/>
  <c r="I128"/>
  <c r="I127"/>
  <c r="I125"/>
  <c r="I124"/>
  <c r="I123"/>
  <c r="I122"/>
  <c r="I121"/>
  <c r="I120"/>
  <c r="I119"/>
  <c r="I118"/>
  <c r="I117"/>
  <c r="I116"/>
  <c r="I115"/>
  <c r="I114"/>
  <c r="I113"/>
  <c r="I111"/>
  <c r="I110"/>
  <c r="I109"/>
  <c r="I108"/>
  <c r="I107"/>
  <c r="I106"/>
  <c r="I105"/>
  <c r="I104"/>
  <c r="I103"/>
  <c r="I102"/>
  <c r="I101"/>
  <c r="I100"/>
  <c r="I98"/>
  <c r="I97"/>
  <c r="I88"/>
  <c r="I59"/>
  <c r="I58"/>
  <c r="I57"/>
  <c r="I56"/>
  <c r="I55"/>
  <c r="I54"/>
  <c r="I53"/>
  <c r="I52"/>
  <c r="I51"/>
  <c r="I50"/>
  <c r="I49"/>
  <c r="I48"/>
  <c r="I47"/>
  <c r="G45"/>
  <c r="I42"/>
  <c r="G40"/>
  <c r="G39"/>
  <c r="G38"/>
  <c r="G37"/>
  <c r="G36"/>
  <c r="G35"/>
  <c r="Z34"/>
  <c r="V34"/>
  <c r="R34"/>
  <c r="I33"/>
  <c r="AB32"/>
  <c r="X32"/>
  <c r="T32"/>
  <c r="E28"/>
  <c r="E27"/>
  <c r="I26"/>
  <c r="G24"/>
  <c r="G23"/>
  <c r="D21"/>
  <c r="E20"/>
  <c r="G16"/>
  <c r="G15"/>
  <c r="G10"/>
  <c r="I9"/>
  <c r="G8"/>
  <c r="X15" i="20"/>
  <c r="T15"/>
  <c r="P15"/>
  <c r="H15"/>
  <c r="Y14"/>
  <c r="U14"/>
  <c r="Q14"/>
  <c r="I14"/>
  <c r="F13"/>
  <c r="W12"/>
  <c r="S12"/>
  <c r="O12"/>
  <c r="G12"/>
  <c r="G11"/>
  <c r="G10"/>
  <c r="G9"/>
  <c r="G8"/>
  <c r="G7"/>
  <c r="G6"/>
  <c r="G5"/>
  <c r="G4"/>
  <c r="Z382" i="2"/>
  <c r="BF382" s="1"/>
  <c r="AQ381"/>
  <c r="AL374"/>
  <c r="CM386"/>
  <c r="CL386"/>
  <c r="AR381"/>
  <c r="AW382"/>
  <c r="AY375"/>
  <c r="AJ374"/>
  <c r="W374"/>
  <c r="AE374"/>
  <c r="AE375" s="1"/>
  <c r="AQ373"/>
  <c r="AU373"/>
  <c r="AV374"/>
  <c r="BF365"/>
  <c r="EU365" s="1"/>
  <c r="CR365"/>
  <c r="CU365" s="1"/>
  <c r="CF365"/>
  <c r="CS365"/>
  <c r="CT365" s="1"/>
  <c r="BA362"/>
  <c r="H45" i="14"/>
  <c r="I44"/>
  <c r="G41"/>
  <c r="H40"/>
  <c r="H39"/>
  <c r="H38"/>
  <c r="H37"/>
  <c r="H36"/>
  <c r="H35"/>
  <c r="AA34"/>
  <c r="AA35" s="1"/>
  <c r="W34"/>
  <c r="W35" s="1"/>
  <c r="S34"/>
  <c r="S35" s="1"/>
  <c r="I34"/>
  <c r="AC32"/>
  <c r="AC35" s="1"/>
  <c r="Y32"/>
  <c r="Y35" s="1"/>
  <c r="U32"/>
  <c r="G32"/>
  <c r="G31"/>
  <c r="G30"/>
  <c r="G29"/>
  <c r="H24"/>
  <c r="H23"/>
  <c r="D22"/>
  <c r="G19"/>
  <c r="E18"/>
  <c r="H16"/>
  <c r="H15"/>
  <c r="I14"/>
  <c r="G12"/>
  <c r="G11"/>
  <c r="H10"/>
  <c r="H8"/>
  <c r="H12" i="20"/>
  <c r="H11"/>
  <c r="H10"/>
  <c r="H9"/>
  <c r="H8"/>
  <c r="H7"/>
  <c r="H6"/>
  <c r="H5"/>
  <c r="H4"/>
  <c r="H3"/>
  <c r="AU381" i="2"/>
  <c r="CT371"/>
  <c r="CM371"/>
  <c r="AQ371"/>
  <c r="BA368"/>
  <c r="AY365"/>
  <c r="DG365" s="1"/>
  <c r="DJ365" s="1"/>
  <c r="CG365"/>
  <c r="DH365"/>
  <c r="DI365" s="1"/>
  <c r="E81" i="16"/>
  <c r="E78"/>
  <c r="E67"/>
  <c r="E64"/>
  <c r="E53"/>
  <c r="E39"/>
  <c r="C21"/>
  <c r="C12"/>
  <c r="AB34" i="14"/>
  <c r="X34"/>
  <c r="T34"/>
  <c r="Z32"/>
  <c r="V32"/>
  <c r="V35" s="1"/>
  <c r="E17"/>
  <c r="F15" i="20"/>
  <c r="W14"/>
  <c r="S14"/>
  <c r="O14"/>
  <c r="H13"/>
  <c r="Y12"/>
  <c r="U12"/>
  <c r="U16" s="1"/>
  <c r="Q12"/>
  <c r="I12"/>
  <c r="I11"/>
  <c r="I10"/>
  <c r="I9"/>
  <c r="I8"/>
  <c r="I7"/>
  <c r="I6"/>
  <c r="I5"/>
  <c r="I4"/>
  <c r="I3"/>
  <c r="CK386" i="2"/>
  <c r="AD376"/>
  <c r="AG375"/>
  <c r="BK365"/>
  <c r="I32" i="14"/>
  <c r="I31"/>
  <c r="I30"/>
  <c r="I29"/>
  <c r="I19"/>
  <c r="I12"/>
  <c r="X14" i="20"/>
  <c r="X16" s="1"/>
  <c r="T14"/>
  <c r="T16" s="1"/>
  <c r="P14"/>
  <c r="P16" s="1"/>
  <c r="F12"/>
  <c r="F11"/>
  <c r="F10"/>
  <c r="F9"/>
  <c r="F8"/>
  <c r="F7"/>
  <c r="F6"/>
  <c r="F5"/>
  <c r="F4"/>
  <c r="CN386" i="2"/>
  <c r="AD382"/>
  <c r="AY382" s="1"/>
  <c r="AT381"/>
  <c r="CY374"/>
  <c r="AR373"/>
  <c r="CG371"/>
  <c r="DN371" s="1"/>
  <c r="CR366"/>
  <c r="CU366" s="1"/>
  <c r="D2" i="10"/>
  <c r="L9" i="9"/>
  <c r="EY7" i="2"/>
  <c r="EX7"/>
  <c r="EW7"/>
  <c r="FA7"/>
  <c r="EZ7"/>
  <c r="CX368"/>
  <c r="AK368"/>
  <c r="AG368"/>
  <c r="CO365"/>
  <c r="CK365"/>
  <c r="CN365" s="1"/>
  <c r="CR364"/>
  <c r="CU364" s="1"/>
  <c r="AW364"/>
  <c r="CK363"/>
  <c r="CF363"/>
  <c r="DC362"/>
  <c r="AO362"/>
  <c r="AK362"/>
  <c r="AG362"/>
  <c r="AD368"/>
  <c r="CL365"/>
  <c r="BC365"/>
  <c r="CS364"/>
  <c r="CT364" s="1"/>
  <c r="CO364"/>
  <c r="CF364"/>
  <c r="CR363"/>
  <c r="CU363" s="1"/>
  <c r="CL363"/>
  <c r="CM363" s="1"/>
  <c r="CG363"/>
  <c r="AD362"/>
  <c r="Z362"/>
  <c r="CG364"/>
  <c r="AM362"/>
  <c r="AL28" l="1"/>
  <c r="AL29" s="1"/>
  <c r="AG28"/>
  <c r="AG29" s="1"/>
  <c r="AH30" s="1"/>
  <c r="AH31" s="1"/>
  <c r="AK28"/>
  <c r="AK29" s="1"/>
  <c r="AH28"/>
  <c r="AH29" s="1"/>
  <c r="DE28"/>
  <c r="DC28"/>
  <c r="DB29"/>
  <c r="DD29"/>
  <c r="Y362"/>
  <c r="BB362" s="1"/>
  <c r="CP364"/>
  <c r="AO29"/>
  <c r="CX28"/>
  <c r="CZ28"/>
  <c r="CY28"/>
  <c r="CW28"/>
  <c r="AP387"/>
  <c r="EA94"/>
  <c r="D157" s="1"/>
  <c r="DL94"/>
  <c r="D158" s="1"/>
  <c r="S94"/>
  <c r="CY375"/>
  <c r="N115"/>
  <c r="P114"/>
  <c r="T94"/>
  <c r="P113"/>
  <c r="CZ375"/>
  <c r="DE387"/>
  <c r="AP375"/>
  <c r="AO375"/>
  <c r="EE368"/>
  <c r="AN387"/>
  <c r="AN374"/>
  <c r="AM375" s="1"/>
  <c r="AK375"/>
  <c r="AA387"/>
  <c r="AA374"/>
  <c r="AC374" s="1"/>
  <c r="BG374" s="1"/>
  <c r="CX375"/>
  <c r="DD387"/>
  <c r="BC374"/>
  <c r="DN374" s="1"/>
  <c r="AI375"/>
  <c r="AR374"/>
  <c r="Y368"/>
  <c r="BB368" s="1"/>
  <c r="BF374"/>
  <c r="BH374" s="1"/>
  <c r="DO374" s="1"/>
  <c r="DB387"/>
  <c r="AU382"/>
  <c r="DD374"/>
  <c r="DD375" s="1"/>
  <c r="DE374"/>
  <c r="DE375" s="1"/>
  <c r="G6" i="14"/>
  <c r="H6"/>
  <c r="G96"/>
  <c r="H96"/>
  <c r="G126"/>
  <c r="H126"/>
  <c r="G152"/>
  <c r="H152"/>
  <c r="G172"/>
  <c r="H172"/>
  <c r="G196"/>
  <c r="H196"/>
  <c r="G162"/>
  <c r="H162"/>
  <c r="G71"/>
  <c r="I71"/>
  <c r="H71"/>
  <c r="G165"/>
  <c r="H165"/>
  <c r="G33"/>
  <c r="H33"/>
  <c r="G119"/>
  <c r="H119"/>
  <c r="G149"/>
  <c r="H149"/>
  <c r="G173"/>
  <c r="H173"/>
  <c r="G199"/>
  <c r="H199"/>
  <c r="G116"/>
  <c r="H116"/>
  <c r="G146"/>
  <c r="H146"/>
  <c r="G166"/>
  <c r="H166"/>
  <c r="G192"/>
  <c r="H192"/>
  <c r="G252"/>
  <c r="H252"/>
  <c r="G160"/>
  <c r="H160"/>
  <c r="AI363" i="2"/>
  <c r="EF365"/>
  <c r="EG365" s="1"/>
  <c r="Q16" i="20"/>
  <c r="U35" i="14"/>
  <c r="I96"/>
  <c r="I152"/>
  <c r="I172"/>
  <c r="I196"/>
  <c r="AA362" i="2"/>
  <c r="DB362"/>
  <c r="DD363" s="1"/>
  <c r="H46" i="14"/>
  <c r="I46"/>
  <c r="G79"/>
  <c r="H79"/>
  <c r="I79"/>
  <c r="G113"/>
  <c r="H113"/>
  <c r="G139"/>
  <c r="H139"/>
  <c r="G169"/>
  <c r="H169"/>
  <c r="G193"/>
  <c r="H193"/>
  <c r="G253"/>
  <c r="H253"/>
  <c r="G112"/>
  <c r="H112"/>
  <c r="G136"/>
  <c r="H136"/>
  <c r="G164"/>
  <c r="H164"/>
  <c r="G186"/>
  <c r="H186"/>
  <c r="G232"/>
  <c r="H232"/>
  <c r="R35"/>
  <c r="AA368" i="2"/>
  <c r="AC368" s="1"/>
  <c r="BG368" s="1"/>
  <c r="DB368"/>
  <c r="G69" i="14"/>
  <c r="H69"/>
  <c r="I69"/>
  <c r="G99"/>
  <c r="H99"/>
  <c r="G129"/>
  <c r="H129"/>
  <c r="G153"/>
  <c r="H153"/>
  <c r="G179"/>
  <c r="H179"/>
  <c r="G213"/>
  <c r="H213"/>
  <c r="G109"/>
  <c r="H109"/>
  <c r="G133"/>
  <c r="H133"/>
  <c r="G159"/>
  <c r="H159"/>
  <c r="G189"/>
  <c r="H189"/>
  <c r="G233"/>
  <c r="H233"/>
  <c r="G92"/>
  <c r="I92"/>
  <c r="H92"/>
  <c r="G106"/>
  <c r="H106"/>
  <c r="G132"/>
  <c r="H132"/>
  <c r="G156"/>
  <c r="H156"/>
  <c r="G176"/>
  <c r="H176"/>
  <c r="G212"/>
  <c r="H212"/>
  <c r="C52" i="16"/>
  <c r="C51"/>
  <c r="G163" i="14"/>
  <c r="H163"/>
  <c r="G74"/>
  <c r="H74"/>
  <c r="I74"/>
  <c r="AO368" i="2"/>
  <c r="DC368"/>
  <c r="Y16" i="20"/>
  <c r="Z35" i="14"/>
  <c r="AM368" i="2"/>
  <c r="I6" i="14"/>
  <c r="I126"/>
  <c r="I162"/>
  <c r="AE376" i="2"/>
  <c r="AZ376" s="1"/>
  <c r="AD363"/>
  <c r="AZ363" s="1"/>
  <c r="DF363" s="1"/>
  <c r="AY362"/>
  <c r="AP363"/>
  <c r="AO363"/>
  <c r="BF368"/>
  <c r="EU368" s="1"/>
  <c r="AR368"/>
  <c r="EC368" s="1"/>
  <c r="V386"/>
  <c r="Y386" s="1"/>
  <c r="AD386"/>
  <c r="AY386" s="1"/>
  <c r="AG386"/>
  <c r="AK386"/>
  <c r="CX386"/>
  <c r="AI386"/>
  <c r="CW386"/>
  <c r="AA371"/>
  <c r="DE371"/>
  <c r="AP371"/>
  <c r="DD371"/>
  <c r="AN371"/>
  <c r="AZ365"/>
  <c r="DF365" s="1"/>
  <c r="I27" i="14"/>
  <c r="H27"/>
  <c r="G27"/>
  <c r="AV365" i="2"/>
  <c r="G322" i="14"/>
  <c r="I322"/>
  <c r="H322"/>
  <c r="C15" i="16"/>
  <c r="C18"/>
  <c r="CW375" i="2"/>
  <c r="V363"/>
  <c r="AB35" i="14"/>
  <c r="AQ382" i="2"/>
  <c r="O113"/>
  <c r="AN363"/>
  <c r="AM363"/>
  <c r="AR362"/>
  <c r="EC362" s="1"/>
  <c r="BF362"/>
  <c r="EU362" s="1"/>
  <c r="AC362"/>
  <c r="BG362" s="1"/>
  <c r="AK363"/>
  <c r="AW365"/>
  <c r="AW376"/>
  <c r="DM365"/>
  <c r="W371"/>
  <c r="AE371"/>
  <c r="AZ371" s="1"/>
  <c r="BE371" s="1"/>
  <c r="DO371" s="1"/>
  <c r="CZ371"/>
  <c r="AH371"/>
  <c r="AL371"/>
  <c r="CY371"/>
  <c r="AJ371"/>
  <c r="AB374"/>
  <c r="Z375" s="1"/>
  <c r="AV375"/>
  <c r="AQ374"/>
  <c r="X374"/>
  <c r="AU374" s="1"/>
  <c r="Y374"/>
  <c r="BB374" s="1"/>
  <c r="AR382"/>
  <c r="AT382"/>
  <c r="I20" i="14"/>
  <c r="H20"/>
  <c r="G20"/>
  <c r="AO387" i="2"/>
  <c r="DC387"/>
  <c r="AM387"/>
  <c r="Z387"/>
  <c r="H70" i="14"/>
  <c r="G70"/>
  <c r="I70"/>
  <c r="C113" i="16"/>
  <c r="C116"/>
  <c r="EE362" i="2"/>
  <c r="AQ362"/>
  <c r="EB362" s="1"/>
  <c r="W16" i="20"/>
  <c r="X35" i="14"/>
  <c r="AL375" i="2"/>
  <c r="AB368"/>
  <c r="AT368" s="1"/>
  <c r="AU368"/>
  <c r="AY368"/>
  <c r="AG363"/>
  <c r="DC363"/>
  <c r="DE363"/>
  <c r="CN363"/>
  <c r="AE363" s="1"/>
  <c r="AY363" s="1"/>
  <c r="CX363"/>
  <c r="G17" i="14"/>
  <c r="I17"/>
  <c r="H17"/>
  <c r="H18"/>
  <c r="G18"/>
  <c r="I18"/>
  <c r="BO365" i="2"/>
  <c r="BL365"/>
  <c r="AZ374"/>
  <c r="AZ375"/>
  <c r="AH386"/>
  <c r="AL386"/>
  <c r="CY386"/>
  <c r="AJ386"/>
  <c r="W386"/>
  <c r="CZ386"/>
  <c r="AE386"/>
  <c r="H75" i="14"/>
  <c r="G75"/>
  <c r="I75"/>
  <c r="C52" i="22"/>
  <c r="C51"/>
  <c r="AB362" i="2"/>
  <c r="AT362" s="1"/>
  <c r="AU362"/>
  <c r="S16" i="20"/>
  <c r="T35" i="14"/>
  <c r="AJ375" i="2"/>
  <c r="CP365"/>
  <c r="CM365"/>
  <c r="AG376"/>
  <c r="AH376"/>
  <c r="AY376"/>
  <c r="AD377"/>
  <c r="AY377" s="1"/>
  <c r="I28" i="14"/>
  <c r="H28"/>
  <c r="G28"/>
  <c r="G3"/>
  <c r="I3"/>
  <c r="H3"/>
  <c r="C4" i="16"/>
  <c r="C225"/>
  <c r="CW363" i="2"/>
  <c r="AQ368"/>
  <c r="EB368" s="1"/>
  <c r="O16" i="20"/>
  <c r="AG30" i="2" l="1"/>
  <c r="AG31" s="1"/>
  <c r="AH32" s="1"/>
  <c r="AH33" s="1"/>
  <c r="AH34" s="1"/>
  <c r="AH35" s="1"/>
  <c r="AL30"/>
  <c r="AL31" s="1"/>
  <c r="AK30"/>
  <c r="CW29"/>
  <c r="CY29"/>
  <c r="AO30"/>
  <c r="AP30"/>
  <c r="AP31" s="1"/>
  <c r="DC29"/>
  <c r="DE29"/>
  <c r="CX29"/>
  <c r="CZ29"/>
  <c r="DB30"/>
  <c r="DD30"/>
  <c r="AB387"/>
  <c r="AT387" s="1"/>
  <c r="CX376"/>
  <c r="AI376"/>
  <c r="AO376"/>
  <c r="CZ376"/>
  <c r="AP376"/>
  <c r="P115"/>
  <c r="DB363"/>
  <c r="DD364" s="1"/>
  <c r="X386"/>
  <c r="DQ374"/>
  <c r="AK376"/>
  <c r="O114"/>
  <c r="AN375"/>
  <c r="AN376" s="1"/>
  <c r="DW374"/>
  <c r="DH94"/>
  <c r="D160" s="1"/>
  <c r="O115"/>
  <c r="DB375"/>
  <c r="DB376" s="1"/>
  <c r="DC375"/>
  <c r="DE376" s="1"/>
  <c r="W375"/>
  <c r="AA363"/>
  <c r="DU374"/>
  <c r="AH363"/>
  <c r="AH364" s="1"/>
  <c r="EF362"/>
  <c r="EG362" s="1"/>
  <c r="AS386"/>
  <c r="AS374"/>
  <c r="AL376"/>
  <c r="AK377" s="1"/>
  <c r="BF375"/>
  <c r="AR375"/>
  <c r="Q114"/>
  <c r="Q113"/>
  <c r="Q115"/>
  <c r="DI94"/>
  <c r="AW377"/>
  <c r="AH377"/>
  <c r="AG377"/>
  <c r="CX377"/>
  <c r="CZ377"/>
  <c r="AN364"/>
  <c r="AM364"/>
  <c r="CY363"/>
  <c r="CY364" s="1"/>
  <c r="W363"/>
  <c r="X363" s="1"/>
  <c r="AU363" s="1"/>
  <c r="CZ363"/>
  <c r="CX364" s="1"/>
  <c r="V375"/>
  <c r="AQ375" s="1"/>
  <c r="AL363"/>
  <c r="AK364" s="1"/>
  <c r="AC387"/>
  <c r="BG387" s="1"/>
  <c r="AM376"/>
  <c r="BB387"/>
  <c r="AR387"/>
  <c r="AA375"/>
  <c r="AB375" s="1"/>
  <c r="AT375" s="1"/>
  <c r="AT374"/>
  <c r="CW376"/>
  <c r="CY376"/>
  <c r="CW387"/>
  <c r="CY387"/>
  <c r="AC371"/>
  <c r="BG371" s="1"/>
  <c r="AB371"/>
  <c r="AT371" s="1"/>
  <c r="AP364"/>
  <c r="AO364"/>
  <c r="AE364"/>
  <c r="AD364"/>
  <c r="AY364" s="1"/>
  <c r="R94"/>
  <c r="D159"/>
  <c r="AJ376"/>
  <c r="Y371"/>
  <c r="BB371" s="1"/>
  <c r="X371"/>
  <c r="AZ386"/>
  <c r="AZ387"/>
  <c r="DE364"/>
  <c r="DC364"/>
  <c r="E238"/>
  <c r="DT374"/>
  <c r="DV374"/>
  <c r="DR374"/>
  <c r="DS374"/>
  <c r="AV376"/>
  <c r="AW366"/>
  <c r="AQ363"/>
  <c r="EB363" s="1"/>
  <c r="BU363"/>
  <c r="AV366"/>
  <c r="CX387"/>
  <c r="CZ387"/>
  <c r="AU386"/>
  <c r="AQ386"/>
  <c r="Z363"/>
  <c r="AB363" s="1"/>
  <c r="AE377"/>
  <c r="AZ377" s="1"/>
  <c r="EF368"/>
  <c r="EG368" s="1"/>
  <c r="DP374"/>
  <c r="AJ363"/>
  <c r="DD376" l="1"/>
  <c r="DD377" s="1"/>
  <c r="AG32"/>
  <c r="AG33" s="1"/>
  <c r="AG34" s="1"/>
  <c r="AG35" s="1"/>
  <c r="AK31"/>
  <c r="AL32" s="1"/>
  <c r="AL33" s="1"/>
  <c r="AL34" s="1"/>
  <c r="AL35" s="1"/>
  <c r="AO31"/>
  <c r="AO32" s="1"/>
  <c r="DB31"/>
  <c r="DD31"/>
  <c r="DC30"/>
  <c r="DE30"/>
  <c r="CW30"/>
  <c r="CY30"/>
  <c r="DB364"/>
  <c r="AK32"/>
  <c r="CZ30"/>
  <c r="CX30"/>
  <c r="AP32"/>
  <c r="AP33" s="1"/>
  <c r="AP34" s="1"/>
  <c r="AP35" s="1"/>
  <c r="CZ364"/>
  <c r="CX365" s="1"/>
  <c r="AO377"/>
  <c r="AI377"/>
  <c r="AP377"/>
  <c r="D165"/>
  <c r="C40" i="9"/>
  <c r="W364" i="2"/>
  <c r="DC376"/>
  <c r="DE377" s="1"/>
  <c r="AG364"/>
  <c r="AH365" s="1"/>
  <c r="AC375"/>
  <c r="BG375" s="1"/>
  <c r="X375"/>
  <c r="AS375" s="1"/>
  <c r="Y363"/>
  <c r="BB363" s="1"/>
  <c r="DK364"/>
  <c r="EE364" s="1"/>
  <c r="V364"/>
  <c r="AL377"/>
  <c r="BH363"/>
  <c r="AT363"/>
  <c r="BF363"/>
  <c r="BV363"/>
  <c r="Z364"/>
  <c r="AR363"/>
  <c r="EC363" s="1"/>
  <c r="AC363"/>
  <c r="BG363" s="1"/>
  <c r="AA364"/>
  <c r="AV377"/>
  <c r="AE365"/>
  <c r="AD365"/>
  <c r="AZ364"/>
  <c r="DF364" s="1"/>
  <c r="AM365"/>
  <c r="AN365"/>
  <c r="DB365"/>
  <c r="DD365"/>
  <c r="CW364"/>
  <c r="AJ364"/>
  <c r="AI364"/>
  <c r="DG364"/>
  <c r="DJ364" s="1"/>
  <c r="Y375"/>
  <c r="BB375" s="1"/>
  <c r="BA375"/>
  <c r="BA364"/>
  <c r="BC364" s="1"/>
  <c r="AQ364"/>
  <c r="EB364" s="1"/>
  <c r="R112"/>
  <c r="R115"/>
  <c r="AO365"/>
  <c r="AP365"/>
  <c r="CW377"/>
  <c r="CY377"/>
  <c r="EE363"/>
  <c r="AS363"/>
  <c r="ED363" s="1"/>
  <c r="BA363"/>
  <c r="DX363" s="1"/>
  <c r="BC363"/>
  <c r="R113"/>
  <c r="AL364"/>
  <c r="AL365" s="1"/>
  <c r="Z376"/>
  <c r="AJ377"/>
  <c r="AS371"/>
  <c r="AU371"/>
  <c r="DC365"/>
  <c r="DE365"/>
  <c r="CZ365"/>
  <c r="D259"/>
  <c r="D319"/>
  <c r="W103"/>
  <c r="AN377"/>
  <c r="AM377"/>
  <c r="R114"/>
  <c r="AA376"/>
  <c r="C28" i="9"/>
  <c r="R112" a="1"/>
  <c r="Z114" a="1"/>
  <c r="Z115" a="1"/>
  <c r="Z118" a="1"/>
  <c r="R110" a="1"/>
  <c r="R113" a="1"/>
  <c r="R114" a="1"/>
  <c r="R111" a="1"/>
  <c r="R115" a="1"/>
  <c r="Z109" a="1"/>
  <c r="Z108" a="1"/>
  <c r="Z117" a="1"/>
  <c r="Z107" a="1"/>
  <c r="D51"/>
  <c r="Z110" a="1"/>
  <c r="D54"/>
  <c r="D57"/>
  <c r="R116" a="1"/>
  <c r="R118" a="1"/>
  <c r="Z112" a="1"/>
  <c r="R109" a="1"/>
  <c r="R108" a="1"/>
  <c r="C126" a="1"/>
  <c r="Z113" a="1"/>
  <c r="R107" a="1"/>
  <c r="R117" a="1"/>
  <c r="Z116" a="1"/>
  <c r="Z111" a="1"/>
  <c r="DB377" i="2" l="1"/>
  <c r="AO33"/>
  <c r="AO34" s="1"/>
  <c r="AO35" s="1"/>
  <c r="AP36" s="1"/>
  <c r="AP37" s="1"/>
  <c r="AP38" s="1"/>
  <c r="AK33"/>
  <c r="AK34" s="1"/>
  <c r="AK35" s="1"/>
  <c r="AL36"/>
  <c r="AL37" s="1"/>
  <c r="AL38" s="1"/>
  <c r="AK36"/>
  <c r="AK37" s="1"/>
  <c r="CW31"/>
  <c r="CY31"/>
  <c r="DD32"/>
  <c r="DB32"/>
  <c r="CZ31"/>
  <c r="CX31"/>
  <c r="DE31"/>
  <c r="DC31"/>
  <c r="AH36"/>
  <c r="AH37" s="1"/>
  <c r="AH38" s="1"/>
  <c r="AG36"/>
  <c r="AG37" s="1"/>
  <c r="AB376"/>
  <c r="AT376" s="1"/>
  <c r="DK365"/>
  <c r="EE365" s="1"/>
  <c r="X364"/>
  <c r="AS364" s="1"/>
  <c r="ED364" s="1"/>
  <c r="DC377"/>
  <c r="Z113" i="9"/>
  <c r="AA113"/>
  <c r="S107"/>
  <c r="R107"/>
  <c r="R112"/>
  <c r="S112"/>
  <c r="R114"/>
  <c r="S114"/>
  <c r="F51"/>
  <c r="E51"/>
  <c r="AA110"/>
  <c r="Z110"/>
  <c r="Z117"/>
  <c r="AA117"/>
  <c r="S117"/>
  <c r="R117"/>
  <c r="R116"/>
  <c r="S116"/>
  <c r="S113"/>
  <c r="R113"/>
  <c r="E57"/>
  <c r="F57"/>
  <c r="S111"/>
  <c r="R111"/>
  <c r="Z108"/>
  <c r="AA108"/>
  <c r="S118"/>
  <c r="R118"/>
  <c r="Z107"/>
  <c r="AA107"/>
  <c r="AA114"/>
  <c r="Z114"/>
  <c r="Z109"/>
  <c r="AA109"/>
  <c r="AA116"/>
  <c r="Z116"/>
  <c r="E54"/>
  <c r="F54"/>
  <c r="Z118"/>
  <c r="AA118"/>
  <c r="S109"/>
  <c r="R109"/>
  <c r="R108"/>
  <c r="S108"/>
  <c r="R110"/>
  <c r="S110"/>
  <c r="Z115"/>
  <c r="AA115"/>
  <c r="AA112"/>
  <c r="Z112"/>
  <c r="Z111"/>
  <c r="AA111"/>
  <c r="F126"/>
  <c r="G126"/>
  <c r="C126"/>
  <c r="H126"/>
  <c r="E126"/>
  <c r="D126"/>
  <c r="S115"/>
  <c r="R115"/>
  <c r="W376" i="2"/>
  <c r="Y376" s="1"/>
  <c r="BB376" s="1"/>
  <c r="AU375"/>
  <c r="V376"/>
  <c r="BA376" s="1"/>
  <c r="AG365"/>
  <c r="AG366" s="1"/>
  <c r="Y364"/>
  <c r="BB364" s="1"/>
  <c r="DS364" s="1"/>
  <c r="AB364"/>
  <c r="DC366"/>
  <c r="DE366"/>
  <c r="AM366"/>
  <c r="AN366"/>
  <c r="BW363"/>
  <c r="BR363"/>
  <c r="BP363" s="1"/>
  <c r="CD363"/>
  <c r="DR363"/>
  <c r="CC363"/>
  <c r="DY363"/>
  <c r="DP363"/>
  <c r="EF363"/>
  <c r="EG363" s="1"/>
  <c r="BY363"/>
  <c r="DT363"/>
  <c r="DN363"/>
  <c r="DS363"/>
  <c r="DW363"/>
  <c r="DU363"/>
  <c r="DV363"/>
  <c r="AI365"/>
  <c r="AJ365"/>
  <c r="BS363"/>
  <c r="BT363" s="1"/>
  <c r="CE363"/>
  <c r="DO363"/>
  <c r="EU363"/>
  <c r="BZ363"/>
  <c r="DZ363"/>
  <c r="DQ363"/>
  <c r="BX363"/>
  <c r="CA363"/>
  <c r="AK365"/>
  <c r="CX366"/>
  <c r="CZ366"/>
  <c r="BN364"/>
  <c r="BK364"/>
  <c r="DD366"/>
  <c r="DB366"/>
  <c r="AE366"/>
  <c r="AZ366" s="1"/>
  <c r="DF366" s="1"/>
  <c r="AD366"/>
  <c r="AY366" s="1"/>
  <c r="AT364"/>
  <c r="BF376"/>
  <c r="Z377"/>
  <c r="AC376"/>
  <c r="BG376" s="1"/>
  <c r="AR376"/>
  <c r="AO366"/>
  <c r="AP366"/>
  <c r="CW365"/>
  <c r="CY365"/>
  <c r="AR364"/>
  <c r="EC364" s="1"/>
  <c r="AC364"/>
  <c r="BG364" s="1"/>
  <c r="AA365"/>
  <c r="C127" i="9" a="1"/>
  <c r="AO36" i="2" l="1"/>
  <c r="AO37" s="1"/>
  <c r="AA377"/>
  <c r="AB377" s="1"/>
  <c r="AT377" s="1"/>
  <c r="CY32"/>
  <c r="CW32"/>
  <c r="CX32"/>
  <c r="CZ32"/>
  <c r="AQ376"/>
  <c r="AG38"/>
  <c r="AO38"/>
  <c r="DC32"/>
  <c r="DE32"/>
  <c r="DB33"/>
  <c r="DB34" s="1"/>
  <c r="DD33"/>
  <c r="DD34" s="1"/>
  <c r="AK38"/>
  <c r="V365"/>
  <c r="DT364"/>
  <c r="AU364"/>
  <c r="BE364"/>
  <c r="DN364" s="1"/>
  <c r="DP364"/>
  <c r="W365"/>
  <c r="Y365" s="1"/>
  <c r="AF364"/>
  <c r="X376"/>
  <c r="AS376" s="1"/>
  <c r="AH366"/>
  <c r="C127" i="9"/>
  <c r="G127"/>
  <c r="H127"/>
  <c r="E127"/>
  <c r="D127"/>
  <c r="F127"/>
  <c r="AQ365" i="2"/>
  <c r="EB365" s="1"/>
  <c r="C55" i="9"/>
  <c r="C56"/>
  <c r="BM364" i="2"/>
  <c r="DR364"/>
  <c r="C52" i="9"/>
  <c r="C53"/>
  <c r="V377" i="2"/>
  <c r="BA377" s="1"/>
  <c r="BQ363"/>
  <c r="BF364"/>
  <c r="BH364" s="1"/>
  <c r="BJ364" s="1"/>
  <c r="Z365"/>
  <c r="AC365" s="1"/>
  <c r="BG365" s="1"/>
  <c r="BF377"/>
  <c r="AR377"/>
  <c r="CC376"/>
  <c r="DS376"/>
  <c r="DW376"/>
  <c r="BC376"/>
  <c r="DN376" s="1"/>
  <c r="DR376"/>
  <c r="DV376"/>
  <c r="DP376"/>
  <c r="DU376"/>
  <c r="CD376"/>
  <c r="DT376"/>
  <c r="AK366"/>
  <c r="AL366"/>
  <c r="AI366"/>
  <c r="AJ366"/>
  <c r="CB363"/>
  <c r="CY366"/>
  <c r="CW366"/>
  <c r="CE376"/>
  <c r="BH376"/>
  <c r="DO376" s="1"/>
  <c r="DQ376"/>
  <c r="CA376"/>
  <c r="D52" i="9"/>
  <c r="D53"/>
  <c r="D56"/>
  <c r="D55"/>
  <c r="C128" a="1"/>
  <c r="AC377" i="2" l="1"/>
  <c r="BG377" s="1"/>
  <c r="DQ377" s="1"/>
  <c r="CW33"/>
  <c r="CW34" s="1"/>
  <c r="CY33"/>
  <c r="CY34" s="1"/>
  <c r="DW364"/>
  <c r="DD35"/>
  <c r="DB35"/>
  <c r="AP39"/>
  <c r="AP40" s="1"/>
  <c r="AO39"/>
  <c r="CX33"/>
  <c r="CX34" s="1"/>
  <c r="CZ33"/>
  <c r="CZ34" s="1"/>
  <c r="AH39"/>
  <c r="AH40" s="1"/>
  <c r="AG39"/>
  <c r="AL39"/>
  <c r="AL40" s="1"/>
  <c r="AK39"/>
  <c r="AK40" s="1"/>
  <c r="DC33"/>
  <c r="DC34" s="1"/>
  <c r="DE33"/>
  <c r="DE34" s="1"/>
  <c r="BL364"/>
  <c r="EF364"/>
  <c r="EG364" s="1"/>
  <c r="BO364"/>
  <c r="DM364"/>
  <c r="EU364"/>
  <c r="DQ364"/>
  <c r="AU376"/>
  <c r="X365"/>
  <c r="AF365" s="1"/>
  <c r="AF366" s="1"/>
  <c r="BB365"/>
  <c r="BM365"/>
  <c r="W377"/>
  <c r="X377" s="1"/>
  <c r="G128" i="9"/>
  <c r="D128"/>
  <c r="C128"/>
  <c r="H128"/>
  <c r="E128"/>
  <c r="F128"/>
  <c r="E53"/>
  <c r="F53"/>
  <c r="F56"/>
  <c r="E56"/>
  <c r="E52"/>
  <c r="F52"/>
  <c r="E55"/>
  <c r="F55"/>
  <c r="W366" i="2"/>
  <c r="AQ377"/>
  <c r="V366"/>
  <c r="AR365"/>
  <c r="EC365" s="1"/>
  <c r="AB365"/>
  <c r="Z366" s="1"/>
  <c r="AR366" s="1"/>
  <c r="DU364"/>
  <c r="DV364"/>
  <c r="DO364"/>
  <c r="CC377"/>
  <c r="BC377"/>
  <c r="DN377" s="1"/>
  <c r="CD377"/>
  <c r="BH377"/>
  <c r="DO377" s="1"/>
  <c r="CE377"/>
  <c r="CA377"/>
  <c r="C129" i="9" a="1"/>
  <c r="BH365" i="2" l="1"/>
  <c r="AA366"/>
  <c r="AB366" s="1"/>
  <c r="AG40"/>
  <c r="AG41" s="1"/>
  <c r="AO40"/>
  <c r="AK41"/>
  <c r="AL41"/>
  <c r="DB36"/>
  <c r="DB37" s="1"/>
  <c r="DD36"/>
  <c r="DD37" s="1"/>
  <c r="CY35"/>
  <c r="CW35"/>
  <c r="DE35"/>
  <c r="DC35"/>
  <c r="AH41"/>
  <c r="AO41"/>
  <c r="AP41"/>
  <c r="CZ35"/>
  <c r="CX35"/>
  <c r="AS365"/>
  <c r="ED365" s="1"/>
  <c r="AU365"/>
  <c r="BE365"/>
  <c r="DN365" s="1"/>
  <c r="X366"/>
  <c r="AS366" s="1"/>
  <c r="ED366" s="1"/>
  <c r="AS377"/>
  <c r="AU377"/>
  <c r="Y377"/>
  <c r="DV377" s="1"/>
  <c r="BB366"/>
  <c r="AT365"/>
  <c r="BA366"/>
  <c r="Y366"/>
  <c r="AQ366"/>
  <c r="EB366" s="1"/>
  <c r="F129" i="9"/>
  <c r="H129"/>
  <c r="D129"/>
  <c r="G129"/>
  <c r="E129"/>
  <c r="C129"/>
  <c r="EC366" i="2"/>
  <c r="BF366"/>
  <c r="EU366" s="1"/>
  <c r="AT366"/>
  <c r="BJ365"/>
  <c r="DO365" s="1"/>
  <c r="AU366"/>
  <c r="C130" i="9" a="1"/>
  <c r="AC366" i="2" l="1"/>
  <c r="BG366" s="1"/>
  <c r="AG42"/>
  <c r="AH42"/>
  <c r="AK42"/>
  <c r="AL42"/>
  <c r="AO42"/>
  <c r="AP42"/>
  <c r="DB38"/>
  <c r="DD38"/>
  <c r="EE366"/>
  <c r="CX36"/>
  <c r="CX37" s="1"/>
  <c r="CZ36"/>
  <c r="CZ37" s="1"/>
  <c r="CW36"/>
  <c r="CW37" s="1"/>
  <c r="CY36"/>
  <c r="CY37" s="1"/>
  <c r="DC36"/>
  <c r="DC37" s="1"/>
  <c r="DE36"/>
  <c r="DE37" s="1"/>
  <c r="DW377"/>
  <c r="DK366"/>
  <c r="DU377"/>
  <c r="DR377"/>
  <c r="DT377"/>
  <c r="DS377"/>
  <c r="BB377"/>
  <c r="DP377" s="1"/>
  <c r="F130" i="9"/>
  <c r="C130"/>
  <c r="E130"/>
  <c r="H130"/>
  <c r="G130"/>
  <c r="D130"/>
  <c r="EF366" i="2"/>
  <c r="EG366" s="1"/>
  <c r="C131" i="9" a="1"/>
  <c r="AO43" i="2" l="1"/>
  <c r="AP43"/>
  <c r="AG43"/>
  <c r="AH43"/>
  <c r="DD39"/>
  <c r="DB39"/>
  <c r="AK43"/>
  <c r="AL43"/>
  <c r="DC38"/>
  <c r="DE38"/>
  <c r="CX38"/>
  <c r="CZ38"/>
  <c r="CW38"/>
  <c r="CY38"/>
  <c r="D131" i="9"/>
  <c r="E131"/>
  <c r="G131"/>
  <c r="H131"/>
  <c r="C131"/>
  <c r="F131"/>
  <c r="C132" a="1"/>
  <c r="DE39" i="2" l="1"/>
  <c r="DC39"/>
  <c r="AP44"/>
  <c r="AO44"/>
  <c r="CY39"/>
  <c r="CW39"/>
  <c r="AH44"/>
  <c r="AG44"/>
  <c r="DB40"/>
  <c r="DD40"/>
  <c r="CZ39"/>
  <c r="CX39"/>
  <c r="AL44"/>
  <c r="AK44"/>
  <c r="H132" i="9"/>
  <c r="C132"/>
  <c r="G132"/>
  <c r="E132"/>
  <c r="F132"/>
  <c r="D132"/>
  <c r="C133" a="1"/>
  <c r="DD41" i="2" l="1"/>
  <c r="DB41"/>
  <c r="AL45"/>
  <c r="AK45"/>
  <c r="DC40"/>
  <c r="DE40"/>
  <c r="CW40"/>
  <c r="CY40"/>
  <c r="CX40"/>
  <c r="CZ40"/>
  <c r="AH45"/>
  <c r="AG45"/>
  <c r="AP45"/>
  <c r="AO45"/>
  <c r="E133" i="9"/>
  <c r="F133"/>
  <c r="H133"/>
  <c r="D133"/>
  <c r="G133"/>
  <c r="C133"/>
  <c r="C134" a="1"/>
  <c r="CX41" i="2" l="1"/>
  <c r="CZ41"/>
  <c r="DC41"/>
  <c r="DE41"/>
  <c r="CY41"/>
  <c r="CW41"/>
  <c r="AP46"/>
  <c r="AO46"/>
  <c r="DB42"/>
  <c r="DD42"/>
  <c r="AH46"/>
  <c r="AG46"/>
  <c r="AL46"/>
  <c r="AK46"/>
  <c r="G134" i="9"/>
  <c r="F134"/>
  <c r="E134"/>
  <c r="D134"/>
  <c r="C134"/>
  <c r="H134"/>
  <c r="C135" a="1"/>
  <c r="DB43" i="2" l="1"/>
  <c r="DD43"/>
  <c r="CX42"/>
  <c r="CZ42"/>
  <c r="AL47"/>
  <c r="AL48" s="1"/>
  <c r="AL49" s="1"/>
  <c r="AL50" s="1"/>
  <c r="AK47"/>
  <c r="CW42"/>
  <c r="CY42"/>
  <c r="DC42"/>
  <c r="DE42"/>
  <c r="AH47"/>
  <c r="AH48" s="1"/>
  <c r="AH49" s="1"/>
  <c r="AH50" s="1"/>
  <c r="AG47"/>
  <c r="AP47"/>
  <c r="AP48" s="1"/>
  <c r="AP49" s="1"/>
  <c r="AP50" s="1"/>
  <c r="AO47"/>
  <c r="F135" i="9"/>
  <c r="E135"/>
  <c r="H135"/>
  <c r="D135"/>
  <c r="G135"/>
  <c r="C135"/>
  <c r="C136" a="1"/>
  <c r="DE43" i="2" l="1"/>
  <c r="DC43"/>
  <c r="DB44"/>
  <c r="DD44"/>
  <c r="CW43"/>
  <c r="CY43"/>
  <c r="CZ43"/>
  <c r="CX43"/>
  <c r="AO48"/>
  <c r="AO49" s="1"/>
  <c r="AO50" s="1"/>
  <c r="AK48"/>
  <c r="AK49" s="1"/>
  <c r="AK50" s="1"/>
  <c r="AG48"/>
  <c r="AG49" s="1"/>
  <c r="AG50" s="1"/>
  <c r="H136" i="9"/>
  <c r="C136"/>
  <c r="E136"/>
  <c r="F136"/>
  <c r="G136"/>
  <c r="D136"/>
  <c r="C137" a="1"/>
  <c r="AP51" i="2" l="1"/>
  <c r="AP52" s="1"/>
  <c r="AO51"/>
  <c r="CW44"/>
  <c r="CY44"/>
  <c r="AL51"/>
  <c r="AL52" s="1"/>
  <c r="AK51"/>
  <c r="DE44"/>
  <c r="DC44"/>
  <c r="DB45"/>
  <c r="DD45"/>
  <c r="AH51"/>
  <c r="AH52" s="1"/>
  <c r="AG51"/>
  <c r="CZ44"/>
  <c r="CX44"/>
  <c r="E137" i="9"/>
  <c r="H137"/>
  <c r="G137"/>
  <c r="F137"/>
  <c r="C137"/>
  <c r="D137"/>
  <c r="C138" a="1"/>
  <c r="DD46" i="2" l="1"/>
  <c r="DB46"/>
  <c r="CW45"/>
  <c r="CY45"/>
  <c r="AO52"/>
  <c r="CZ45"/>
  <c r="CX45"/>
  <c r="DE45"/>
  <c r="DC45"/>
  <c r="AK52"/>
  <c r="AG52"/>
  <c r="G138" i="9"/>
  <c r="E138"/>
  <c r="C138"/>
  <c r="F138"/>
  <c r="H138"/>
  <c r="D138"/>
  <c r="C139" a="1"/>
  <c r="DE46" i="2" l="1"/>
  <c r="DC46"/>
  <c r="AK53"/>
  <c r="AL53"/>
  <c r="AL54" s="1"/>
  <c r="AG53"/>
  <c r="AH53"/>
  <c r="AH54" s="1"/>
  <c r="CX46"/>
  <c r="CZ46"/>
  <c r="CY46"/>
  <c r="CW46"/>
  <c r="AO53"/>
  <c r="AP53"/>
  <c r="AP54" s="1"/>
  <c r="DD47"/>
  <c r="DB47"/>
  <c r="F139" i="9"/>
  <c r="E139"/>
  <c r="D139"/>
  <c r="G139"/>
  <c r="H139"/>
  <c r="C139"/>
  <c r="C140" a="1"/>
  <c r="AO54" i="2" l="1"/>
  <c r="AO55" s="1"/>
  <c r="AK54"/>
  <c r="AK55" s="1"/>
  <c r="AG54"/>
  <c r="AP55"/>
  <c r="AP56" s="1"/>
  <c r="AP57" s="1"/>
  <c r="AP58" s="1"/>
  <c r="CZ47"/>
  <c r="CX47"/>
  <c r="DD48"/>
  <c r="DD49" s="1"/>
  <c r="DB48"/>
  <c r="DB49" s="1"/>
  <c r="CY47"/>
  <c r="CW47"/>
  <c r="DC47"/>
  <c r="DE47"/>
  <c r="AL55"/>
  <c r="AL56" s="1"/>
  <c r="AL57" s="1"/>
  <c r="AL58" s="1"/>
  <c r="G140" i="9"/>
  <c r="E140"/>
  <c r="F140"/>
  <c r="D140"/>
  <c r="H140"/>
  <c r="C140"/>
  <c r="C141" a="1"/>
  <c r="DB50" i="2" l="1"/>
  <c r="DD50"/>
  <c r="CY48"/>
  <c r="CY49" s="1"/>
  <c r="CW48"/>
  <c r="CW49" s="1"/>
  <c r="CZ48"/>
  <c r="CZ49" s="1"/>
  <c r="CX48"/>
  <c r="CX49" s="1"/>
  <c r="AH55"/>
  <c r="AH56" s="1"/>
  <c r="AH57" s="1"/>
  <c r="AH58" s="1"/>
  <c r="AG55"/>
  <c r="AK56"/>
  <c r="AK57" s="1"/>
  <c r="AK58" s="1"/>
  <c r="DC48"/>
  <c r="DC49" s="1"/>
  <c r="DE48"/>
  <c r="DE49" s="1"/>
  <c r="AO56"/>
  <c r="AO57" s="1"/>
  <c r="AO58" s="1"/>
  <c r="C141" i="9"/>
  <c r="D141"/>
  <c r="F141"/>
  <c r="E141"/>
  <c r="H141"/>
  <c r="G141"/>
  <c r="C142" a="1"/>
  <c r="AK59" i="2" l="1"/>
  <c r="AK60" s="1"/>
  <c r="AL59"/>
  <c r="AL60" s="1"/>
  <c r="AL61" s="1"/>
  <c r="DD51"/>
  <c r="DB51"/>
  <c r="DC50"/>
  <c r="DE50"/>
  <c r="CZ50"/>
  <c r="CX50"/>
  <c r="AO59"/>
  <c r="AO60" s="1"/>
  <c r="AP59"/>
  <c r="AP60" s="1"/>
  <c r="AP61" s="1"/>
  <c r="CW50"/>
  <c r="CY50"/>
  <c r="AG56"/>
  <c r="AG57" s="1"/>
  <c r="AG58" s="1"/>
  <c r="D142" i="9"/>
  <c r="C142"/>
  <c r="G142"/>
  <c r="F142"/>
  <c r="H142"/>
  <c r="E142"/>
  <c r="C143" a="1"/>
  <c r="AO61" i="2" l="1"/>
  <c r="AK61"/>
  <c r="AL62" s="1"/>
  <c r="AL63" s="1"/>
  <c r="AO62"/>
  <c r="AP62"/>
  <c r="AP63" s="1"/>
  <c r="AG59"/>
  <c r="AG60" s="1"/>
  <c r="AH59"/>
  <c r="AH60" s="1"/>
  <c r="AH61" s="1"/>
  <c r="DE51"/>
  <c r="DC51"/>
  <c r="CY51"/>
  <c r="CW51"/>
  <c r="CZ51"/>
  <c r="CX51"/>
  <c r="DB52"/>
  <c r="DD52"/>
  <c r="H143" i="9"/>
  <c r="C143"/>
  <c r="F143"/>
  <c r="D143"/>
  <c r="E143"/>
  <c r="G143"/>
  <c r="C144" a="1"/>
  <c r="AK62" i="2" l="1"/>
  <c r="AK63" s="1"/>
  <c r="AO63"/>
  <c r="DD53"/>
  <c r="DB53"/>
  <c r="AG61"/>
  <c r="CW52"/>
  <c r="CY52"/>
  <c r="AP64"/>
  <c r="AP65" s="1"/>
  <c r="AO64"/>
  <c r="CZ52"/>
  <c r="CX52"/>
  <c r="DE52"/>
  <c r="DC52"/>
  <c r="F144" i="9"/>
  <c r="D144"/>
  <c r="H144"/>
  <c r="C144"/>
  <c r="E144"/>
  <c r="G144"/>
  <c r="C145" a="1"/>
  <c r="CZ53" i="2" l="1"/>
  <c r="CX53"/>
  <c r="CY53"/>
  <c r="CW53"/>
  <c r="AG62"/>
  <c r="AG63" s="1"/>
  <c r="AH62"/>
  <c r="AH63" s="1"/>
  <c r="DD54"/>
  <c r="DB54"/>
  <c r="DC53"/>
  <c r="DE53"/>
  <c r="AL64"/>
  <c r="AL65" s="1"/>
  <c r="AK64"/>
  <c r="AO65"/>
  <c r="C145" i="9"/>
  <c r="D145"/>
  <c r="G145"/>
  <c r="E145"/>
  <c r="H145"/>
  <c r="F145"/>
  <c r="C146" a="1"/>
  <c r="AO66" i="2" l="1"/>
  <c r="AO67" s="1"/>
  <c r="AO68" s="1"/>
  <c r="AO69" s="1"/>
  <c r="AP66"/>
  <c r="AP67" s="1"/>
  <c r="AP68" s="1"/>
  <c r="AP69" s="1"/>
  <c r="DC54"/>
  <c r="DE54"/>
  <c r="AH64"/>
  <c r="AH65" s="1"/>
  <c r="AG64"/>
  <c r="CX54"/>
  <c r="CZ54"/>
  <c r="DB55"/>
  <c r="DD55"/>
  <c r="CY54"/>
  <c r="CW54"/>
  <c r="AK65"/>
  <c r="D146" i="9"/>
  <c r="C146"/>
  <c r="G146"/>
  <c r="F146"/>
  <c r="E146"/>
  <c r="H146"/>
  <c r="C147" a="1"/>
  <c r="AK66" i="2" l="1"/>
  <c r="AL66"/>
  <c r="AL67" s="1"/>
  <c r="AL68" s="1"/>
  <c r="AL69" s="1"/>
  <c r="AO70"/>
  <c r="AP70"/>
  <c r="DC55"/>
  <c r="DE55"/>
  <c r="AG65"/>
  <c r="DD56"/>
  <c r="DD57" s="1"/>
  <c r="DB56"/>
  <c r="DB57" s="1"/>
  <c r="CX55"/>
  <c r="CZ55"/>
  <c r="CW55"/>
  <c r="CY55"/>
  <c r="F147" i="9"/>
  <c r="D147"/>
  <c r="G147"/>
  <c r="H147"/>
  <c r="E147"/>
  <c r="C147"/>
  <c r="C148" a="1"/>
  <c r="DB58" i="2" l="1"/>
  <c r="DD58"/>
  <c r="DE56"/>
  <c r="DE57" s="1"/>
  <c r="DC56"/>
  <c r="DC57" s="1"/>
  <c r="AK67"/>
  <c r="AK68" s="1"/>
  <c r="AK69" s="1"/>
  <c r="AG66"/>
  <c r="AG67" s="1"/>
  <c r="AG68" s="1"/>
  <c r="AG69" s="1"/>
  <c r="AH66"/>
  <c r="AH67" s="1"/>
  <c r="AH68" s="1"/>
  <c r="AH69" s="1"/>
  <c r="AO71"/>
  <c r="AP71"/>
  <c r="CZ56"/>
  <c r="CZ57" s="1"/>
  <c r="CX56"/>
  <c r="CX57" s="1"/>
  <c r="CY56"/>
  <c r="CY57" s="1"/>
  <c r="CW56"/>
  <c r="CW57" s="1"/>
  <c r="F148" i="9"/>
  <c r="D148"/>
  <c r="C148"/>
  <c r="E148"/>
  <c r="H148"/>
  <c r="G148"/>
  <c r="C149" a="1"/>
  <c r="CW58" i="2" l="1"/>
  <c r="CY58"/>
  <c r="AK70"/>
  <c r="AL70"/>
  <c r="DD59"/>
  <c r="DD60" s="1"/>
  <c r="DB59"/>
  <c r="DB60" s="1"/>
  <c r="CX58"/>
  <c r="CZ58"/>
  <c r="AG70"/>
  <c r="AH70"/>
  <c r="AO72"/>
  <c r="AP72"/>
  <c r="DC58"/>
  <c r="DE58"/>
  <c r="E149" i="9"/>
  <c r="F149"/>
  <c r="D149"/>
  <c r="H149"/>
  <c r="C149"/>
  <c r="G149"/>
  <c r="C150" a="1"/>
  <c r="DE59" i="2" l="1"/>
  <c r="DE60" s="1"/>
  <c r="DC59"/>
  <c r="DC60" s="1"/>
  <c r="AG71"/>
  <c r="AH71"/>
  <c r="CY59"/>
  <c r="CY60" s="1"/>
  <c r="CW59"/>
  <c r="CW60" s="1"/>
  <c r="AO73"/>
  <c r="AP73"/>
  <c r="CZ59"/>
  <c r="CZ60" s="1"/>
  <c r="CX59"/>
  <c r="CX60" s="1"/>
  <c r="AK71"/>
  <c r="AL71"/>
  <c r="DD61"/>
  <c r="DB61"/>
  <c r="D150" i="9"/>
  <c r="C150"/>
  <c r="F150"/>
  <c r="E150"/>
  <c r="G150"/>
  <c r="H150"/>
  <c r="C151" a="1"/>
  <c r="CZ61" i="2" l="1"/>
  <c r="CX61"/>
  <c r="CY61"/>
  <c r="CW61"/>
  <c r="AK72"/>
  <c r="AL72"/>
  <c r="AO74"/>
  <c r="AP74"/>
  <c r="AG72"/>
  <c r="AH72"/>
  <c r="DB62"/>
  <c r="DD62"/>
  <c r="DE61"/>
  <c r="DC61"/>
  <c r="F151" i="9"/>
  <c r="D151"/>
  <c r="G151"/>
  <c r="H151"/>
  <c r="E151"/>
  <c r="C151"/>
  <c r="C152" a="1"/>
  <c r="AP75" i="2" l="1"/>
  <c r="AO75"/>
  <c r="AG73"/>
  <c r="AH73"/>
  <c r="AK73"/>
  <c r="AL73"/>
  <c r="DC62"/>
  <c r="DE62"/>
  <c r="CX62"/>
  <c r="CZ62"/>
  <c r="DD63"/>
  <c r="DB63"/>
  <c r="CW62"/>
  <c r="CY62"/>
  <c r="F152" i="9"/>
  <c r="D152"/>
  <c r="H152"/>
  <c r="G152"/>
  <c r="C152"/>
  <c r="E152"/>
  <c r="C153" a="1"/>
  <c r="CZ63" i="2" l="1"/>
  <c r="CX63"/>
  <c r="AK74"/>
  <c r="AL74"/>
  <c r="CY63"/>
  <c r="CW63"/>
  <c r="DE63"/>
  <c r="DC63"/>
  <c r="AG74"/>
  <c r="AH74"/>
  <c r="AP76"/>
  <c r="AP77" s="1"/>
  <c r="AO76"/>
  <c r="DB64"/>
  <c r="DD64"/>
  <c r="E153" i="9"/>
  <c r="H153"/>
  <c r="F153"/>
  <c r="C153"/>
  <c r="G153"/>
  <c r="D153"/>
  <c r="C154" a="1"/>
  <c r="DB65" i="2" l="1"/>
  <c r="DD65"/>
  <c r="AH75"/>
  <c r="AG75"/>
  <c r="CW64"/>
  <c r="CY64"/>
  <c r="AL75"/>
  <c r="AK75"/>
  <c r="CX64"/>
  <c r="CZ64"/>
  <c r="DC64"/>
  <c r="DE64"/>
  <c r="AO77"/>
  <c r="G154" i="9"/>
  <c r="F154"/>
  <c r="H154"/>
  <c r="C154"/>
  <c r="E154"/>
  <c r="D154"/>
  <c r="C155" a="1"/>
  <c r="AO78" i="2" l="1"/>
  <c r="AO79" s="1"/>
  <c r="AP78"/>
  <c r="AP79" s="1"/>
  <c r="CZ65"/>
  <c r="CX65"/>
  <c r="CW65"/>
  <c r="CY65"/>
  <c r="DD66"/>
  <c r="DB66"/>
  <c r="DE65"/>
  <c r="DC65"/>
  <c r="AL76"/>
  <c r="AL77" s="1"/>
  <c r="AK76"/>
  <c r="AK77" s="1"/>
  <c r="AH76"/>
  <c r="AH77" s="1"/>
  <c r="AG76"/>
  <c r="F155" i="9"/>
  <c r="D155"/>
  <c r="G155"/>
  <c r="C155"/>
  <c r="E155"/>
  <c r="H155"/>
  <c r="C156" a="1"/>
  <c r="AP80" i="2" l="1"/>
  <c r="AP81" s="1"/>
  <c r="AP82" s="1"/>
  <c r="AP83" s="1"/>
  <c r="AP84" s="1"/>
  <c r="AO80"/>
  <c r="AO81" s="1"/>
  <c r="AG77"/>
  <c r="CY66"/>
  <c r="CW66"/>
  <c r="DC66"/>
  <c r="DE66"/>
  <c r="AK78"/>
  <c r="AL78"/>
  <c r="AL79" s="1"/>
  <c r="DB67"/>
  <c r="DB68" s="1"/>
  <c r="DD67"/>
  <c r="DD68" s="1"/>
  <c r="CX66"/>
  <c r="CZ66"/>
  <c r="H156" i="9"/>
  <c r="C156"/>
  <c r="G156"/>
  <c r="E156"/>
  <c r="D156"/>
  <c r="F156"/>
  <c r="C157" a="1"/>
  <c r="CW67" i="2" l="1"/>
  <c r="CW68" s="1"/>
  <c r="CY67"/>
  <c r="CY68" s="1"/>
  <c r="DD69"/>
  <c r="DB69"/>
  <c r="DE67"/>
  <c r="DE68" s="1"/>
  <c r="DC67"/>
  <c r="DC68" s="1"/>
  <c r="AG78"/>
  <c r="AH78"/>
  <c r="AH79" s="1"/>
  <c r="AO82"/>
  <c r="AO83" s="1"/>
  <c r="AO84" s="1"/>
  <c r="CZ67"/>
  <c r="CZ68" s="1"/>
  <c r="CX67"/>
  <c r="CX68" s="1"/>
  <c r="AK79"/>
  <c r="E157" i="9"/>
  <c r="F157"/>
  <c r="C157"/>
  <c r="H157"/>
  <c r="G157"/>
  <c r="D157"/>
  <c r="C158" a="1"/>
  <c r="AP85" i="2" l="1"/>
  <c r="AP86" s="1"/>
  <c r="AO85"/>
  <c r="CY69"/>
  <c r="CW69"/>
  <c r="CX69"/>
  <c r="CZ69"/>
  <c r="AG79"/>
  <c r="DC69"/>
  <c r="DE69"/>
  <c r="AL80"/>
  <c r="AL81" s="1"/>
  <c r="AL82" s="1"/>
  <c r="AL83" s="1"/>
  <c r="AL84" s="1"/>
  <c r="AK80"/>
  <c r="AK81" s="1"/>
  <c r="DB70"/>
  <c r="DD70"/>
  <c r="D158" i="9"/>
  <c r="C158"/>
  <c r="G158"/>
  <c r="F158"/>
  <c r="H158"/>
  <c r="E158"/>
  <c r="C159" a="1"/>
  <c r="AO86" i="2" l="1"/>
  <c r="AP87" s="1"/>
  <c r="AP88" s="1"/>
  <c r="CX70"/>
  <c r="CZ70"/>
  <c r="AH80"/>
  <c r="AH81" s="1"/>
  <c r="AH82" s="1"/>
  <c r="AH83" s="1"/>
  <c r="AH84" s="1"/>
  <c r="AG80"/>
  <c r="AG81" s="1"/>
  <c r="AK82"/>
  <c r="AK83" s="1"/>
  <c r="AK84" s="1"/>
  <c r="DB71"/>
  <c r="DD71"/>
  <c r="DC70"/>
  <c r="DE70"/>
  <c r="CW70"/>
  <c r="CY70"/>
  <c r="H159" i="9"/>
  <c r="C159"/>
  <c r="D159"/>
  <c r="G159"/>
  <c r="F159"/>
  <c r="E159"/>
  <c r="C160" a="1"/>
  <c r="AO87" i="2" l="1"/>
  <c r="AO88" s="1"/>
  <c r="AL85"/>
  <c r="AL86" s="1"/>
  <c r="AK85"/>
  <c r="CZ71"/>
  <c r="CX71"/>
  <c r="DE71"/>
  <c r="DC71"/>
  <c r="CW71"/>
  <c r="CY71"/>
  <c r="DB72"/>
  <c r="DD72"/>
  <c r="AG82"/>
  <c r="AG83" s="1"/>
  <c r="AG84" s="1"/>
  <c r="F160" i="9"/>
  <c r="D160"/>
  <c r="C160"/>
  <c r="G160"/>
  <c r="H160"/>
  <c r="E160"/>
  <c r="C161" a="1"/>
  <c r="AK86" i="2" l="1"/>
  <c r="AL87" s="1"/>
  <c r="AL88" s="1"/>
  <c r="DB73"/>
  <c r="DD73"/>
  <c r="AO89"/>
  <c r="AP89"/>
  <c r="AP90" s="1"/>
  <c r="AP91" s="1"/>
  <c r="AP92" s="1"/>
  <c r="AP93" s="1"/>
  <c r="CW72"/>
  <c r="CY72"/>
  <c r="DC72"/>
  <c r="DE72"/>
  <c r="AH85"/>
  <c r="AH86" s="1"/>
  <c r="AG85"/>
  <c r="CX72"/>
  <c r="CZ72"/>
  <c r="E161" i="9"/>
  <c r="F161"/>
  <c r="H161"/>
  <c r="G161"/>
  <c r="C161"/>
  <c r="D161"/>
  <c r="C162" a="1"/>
  <c r="AK87" i="2" l="1"/>
  <c r="CX73"/>
  <c r="CZ73"/>
  <c r="DC73"/>
  <c r="DE73"/>
  <c r="DB74"/>
  <c r="DD74"/>
  <c r="AO90"/>
  <c r="AO91" s="1"/>
  <c r="AO92" s="1"/>
  <c r="AO93" s="1"/>
  <c r="CW73"/>
  <c r="CY73"/>
  <c r="AG86"/>
  <c r="AK88"/>
  <c r="D162" i="9"/>
  <c r="C162"/>
  <c r="E162"/>
  <c r="H162"/>
  <c r="G162"/>
  <c r="F162"/>
  <c r="C163" a="1"/>
  <c r="AH87" i="2" l="1"/>
  <c r="AH88" s="1"/>
  <c r="AG87"/>
  <c r="DD75"/>
  <c r="DB75"/>
  <c r="CZ74"/>
  <c r="CX74"/>
  <c r="DE74"/>
  <c r="DC74"/>
  <c r="AK89"/>
  <c r="AK90" s="1"/>
  <c r="AK91" s="1"/>
  <c r="AK92" s="1"/>
  <c r="AK93" s="1"/>
  <c r="AL89"/>
  <c r="AL90" s="1"/>
  <c r="AL91" s="1"/>
  <c r="AL92" s="1"/>
  <c r="AL93" s="1"/>
  <c r="CW74"/>
  <c r="CY74"/>
  <c r="D163" i="9"/>
  <c r="G163"/>
  <c r="H163"/>
  <c r="C163"/>
  <c r="E163"/>
  <c r="F163"/>
  <c r="C164" a="1"/>
  <c r="CZ75" i="2" l="1"/>
  <c r="CX75"/>
  <c r="CY75"/>
  <c r="CW75"/>
  <c r="DE75"/>
  <c r="DC75"/>
  <c r="DD76"/>
  <c r="DB76"/>
  <c r="AG88"/>
  <c r="E164" i="9"/>
  <c r="D164"/>
  <c r="H164"/>
  <c r="F164"/>
  <c r="G164"/>
  <c r="C164"/>
  <c r="C165" a="1"/>
  <c r="AG89" i="2" l="1"/>
  <c r="AG90" s="1"/>
  <c r="AG91" s="1"/>
  <c r="AG92" s="1"/>
  <c r="AG93" s="1"/>
  <c r="AH89"/>
  <c r="AH90" s="1"/>
  <c r="AH91" s="1"/>
  <c r="AH92" s="1"/>
  <c r="AH93" s="1"/>
  <c r="DE76"/>
  <c r="DC76"/>
  <c r="CZ76"/>
  <c r="CX76"/>
  <c r="DD77"/>
  <c r="DB77"/>
  <c r="CY76"/>
  <c r="CW76"/>
  <c r="G165" i="9"/>
  <c r="H165"/>
  <c r="E165"/>
  <c r="F165"/>
  <c r="C165"/>
  <c r="D165"/>
  <c r="C166" a="1"/>
  <c r="CY77" i="2" l="1"/>
  <c r="CW77"/>
  <c r="CZ77"/>
  <c r="CX77"/>
  <c r="DB78"/>
  <c r="DD78"/>
  <c r="DE77"/>
  <c r="DC77"/>
  <c r="H166" i="9"/>
  <c r="D166"/>
  <c r="F166"/>
  <c r="G166"/>
  <c r="E166"/>
  <c r="C166"/>
  <c r="C167" a="1"/>
  <c r="DD79" i="2" l="1"/>
  <c r="DB79"/>
  <c r="CW78"/>
  <c r="CY78"/>
  <c r="DC78"/>
  <c r="DE78"/>
  <c r="CX78"/>
  <c r="CZ78"/>
  <c r="F167" i="9"/>
  <c r="D167"/>
  <c r="G167"/>
  <c r="E167"/>
  <c r="C167"/>
  <c r="H167"/>
  <c r="C168" a="1"/>
  <c r="DC79" i="2" l="1"/>
  <c r="DE79"/>
  <c r="DB80"/>
  <c r="DB81" s="1"/>
  <c r="DD80"/>
  <c r="DD81" s="1"/>
  <c r="CX79"/>
  <c r="CZ79"/>
  <c r="CY79"/>
  <c r="CW79"/>
  <c r="H168" i="9"/>
  <c r="G168"/>
  <c r="E168"/>
  <c r="D168"/>
  <c r="F168"/>
  <c r="C168"/>
  <c r="C169" a="1"/>
  <c r="CZ80" i="2" l="1"/>
  <c r="CZ81" s="1"/>
  <c r="CX80"/>
  <c r="CX81" s="1"/>
  <c r="DE80"/>
  <c r="DE81" s="1"/>
  <c r="DC80"/>
  <c r="DC81" s="1"/>
  <c r="DB82"/>
  <c r="DB83" s="1"/>
  <c r="DD82"/>
  <c r="DD83" s="1"/>
  <c r="CW80"/>
  <c r="CW81" s="1"/>
  <c r="CY80"/>
  <c r="CY81" s="1"/>
  <c r="F169" i="9"/>
  <c r="E169"/>
  <c r="H169"/>
  <c r="C169"/>
  <c r="G169"/>
  <c r="D169"/>
  <c r="C170" a="1"/>
  <c r="DD84" i="2" l="1"/>
  <c r="DB84"/>
  <c r="CZ82"/>
  <c r="CZ83" s="1"/>
  <c r="CX82"/>
  <c r="CX83" s="1"/>
  <c r="CW82"/>
  <c r="CW83" s="1"/>
  <c r="CY82"/>
  <c r="CY83" s="1"/>
  <c r="DE82"/>
  <c r="DE83" s="1"/>
  <c r="DC82"/>
  <c r="DC83" s="1"/>
  <c r="G170" i="9"/>
  <c r="E170"/>
  <c r="H170"/>
  <c r="C170"/>
  <c r="F170"/>
  <c r="D170"/>
  <c r="C171" a="1"/>
  <c r="CY84" i="2" l="1"/>
  <c r="CW84"/>
  <c r="DB85"/>
  <c r="DD85"/>
  <c r="DC84"/>
  <c r="DE84"/>
  <c r="CX84"/>
  <c r="CZ84"/>
  <c r="E171" i="9"/>
  <c r="F171"/>
  <c r="G171"/>
  <c r="D171"/>
  <c r="C171"/>
  <c r="H171"/>
  <c r="C172" a="1"/>
  <c r="DE85" i="2" l="1"/>
  <c r="DC85"/>
  <c r="DD86"/>
  <c r="DB86"/>
  <c r="CW85"/>
  <c r="CY85"/>
  <c r="CZ85"/>
  <c r="CX85"/>
  <c r="H172" i="9"/>
  <c r="G172"/>
  <c r="F172"/>
  <c r="E172"/>
  <c r="D172"/>
  <c r="C172"/>
  <c r="C173" a="1"/>
  <c r="CY86" i="2" l="1"/>
  <c r="CW86"/>
  <c r="DC86"/>
  <c r="DE86"/>
  <c r="CX86"/>
  <c r="CZ86"/>
  <c r="DB87"/>
  <c r="DD87"/>
  <c r="E173" i="9"/>
  <c r="G173"/>
  <c r="D173"/>
  <c r="C173"/>
  <c r="F173"/>
  <c r="H173"/>
  <c r="C174" a="1"/>
  <c r="CZ87" i="2" l="1"/>
  <c r="CX87"/>
  <c r="CW87"/>
  <c r="CY87"/>
  <c r="DD88"/>
  <c r="DB88"/>
  <c r="DE87"/>
  <c r="DC87"/>
  <c r="H174" i="9"/>
  <c r="E174"/>
  <c r="G174"/>
  <c r="D174"/>
  <c r="F174"/>
  <c r="C174"/>
  <c r="C175" a="1"/>
  <c r="DB89" i="2" l="1"/>
  <c r="DD89"/>
  <c r="CZ88"/>
  <c r="CX88"/>
  <c r="CY88"/>
  <c r="CW88"/>
  <c r="DE88"/>
  <c r="DC88"/>
  <c r="E175" i="9"/>
  <c r="C175"/>
  <c r="D175"/>
  <c r="H175"/>
  <c r="G175"/>
  <c r="F175"/>
  <c r="C176"/>
  <c r="E176"/>
  <c r="DD90" i="2" l="1"/>
  <c r="DD91" s="1"/>
  <c r="DB90"/>
  <c r="DB91" s="1"/>
  <c r="CW89"/>
  <c r="CY89"/>
  <c r="DC89"/>
  <c r="DE89"/>
  <c r="CX89"/>
  <c r="CZ89"/>
  <c r="G176" i="9"/>
  <c r="DE90" i="2" l="1"/>
  <c r="DE91" s="1"/>
  <c r="DC90"/>
  <c r="DC91" s="1"/>
  <c r="DB92"/>
  <c r="DD92"/>
  <c r="CZ90"/>
  <c r="CZ91" s="1"/>
  <c r="CX90"/>
  <c r="CX91" s="1"/>
  <c r="CY90"/>
  <c r="CY91" s="1"/>
  <c r="CW90"/>
  <c r="CW91" s="1"/>
  <c r="G177" i="9"/>
  <c r="CX92" i="2" l="1"/>
  <c r="CZ92"/>
  <c r="DD93"/>
  <c r="DB93"/>
  <c r="DC92"/>
  <c r="DE92"/>
  <c r="CW92"/>
  <c r="CY92"/>
  <c r="AO94"/>
  <c r="AP94"/>
  <c r="CX93" l="1"/>
  <c r="CZ93"/>
  <c r="DC93"/>
  <c r="DE93"/>
  <c r="CY93"/>
  <c r="CW93"/>
  <c r="AK94"/>
  <c r="AL94"/>
  <c r="AG94" l="1"/>
  <c r="AH94"/>
  <c r="DC94" l="1"/>
  <c r="DE94"/>
  <c r="DD94"/>
  <c r="DD117" s="1"/>
  <c r="DB94"/>
  <c r="DC117" l="1"/>
  <c r="CU94"/>
  <c r="Z24" s="1"/>
  <c r="DE117"/>
  <c r="AM24"/>
  <c r="CS94"/>
  <c r="D151" s="1"/>
  <c r="DB117"/>
  <c r="AN24"/>
  <c r="AN25" s="1"/>
  <c r="AN26" s="1"/>
  <c r="AN27" s="1"/>
  <c r="AM25" l="1"/>
  <c r="AM26" s="1"/>
  <c r="AM27" s="1"/>
  <c r="DB118"/>
  <c r="DE118" s="1"/>
  <c r="F121" s="1"/>
  <c r="DD118"/>
  <c r="E121" s="1"/>
  <c r="CX94"/>
  <c r="CZ94"/>
  <c r="CY94"/>
  <c r="CY117" s="1"/>
  <c r="CW94"/>
  <c r="AA24"/>
  <c r="DC118"/>
  <c r="F120" s="1"/>
  <c r="E125"/>
  <c r="N3" i="9"/>
  <c r="BF24" i="2"/>
  <c r="Z111"/>
  <c r="AN28" l="1"/>
  <c r="AN29" s="1"/>
  <c r="AM28"/>
  <c r="E120"/>
  <c r="H121" s="1"/>
  <c r="N4" i="9"/>
  <c r="E126" i="2"/>
  <c r="AA111"/>
  <c r="AB24"/>
  <c r="Z25" s="1"/>
  <c r="CZ117"/>
  <c r="AI24"/>
  <c r="AD24"/>
  <c r="CL94"/>
  <c r="D150" s="1"/>
  <c r="CW117"/>
  <c r="AJ24"/>
  <c r="AJ25" s="1"/>
  <c r="AJ26" s="1"/>
  <c r="AJ27" s="1"/>
  <c r="AE24"/>
  <c r="CX117"/>
  <c r="BF25" l="1"/>
  <c r="EU25" s="1"/>
  <c r="Z26"/>
  <c r="AC25"/>
  <c r="AA25"/>
  <c r="AI25"/>
  <c r="AI26" s="1"/>
  <c r="AI27" s="1"/>
  <c r="AE25"/>
  <c r="AD25"/>
  <c r="AD26" s="1"/>
  <c r="AM29"/>
  <c r="N7" i="9"/>
  <c r="R121" i="2"/>
  <c r="CX118"/>
  <c r="D118" s="1"/>
  <c r="CW118"/>
  <c r="CZ118" s="1"/>
  <c r="D119" s="1"/>
  <c r="CY118"/>
  <c r="C119" s="1"/>
  <c r="L6" i="9"/>
  <c r="AD111" i="2"/>
  <c r="M6" i="9"/>
  <c r="AE111" i="2"/>
  <c r="AB111"/>
  <c r="F126"/>
  <c r="N5" i="9"/>
  <c r="CN94" i="2"/>
  <c r="V24" s="1"/>
  <c r="P80" i="9" a="1"/>
  <c r="P71" a="1"/>
  <c r="P77" a="1"/>
  <c r="P76" a="1"/>
  <c r="P81" a="1"/>
  <c r="P78" a="1"/>
  <c r="P73" a="1"/>
  <c r="P75" a="1"/>
  <c r="P74" a="1"/>
  <c r="P79" a="1"/>
  <c r="P72" a="1"/>
  <c r="C118" i="2" l="1"/>
  <c r="H119" s="1"/>
  <c r="R119" s="1"/>
  <c r="AY25"/>
  <c r="AI28"/>
  <c r="AJ28"/>
  <c r="AJ29" s="1"/>
  <c r="AM30"/>
  <c r="AN30"/>
  <c r="AN31" s="1"/>
  <c r="AE26"/>
  <c r="BF26"/>
  <c r="AC26"/>
  <c r="BG26" s="1"/>
  <c r="BG25"/>
  <c r="AZ25"/>
  <c r="DF25" s="1"/>
  <c r="AD27"/>
  <c r="AY27"/>
  <c r="AY26"/>
  <c r="AB25"/>
  <c r="AB26" s="1"/>
  <c r="AA27" s="1"/>
  <c r="AA26"/>
  <c r="S72" i="9"/>
  <c r="S88" s="1"/>
  <c r="T72"/>
  <c r="T88" s="1"/>
  <c r="R72"/>
  <c r="R88" s="1"/>
  <c r="P72"/>
  <c r="P88" s="1"/>
  <c r="U72"/>
  <c r="U88" s="1"/>
  <c r="Q72"/>
  <c r="Q88" s="1"/>
  <c r="S76"/>
  <c r="S92" s="1"/>
  <c r="U76"/>
  <c r="U92" s="1"/>
  <c r="P76"/>
  <c r="P92" s="1"/>
  <c r="Q76"/>
  <c r="Q92" s="1"/>
  <c r="T76"/>
  <c r="T92" s="1"/>
  <c r="R76"/>
  <c r="R92" s="1"/>
  <c r="R79"/>
  <c r="R95" s="1"/>
  <c r="S79"/>
  <c r="S95" s="1"/>
  <c r="Q79"/>
  <c r="Q95" s="1"/>
  <c r="T79"/>
  <c r="T95" s="1"/>
  <c r="P79"/>
  <c r="P95" s="1"/>
  <c r="U79"/>
  <c r="U95" s="1"/>
  <c r="R74"/>
  <c r="R90" s="1"/>
  <c r="U74"/>
  <c r="U90" s="1"/>
  <c r="Q74"/>
  <c r="Q90" s="1"/>
  <c r="T74"/>
  <c r="T90" s="1"/>
  <c r="S74"/>
  <c r="S90" s="1"/>
  <c r="P74"/>
  <c r="P90" s="1"/>
  <c r="Q80"/>
  <c r="Q96" s="1"/>
  <c r="T80"/>
  <c r="T96" s="1"/>
  <c r="S80"/>
  <c r="S96" s="1"/>
  <c r="R80"/>
  <c r="R96" s="1"/>
  <c r="U80"/>
  <c r="U96" s="1"/>
  <c r="P80"/>
  <c r="P96" s="1"/>
  <c r="R78"/>
  <c r="R94" s="1"/>
  <c r="U78"/>
  <c r="U94" s="1"/>
  <c r="Q78"/>
  <c r="Q94" s="1"/>
  <c r="T78"/>
  <c r="T94" s="1"/>
  <c r="S78"/>
  <c r="S94" s="1"/>
  <c r="P78"/>
  <c r="P94" s="1"/>
  <c r="S71"/>
  <c r="S87" s="1"/>
  <c r="U71"/>
  <c r="U87" s="1"/>
  <c r="T71"/>
  <c r="T87" s="1"/>
  <c r="R71"/>
  <c r="R87" s="1"/>
  <c r="Q71"/>
  <c r="Q87" s="1"/>
  <c r="P71"/>
  <c r="P87" s="1"/>
  <c r="R75"/>
  <c r="R91" s="1"/>
  <c r="S75"/>
  <c r="S91" s="1"/>
  <c r="U75"/>
  <c r="U91" s="1"/>
  <c r="Q75"/>
  <c r="Q91" s="1"/>
  <c r="P75"/>
  <c r="P91" s="1"/>
  <c r="T75"/>
  <c r="T91" s="1"/>
  <c r="Q77"/>
  <c r="Q93" s="1"/>
  <c r="T77"/>
  <c r="T93" s="1"/>
  <c r="U77"/>
  <c r="U93" s="1"/>
  <c r="P77"/>
  <c r="P93" s="1"/>
  <c r="R77"/>
  <c r="R93" s="1"/>
  <c r="S77"/>
  <c r="S93" s="1"/>
  <c r="Q81"/>
  <c r="Q97" s="1"/>
  <c r="S81"/>
  <c r="S97" s="1"/>
  <c r="P81"/>
  <c r="P97" s="1"/>
  <c r="U81"/>
  <c r="U97" s="1"/>
  <c r="R81"/>
  <c r="R97" s="1"/>
  <c r="T81"/>
  <c r="T97" s="1"/>
  <c r="P73"/>
  <c r="P89" s="1"/>
  <c r="R73"/>
  <c r="R89" s="1"/>
  <c r="U73"/>
  <c r="U89" s="1"/>
  <c r="T73"/>
  <c r="T89" s="1"/>
  <c r="S73"/>
  <c r="S89" s="1"/>
  <c r="Q73"/>
  <c r="Q89" s="1"/>
  <c r="H108"/>
  <c r="K138"/>
  <c r="K136"/>
  <c r="H110"/>
  <c r="K142"/>
  <c r="K141"/>
  <c r="K132"/>
  <c r="K144"/>
  <c r="K156"/>
  <c r="K139"/>
  <c r="K130"/>
  <c r="H111"/>
  <c r="K143"/>
  <c r="K134"/>
  <c r="K133"/>
  <c r="H117"/>
  <c r="K128"/>
  <c r="K147"/>
  <c r="K151"/>
  <c r="K155"/>
  <c r="K159"/>
  <c r="K163"/>
  <c r="K175"/>
  <c r="K131"/>
  <c r="H116"/>
  <c r="H107"/>
  <c r="K135"/>
  <c r="K126"/>
  <c r="K125"/>
  <c r="H113"/>
  <c r="K137"/>
  <c r="K146"/>
  <c r="K150"/>
  <c r="K154"/>
  <c r="K158"/>
  <c r="K162"/>
  <c r="K166"/>
  <c r="K170"/>
  <c r="K174"/>
  <c r="K152"/>
  <c r="K160"/>
  <c r="K168"/>
  <c r="K167"/>
  <c r="H118"/>
  <c r="H112"/>
  <c r="K129"/>
  <c r="K127"/>
  <c r="H114"/>
  <c r="H115"/>
  <c r="H109"/>
  <c r="K140"/>
  <c r="K145"/>
  <c r="K149"/>
  <c r="K153"/>
  <c r="K157"/>
  <c r="K161"/>
  <c r="K165"/>
  <c r="K169"/>
  <c r="K173"/>
  <c r="K148"/>
  <c r="K164"/>
  <c r="K172"/>
  <c r="K171"/>
  <c r="L3"/>
  <c r="BA24" i="2"/>
  <c r="C123"/>
  <c r="V111"/>
  <c r="W24"/>
  <c r="L7" i="9"/>
  <c r="Q63" a="1"/>
  <c r="V92" a="1"/>
  <c r="V87" a="1"/>
  <c r="V97" a="1"/>
  <c r="V95" a="1"/>
  <c r="V93" a="1"/>
  <c r="V94" a="1"/>
  <c r="V96" a="1"/>
  <c r="V90" a="1"/>
  <c r="V88" a="1"/>
  <c r="V89" a="1"/>
  <c r="V91" a="1"/>
  <c r="AI29" i="2" l="1"/>
  <c r="AI30" s="1"/>
  <c r="Z27"/>
  <c r="BF27" s="1"/>
  <c r="EU27" s="1"/>
  <c r="AB27"/>
  <c r="Z28" s="1"/>
  <c r="AM31"/>
  <c r="AZ27"/>
  <c r="DF27" s="1"/>
  <c r="AE27"/>
  <c r="AE28" s="1"/>
  <c r="AJ30"/>
  <c r="AJ31" s="1"/>
  <c r="AZ26"/>
  <c r="W91" i="9"/>
  <c r="V91"/>
  <c r="V96"/>
  <c r="W96"/>
  <c r="V88"/>
  <c r="W88"/>
  <c r="V97"/>
  <c r="W97"/>
  <c r="V87"/>
  <c r="W87"/>
  <c r="V95"/>
  <c r="W95"/>
  <c r="W89"/>
  <c r="V89"/>
  <c r="V93"/>
  <c r="W93"/>
  <c r="W94"/>
  <c r="V94"/>
  <c r="V90"/>
  <c r="W90"/>
  <c r="V92"/>
  <c r="W92"/>
  <c r="R63"/>
  <c r="Q63"/>
  <c r="Q64" s="1"/>
  <c r="L4"/>
  <c r="C124" i="2"/>
  <c r="W111"/>
  <c r="D135" s="1"/>
  <c r="X24"/>
  <c r="V25" s="1"/>
  <c r="AA28" l="1"/>
  <c r="AC27"/>
  <c r="BG27" s="1"/>
  <c r="AZ29"/>
  <c r="DF29" s="1"/>
  <c r="AE29"/>
  <c r="AY28"/>
  <c r="BV28"/>
  <c r="AD28"/>
  <c r="AB28"/>
  <c r="V26"/>
  <c r="BA25"/>
  <c r="EF25" s="1"/>
  <c r="EG25" s="1"/>
  <c r="AM32"/>
  <c r="AN32"/>
  <c r="AN33" s="1"/>
  <c r="AN34" s="1"/>
  <c r="AN35" s="1"/>
  <c r="W25"/>
  <c r="AI31"/>
  <c r="Q65" i="9"/>
  <c r="Q66" s="1"/>
  <c r="AF24" i="2"/>
  <c r="AF25" s="1"/>
  <c r="AF26" s="1"/>
  <c r="AF27" s="1"/>
  <c r="AF28" s="1"/>
  <c r="AF29" s="1"/>
  <c r="AF30" s="1"/>
  <c r="AF31" s="1"/>
  <c r="AF32" s="1"/>
  <c r="AF33" s="1"/>
  <c r="AF34" s="1"/>
  <c r="AF35" s="1"/>
  <c r="AF36" s="1"/>
  <c r="AF37" s="1"/>
  <c r="AF38" s="1"/>
  <c r="AF39" s="1"/>
  <c r="AF40" s="1"/>
  <c r="AF41" s="1"/>
  <c r="L5" i="9"/>
  <c r="X111" i="2"/>
  <c r="D124"/>
  <c r="R64" i="9"/>
  <c r="R65"/>
  <c r="AC28" i="2" l="1"/>
  <c r="BG28" s="1"/>
  <c r="AJ32"/>
  <c r="AJ33" s="1"/>
  <c r="AJ34" s="1"/>
  <c r="AJ35" s="1"/>
  <c r="AI32"/>
  <c r="BA26"/>
  <c r="AM33"/>
  <c r="AM34" s="1"/>
  <c r="AM35" s="1"/>
  <c r="BF28"/>
  <c r="BH28"/>
  <c r="W26"/>
  <c r="X25"/>
  <c r="AD29"/>
  <c r="AZ28"/>
  <c r="DF28" s="1"/>
  <c r="Z29"/>
  <c r="Y25"/>
  <c r="AA29"/>
  <c r="R66" i="9"/>
  <c r="J142"/>
  <c r="J133"/>
  <c r="J138"/>
  <c r="J129"/>
  <c r="D117"/>
  <c r="D107"/>
  <c r="J135"/>
  <c r="J139"/>
  <c r="J147"/>
  <c r="J151"/>
  <c r="J155"/>
  <c r="J159"/>
  <c r="J163"/>
  <c r="J167"/>
  <c r="J171"/>
  <c r="J175"/>
  <c r="J134"/>
  <c r="J125"/>
  <c r="J130"/>
  <c r="D116"/>
  <c r="J140"/>
  <c r="J136"/>
  <c r="J127"/>
  <c r="D113"/>
  <c r="J146"/>
  <c r="J150"/>
  <c r="J154"/>
  <c r="J158"/>
  <c r="J162"/>
  <c r="J166"/>
  <c r="J170"/>
  <c r="J174"/>
  <c r="J126"/>
  <c r="D114"/>
  <c r="D109"/>
  <c r="D112"/>
  <c r="D118"/>
  <c r="J128"/>
  <c r="D115"/>
  <c r="J132"/>
  <c r="J145"/>
  <c r="J149"/>
  <c r="J153"/>
  <c r="J157"/>
  <c r="J161"/>
  <c r="J165"/>
  <c r="J169"/>
  <c r="J173"/>
  <c r="D110"/>
  <c r="J141"/>
  <c r="D108"/>
  <c r="J137"/>
  <c r="J131"/>
  <c r="D111"/>
  <c r="J143"/>
  <c r="J144"/>
  <c r="J148"/>
  <c r="J152"/>
  <c r="J156"/>
  <c r="J160"/>
  <c r="J164"/>
  <c r="J168"/>
  <c r="J172"/>
  <c r="AI33" i="2" l="1"/>
  <c r="AI34" s="1"/>
  <c r="AI35" s="1"/>
  <c r="AC29"/>
  <c r="BG29" s="1"/>
  <c r="BF29"/>
  <c r="EU29" s="1"/>
  <c r="EU28"/>
  <c r="DO28"/>
  <c r="CE28"/>
  <c r="BS28"/>
  <c r="BT28" s="1"/>
  <c r="BX28"/>
  <c r="DQ28"/>
  <c r="DZ28"/>
  <c r="BZ28"/>
  <c r="CA28"/>
  <c r="X26"/>
  <c r="W27" s="1"/>
  <c r="EE25"/>
  <c r="Y26"/>
  <c r="BB26" s="1"/>
  <c r="BB25"/>
  <c r="AE30"/>
  <c r="AD30"/>
  <c r="AM36"/>
  <c r="AM37" s="1"/>
  <c r="AM38" s="1"/>
  <c r="AN36"/>
  <c r="AN37" s="1"/>
  <c r="AN38" s="1"/>
  <c r="AI36"/>
  <c r="AI37" s="1"/>
  <c r="AJ36"/>
  <c r="AJ37" s="1"/>
  <c r="AJ38" s="1"/>
  <c r="AB29"/>
  <c r="Z30" s="1"/>
  <c r="AY29"/>
  <c r="BF30" l="1"/>
  <c r="AD31"/>
  <c r="AY31" s="1"/>
  <c r="AY30"/>
  <c r="AA30"/>
  <c r="AB30" s="1"/>
  <c r="V27"/>
  <c r="X27" s="1"/>
  <c r="EE27" s="1"/>
  <c r="AM39"/>
  <c r="AM40" s="1"/>
  <c r="AN39"/>
  <c r="AN40" s="1"/>
  <c r="AE31"/>
  <c r="AZ31" s="1"/>
  <c r="DF31" s="1"/>
  <c r="AZ30"/>
  <c r="AI38"/>
  <c r="BQ28"/>
  <c r="DO30" l="1"/>
  <c r="CE30"/>
  <c r="BH30"/>
  <c r="V28"/>
  <c r="BA27"/>
  <c r="EF27" s="1"/>
  <c r="EG27" s="1"/>
  <c r="Y27"/>
  <c r="BB27" s="1"/>
  <c r="W28"/>
  <c r="X28" s="1"/>
  <c r="AA31"/>
  <c r="AN41"/>
  <c r="AM41"/>
  <c r="AD32"/>
  <c r="AE32"/>
  <c r="AC30"/>
  <c r="BG30" s="1"/>
  <c r="DQ30" s="1"/>
  <c r="AI39"/>
  <c r="AI40" s="1"/>
  <c r="AJ39"/>
  <c r="AJ40" s="1"/>
  <c r="CA30"/>
  <c r="Z31"/>
  <c r="AB31" l="1"/>
  <c r="AA32" s="1"/>
  <c r="AE33"/>
  <c r="AZ33" s="1"/>
  <c r="DF33" s="1"/>
  <c r="AY32"/>
  <c r="Z32"/>
  <c r="BF31"/>
  <c r="EU31" s="1"/>
  <c r="AC31"/>
  <c r="BG31" s="1"/>
  <c r="AJ41"/>
  <c r="AI41"/>
  <c r="AN42"/>
  <c r="AM42"/>
  <c r="AD33"/>
  <c r="AD34" s="1"/>
  <c r="AZ32"/>
  <c r="DF32" s="1"/>
  <c r="EE28"/>
  <c r="BC28"/>
  <c r="BA28"/>
  <c r="V29"/>
  <c r="W29"/>
  <c r="BU28"/>
  <c r="Y28"/>
  <c r="BB28" s="1"/>
  <c r="AB32" l="1"/>
  <c r="AY33"/>
  <c r="X29"/>
  <c r="EE29" s="1"/>
  <c r="DP28"/>
  <c r="BW28"/>
  <c r="DX28"/>
  <c r="DY28"/>
  <c r="CC28"/>
  <c r="DR28"/>
  <c r="CD28"/>
  <c r="BR28"/>
  <c r="BP28" s="1"/>
  <c r="EF28"/>
  <c r="EG28" s="1"/>
  <c r="CB28"/>
  <c r="DT28"/>
  <c r="DS28"/>
  <c r="DV28"/>
  <c r="DW28"/>
  <c r="DU28"/>
  <c r="BY28"/>
  <c r="DN28"/>
  <c r="AY34"/>
  <c r="AZ34"/>
  <c r="AE34"/>
  <c r="AJ42"/>
  <c r="AI42"/>
  <c r="AN43"/>
  <c r="AM43"/>
  <c r="BF32"/>
  <c r="BH32"/>
  <c r="V30"/>
  <c r="BA29"/>
  <c r="EF29" s="1"/>
  <c r="EG29" s="1"/>
  <c r="Y29"/>
  <c r="BB29" s="1"/>
  <c r="AA33"/>
  <c r="Z33"/>
  <c r="AC32"/>
  <c r="BG32" s="1"/>
  <c r="BV32"/>
  <c r="W30" l="1"/>
  <c r="X30" s="1"/>
  <c r="Z34"/>
  <c r="AC33"/>
  <c r="BF33"/>
  <c r="EU33" s="1"/>
  <c r="AJ43"/>
  <c r="AI43"/>
  <c r="AB33"/>
  <c r="AB34" s="1"/>
  <c r="AA34"/>
  <c r="DO32"/>
  <c r="CE32"/>
  <c r="BS32"/>
  <c r="BT32" s="1"/>
  <c r="DZ32"/>
  <c r="DQ32"/>
  <c r="BX32"/>
  <c r="BZ32"/>
  <c r="EU32"/>
  <c r="CA32"/>
  <c r="W31"/>
  <c r="BA30"/>
  <c r="Y30"/>
  <c r="BB30" s="1"/>
  <c r="DP30" s="1"/>
  <c r="DU30"/>
  <c r="DW30"/>
  <c r="AM44"/>
  <c r="AN44"/>
  <c r="AE35"/>
  <c r="AZ35" s="1"/>
  <c r="DF35" s="1"/>
  <c r="AD35"/>
  <c r="EY10"/>
  <c r="FA10"/>
  <c r="EZ10"/>
  <c r="EW10"/>
  <c r="EX10"/>
  <c r="BQ32" l="1"/>
  <c r="DV30"/>
  <c r="V31"/>
  <c r="DS30"/>
  <c r="DT30"/>
  <c r="DR30"/>
  <c r="BA31"/>
  <c r="EF31" s="1"/>
  <c r="EG31" s="1"/>
  <c r="Y31"/>
  <c r="BB31" s="1"/>
  <c r="AC34"/>
  <c r="BG34" s="1"/>
  <c r="BG33"/>
  <c r="AI44"/>
  <c r="AJ44"/>
  <c r="CD30"/>
  <c r="BC30"/>
  <c r="DN30" s="1"/>
  <c r="CC30"/>
  <c r="Z35"/>
  <c r="AA35"/>
  <c r="BF34"/>
  <c r="AE36"/>
  <c r="AE37" s="1"/>
  <c r="AD36"/>
  <c r="AY35"/>
  <c r="AM45"/>
  <c r="AN45"/>
  <c r="X31"/>
  <c r="EE31" s="1"/>
  <c r="H221"/>
  <c r="H220"/>
  <c r="H222"/>
  <c r="H219"/>
  <c r="H223"/>
  <c r="AB35" l="1"/>
  <c r="AI45"/>
  <c r="AJ45"/>
  <c r="W32"/>
  <c r="V32"/>
  <c r="AZ37"/>
  <c r="AE38"/>
  <c r="AZ38" s="1"/>
  <c r="DF38" s="1"/>
  <c r="AM46"/>
  <c r="AN46"/>
  <c r="AY36"/>
  <c r="AD37"/>
  <c r="BF35"/>
  <c r="EU35" s="1"/>
  <c r="Z36"/>
  <c r="AC35"/>
  <c r="BG35" s="1"/>
  <c r="AA36"/>
  <c r="AZ36"/>
  <c r="X32" l="1"/>
  <c r="W33" s="1"/>
  <c r="AN47"/>
  <c r="AN48" s="1"/>
  <c r="AN49" s="1"/>
  <c r="AN50" s="1"/>
  <c r="AM47"/>
  <c r="AI46"/>
  <c r="AJ46"/>
  <c r="BF36"/>
  <c r="Z37"/>
  <c r="AC36"/>
  <c r="EE32"/>
  <c r="AA37"/>
  <c r="AB36"/>
  <c r="AB37" s="1"/>
  <c r="AY37"/>
  <c r="AD38"/>
  <c r="BU32"/>
  <c r="Y32"/>
  <c r="BB32" s="1"/>
  <c r="V33" l="1"/>
  <c r="Y33" s="1"/>
  <c r="BA32"/>
  <c r="BW32" s="1"/>
  <c r="BC32"/>
  <c r="AM48"/>
  <c r="AM49" s="1"/>
  <c r="AM50" s="1"/>
  <c r="AM51" s="1"/>
  <c r="BF37"/>
  <c r="AA38"/>
  <c r="Z38"/>
  <c r="AD39"/>
  <c r="AE39"/>
  <c r="CE36"/>
  <c r="BH36"/>
  <c r="DO36" s="1"/>
  <c r="DR32"/>
  <c r="CD32"/>
  <c r="BR32"/>
  <c r="BP32" s="1"/>
  <c r="DX32"/>
  <c r="DP32"/>
  <c r="DY32"/>
  <c r="EF32"/>
  <c r="EG32" s="1"/>
  <c r="DV32"/>
  <c r="DT32"/>
  <c r="DS32"/>
  <c r="DW32"/>
  <c r="BY32"/>
  <c r="AJ47"/>
  <c r="AJ48" s="1"/>
  <c r="AJ49" s="1"/>
  <c r="AJ50" s="1"/>
  <c r="AI47"/>
  <c r="X33"/>
  <c r="W34"/>
  <c r="AN51"/>
  <c r="AN52" s="1"/>
  <c r="V34"/>
  <c r="BA33"/>
  <c r="EF33" s="1"/>
  <c r="EG33" s="1"/>
  <c r="AC37"/>
  <c r="BG37" s="1"/>
  <c r="BG36"/>
  <c r="DQ36" s="1"/>
  <c r="AY38"/>
  <c r="CA36"/>
  <c r="AI48" l="1"/>
  <c r="AI49" s="1"/>
  <c r="AI50" s="1"/>
  <c r="AI51" s="1"/>
  <c r="DN32"/>
  <c r="DU32"/>
  <c r="CC32"/>
  <c r="CB32"/>
  <c r="AB38"/>
  <c r="AY39"/>
  <c r="AE40"/>
  <c r="AZ40" s="1"/>
  <c r="DF40" s="1"/>
  <c r="BA34"/>
  <c r="EE33"/>
  <c r="X34"/>
  <c r="W35" s="1"/>
  <c r="Z39"/>
  <c r="AC38"/>
  <c r="BG38" s="1"/>
  <c r="BF38"/>
  <c r="EU38" s="1"/>
  <c r="AA39"/>
  <c r="AB39" s="1"/>
  <c r="Y34"/>
  <c r="BB34" s="1"/>
  <c r="BB33"/>
  <c r="AD40"/>
  <c r="AZ39"/>
  <c r="DF39" s="1"/>
  <c r="AM52"/>
  <c r="AJ51" l="1"/>
  <c r="AJ52" s="1"/>
  <c r="V35"/>
  <c r="AD41"/>
  <c r="AE41"/>
  <c r="AZ41" s="1"/>
  <c r="AA40"/>
  <c r="Z40"/>
  <c r="AC39"/>
  <c r="BG39" s="1"/>
  <c r="BV39"/>
  <c r="AM53"/>
  <c r="AN53"/>
  <c r="AN54" s="1"/>
  <c r="BF39"/>
  <c r="BH39"/>
  <c r="AY40"/>
  <c r="W36" l="1"/>
  <c r="W37" s="1"/>
  <c r="BA35"/>
  <c r="EF35" s="1"/>
  <c r="EG35" s="1"/>
  <c r="X35"/>
  <c r="EE35" s="1"/>
  <c r="AI52"/>
  <c r="Y35"/>
  <c r="BB35" s="1"/>
  <c r="AM54"/>
  <c r="AM55" s="1"/>
  <c r="AB40"/>
  <c r="AA41" s="1"/>
  <c r="Z41"/>
  <c r="AC40"/>
  <c r="BG40" s="1"/>
  <c r="BF40"/>
  <c r="EU40" s="1"/>
  <c r="AI53"/>
  <c r="AJ53"/>
  <c r="AJ54" s="1"/>
  <c r="V36"/>
  <c r="X36" s="1"/>
  <c r="X37" s="1"/>
  <c r="DO39"/>
  <c r="CE39"/>
  <c r="BS39"/>
  <c r="BT39" s="1"/>
  <c r="BX39"/>
  <c r="DZ39"/>
  <c r="DQ39"/>
  <c r="BZ39"/>
  <c r="EU39"/>
  <c r="AD42"/>
  <c r="AY41"/>
  <c r="AE42"/>
  <c r="AY42" s="1"/>
  <c r="DG42" s="1"/>
  <c r="BE41"/>
  <c r="AZ42"/>
  <c r="CA39"/>
  <c r="AB41" l="1"/>
  <c r="AA42" s="1"/>
  <c r="AN55"/>
  <c r="AN56" s="1"/>
  <c r="AN57" s="1"/>
  <c r="AN58" s="1"/>
  <c r="BQ39"/>
  <c r="AI54"/>
  <c r="DF42"/>
  <c r="AZ43"/>
  <c r="DF43" s="1"/>
  <c r="DJ42"/>
  <c r="V37"/>
  <c r="BA36"/>
  <c r="DT36"/>
  <c r="Y36"/>
  <c r="DU36" s="1"/>
  <c r="AE43"/>
  <c r="AY43" s="1"/>
  <c r="DG43" s="1"/>
  <c r="DJ43" s="1"/>
  <c r="AD43"/>
  <c r="AI55"/>
  <c r="AJ55"/>
  <c r="AJ56" s="1"/>
  <c r="AJ57" s="1"/>
  <c r="AJ58" s="1"/>
  <c r="BF41"/>
  <c r="AC41"/>
  <c r="BG41" s="1"/>
  <c r="Z42"/>
  <c r="AM56"/>
  <c r="AM57" s="1"/>
  <c r="AM58" s="1"/>
  <c r="DW36" l="1"/>
  <c r="DR36"/>
  <c r="AI56"/>
  <c r="AI57" s="1"/>
  <c r="AI58" s="1"/>
  <c r="AI59" s="1"/>
  <c r="AI60" s="1"/>
  <c r="AE44"/>
  <c r="AD44"/>
  <c r="BB36"/>
  <c r="DP36" s="1"/>
  <c r="Y37"/>
  <c r="BB37" s="1"/>
  <c r="BF42"/>
  <c r="AC42"/>
  <c r="BG42" s="1"/>
  <c r="W38"/>
  <c r="V38"/>
  <c r="BA37"/>
  <c r="AB42"/>
  <c r="DV36"/>
  <c r="AJ59"/>
  <c r="AJ60" s="1"/>
  <c r="AJ61" s="1"/>
  <c r="AN59"/>
  <c r="AN60" s="1"/>
  <c r="AN61" s="1"/>
  <c r="AM59"/>
  <c r="AM60" s="1"/>
  <c r="DO41"/>
  <c r="BH41"/>
  <c r="BC36"/>
  <c r="DN36" s="1"/>
  <c r="CC36"/>
  <c r="CD36"/>
  <c r="DS36"/>
  <c r="BO42" l="1"/>
  <c r="EU42"/>
  <c r="BL42"/>
  <c r="DQ42"/>
  <c r="DM42"/>
  <c r="AZ44"/>
  <c r="BE44" s="1"/>
  <c r="AE45"/>
  <c r="AZ45" s="1"/>
  <c r="AY44"/>
  <c r="AD45"/>
  <c r="AI61"/>
  <c r="BH42"/>
  <c r="BJ42" s="1"/>
  <c r="X38"/>
  <c r="EE38" s="1"/>
  <c r="Z43"/>
  <c r="V39"/>
  <c r="BA38"/>
  <c r="EF38" s="1"/>
  <c r="EG38" s="1"/>
  <c r="Y38"/>
  <c r="BB38" s="1"/>
  <c r="W39"/>
  <c r="AM61"/>
  <c r="AA43"/>
  <c r="X39" l="1"/>
  <c r="W40" s="1"/>
  <c r="AN62"/>
  <c r="AN63" s="1"/>
  <c r="AM62"/>
  <c r="AE46"/>
  <c r="AY45"/>
  <c r="AD46"/>
  <c r="AB43"/>
  <c r="DO42"/>
  <c r="BF43"/>
  <c r="Z44"/>
  <c r="AA44"/>
  <c r="AC43"/>
  <c r="BG43" s="1"/>
  <c r="EE39"/>
  <c r="BC39"/>
  <c r="BA39"/>
  <c r="V40"/>
  <c r="BU39"/>
  <c r="Y39"/>
  <c r="BB39" s="1"/>
  <c r="AJ62"/>
  <c r="AJ63" s="1"/>
  <c r="AI62"/>
  <c r="AI63" s="1"/>
  <c r="BE45"/>
  <c r="AZ46"/>
  <c r="DF46" s="1"/>
  <c r="AB44" l="1"/>
  <c r="Z45" s="1"/>
  <c r="AM63"/>
  <c r="AM64" s="1"/>
  <c r="AI64"/>
  <c r="AJ64"/>
  <c r="AJ65" s="1"/>
  <c r="BA40"/>
  <c r="EF40" s="1"/>
  <c r="EG40" s="1"/>
  <c r="Y40"/>
  <c r="BB40" s="1"/>
  <c r="BF44"/>
  <c r="AC44"/>
  <c r="BG44" s="1"/>
  <c r="AA45"/>
  <c r="AD47"/>
  <c r="AE47"/>
  <c r="BW39"/>
  <c r="EF39"/>
  <c r="EG39" s="1"/>
  <c r="DX39"/>
  <c r="DP39"/>
  <c r="CB39"/>
  <c r="DR39"/>
  <c r="CD39"/>
  <c r="BR39"/>
  <c r="BP39" s="1"/>
  <c r="DU39"/>
  <c r="DY39"/>
  <c r="CC39"/>
  <c r="BY39"/>
  <c r="DS39"/>
  <c r="DV39"/>
  <c r="DW39"/>
  <c r="DT39"/>
  <c r="DN39"/>
  <c r="AY46"/>
  <c r="DG46" s="1"/>
  <c r="AN64"/>
  <c r="AN65" s="1"/>
  <c r="DQ43"/>
  <c r="BO43"/>
  <c r="BL43"/>
  <c r="EU43"/>
  <c r="DM43"/>
  <c r="X40"/>
  <c r="EE40" s="1"/>
  <c r="BH43"/>
  <c r="BJ43" s="1"/>
  <c r="AB45" l="1"/>
  <c r="AM65"/>
  <c r="DO43"/>
  <c r="AZ47"/>
  <c r="BE47" s="1"/>
  <c r="AZ48"/>
  <c r="DF48" s="1"/>
  <c r="AE48"/>
  <c r="BH44"/>
  <c r="DO44" s="1"/>
  <c r="AI65"/>
  <c r="DJ46"/>
  <c r="AN66"/>
  <c r="AN67" s="1"/>
  <c r="AN68" s="1"/>
  <c r="AN69" s="1"/>
  <c r="AM66"/>
  <c r="W41"/>
  <c r="X41" s="1"/>
  <c r="V41"/>
  <c r="AD48"/>
  <c r="AY48" s="1"/>
  <c r="AY47"/>
  <c r="Z46"/>
  <c r="AC45"/>
  <c r="BG45" s="1"/>
  <c r="BF45"/>
  <c r="AA46"/>
  <c r="BF46" l="1"/>
  <c r="AC46"/>
  <c r="BG46" s="1"/>
  <c r="AD49"/>
  <c r="BH45"/>
  <c r="DO45"/>
  <c r="BA41"/>
  <c r="Y41"/>
  <c r="BB41" s="1"/>
  <c r="V42"/>
  <c r="W42"/>
  <c r="X42" s="1"/>
  <c r="DK42"/>
  <c r="AJ66"/>
  <c r="AJ67" s="1"/>
  <c r="AJ68" s="1"/>
  <c r="AJ69" s="1"/>
  <c r="AI66"/>
  <c r="AE49"/>
  <c r="AM67"/>
  <c r="AM68" s="1"/>
  <c r="AM69" s="1"/>
  <c r="AB46"/>
  <c r="Z47" s="1"/>
  <c r="AI67" l="1"/>
  <c r="AI68" s="1"/>
  <c r="AI69" s="1"/>
  <c r="AI70" s="1"/>
  <c r="BF47"/>
  <c r="BA42"/>
  <c r="BC42" s="1"/>
  <c r="AY49"/>
  <c r="AD50"/>
  <c r="AZ50"/>
  <c r="DF50" s="1"/>
  <c r="AE50"/>
  <c r="BC41"/>
  <c r="DN41" s="1"/>
  <c r="BL46"/>
  <c r="BO46"/>
  <c r="EU46"/>
  <c r="DQ46"/>
  <c r="DM46"/>
  <c r="EE42"/>
  <c r="AZ49"/>
  <c r="AN70"/>
  <c r="AM70"/>
  <c r="AF42"/>
  <c r="V43"/>
  <c r="Y42"/>
  <c r="BB42" s="1"/>
  <c r="DK43"/>
  <c r="EE43" s="1"/>
  <c r="W43"/>
  <c r="BH46"/>
  <c r="BJ46" s="1"/>
  <c r="AA47"/>
  <c r="AB47" s="1"/>
  <c r="BE42" l="1"/>
  <c r="AJ70"/>
  <c r="AI71" s="1"/>
  <c r="AD51"/>
  <c r="AE51"/>
  <c r="Z48"/>
  <c r="Y43"/>
  <c r="BB43" s="1"/>
  <c r="DO46"/>
  <c r="AA48"/>
  <c r="AN71"/>
  <c r="AM71"/>
  <c r="BH47"/>
  <c r="DO47" s="1"/>
  <c r="DR42"/>
  <c r="BK42"/>
  <c r="BN42"/>
  <c r="DP42"/>
  <c r="EF42"/>
  <c r="EG42" s="1"/>
  <c r="DT42"/>
  <c r="DU42"/>
  <c r="DS42"/>
  <c r="DW42"/>
  <c r="DV42"/>
  <c r="DN42"/>
  <c r="X43"/>
  <c r="BM42"/>
  <c r="AY50"/>
  <c r="AC47"/>
  <c r="BG47" s="1"/>
  <c r="BM43" l="1"/>
  <c r="AJ71"/>
  <c r="AJ72" s="1"/>
  <c r="AN72"/>
  <c r="AM72"/>
  <c r="BA43"/>
  <c r="BC43" s="1"/>
  <c r="AD52"/>
  <c r="AY52" s="1"/>
  <c r="AZ51"/>
  <c r="DF51" s="1"/>
  <c r="W44"/>
  <c r="V44"/>
  <c r="AE52"/>
  <c r="AZ52" s="1"/>
  <c r="DF52" s="1"/>
  <c r="AY51"/>
  <c r="AI72"/>
  <c r="BF48"/>
  <c r="EU48" s="1"/>
  <c r="Z49"/>
  <c r="AC48"/>
  <c r="AA49"/>
  <c r="AB48"/>
  <c r="AB49" s="1"/>
  <c r="AF43"/>
  <c r="AF44" s="1"/>
  <c r="AF45" s="1"/>
  <c r="BE43" l="1"/>
  <c r="BF49"/>
  <c r="Z50"/>
  <c r="AA50"/>
  <c r="Y44"/>
  <c r="BB44" s="1"/>
  <c r="BA44"/>
  <c r="BG48"/>
  <c r="AC49"/>
  <c r="BG49" s="1"/>
  <c r="AJ73"/>
  <c r="AI73"/>
  <c r="AN73"/>
  <c r="AM73"/>
  <c r="AD53"/>
  <c r="AE53"/>
  <c r="BN43"/>
  <c r="DR43"/>
  <c r="BK43"/>
  <c r="EF43"/>
  <c r="EG43" s="1"/>
  <c r="DP43"/>
  <c r="DN43"/>
  <c r="DT43"/>
  <c r="DV43"/>
  <c r="DU43"/>
  <c r="DW43"/>
  <c r="DS43"/>
  <c r="X44"/>
  <c r="W45" s="1"/>
  <c r="AC50" l="1"/>
  <c r="BG50" s="1"/>
  <c r="BF50"/>
  <c r="EU50" s="1"/>
  <c r="AZ54"/>
  <c r="DF54" s="1"/>
  <c r="AE54"/>
  <c r="AZ53"/>
  <c r="V45"/>
  <c r="AN74"/>
  <c r="AM74"/>
  <c r="BC44"/>
  <c r="DN44" s="1"/>
  <c r="AB50"/>
  <c r="AY53"/>
  <c r="AD54"/>
  <c r="AY54" s="1"/>
  <c r="AJ74"/>
  <c r="AI74"/>
  <c r="BA45" l="1"/>
  <c r="Y45"/>
  <c r="BB45" s="1"/>
  <c r="DK46"/>
  <c r="Z51"/>
  <c r="AA51"/>
  <c r="X45"/>
  <c r="V46" s="1"/>
  <c r="AI75"/>
  <c r="AJ75"/>
  <c r="AM75"/>
  <c r="AN75"/>
  <c r="AE55"/>
  <c r="AD55"/>
  <c r="W46" l="1"/>
  <c r="X46" s="1"/>
  <c r="BA46" s="1"/>
  <c r="AE56"/>
  <c r="AZ56" s="1"/>
  <c r="DF56" s="1"/>
  <c r="AY55"/>
  <c r="AI76"/>
  <c r="AJ76"/>
  <c r="AJ77" s="1"/>
  <c r="BV51"/>
  <c r="AC51"/>
  <c r="BG51" s="1"/>
  <c r="AD56"/>
  <c r="AD57" s="1"/>
  <c r="AZ55"/>
  <c r="DF55" s="1"/>
  <c r="AM76"/>
  <c r="AN76"/>
  <c r="AN77" s="1"/>
  <c r="AF46"/>
  <c r="AF47" s="1"/>
  <c r="AF48" s="1"/>
  <c r="AF49" s="1"/>
  <c r="AF50" s="1"/>
  <c r="AF51" s="1"/>
  <c r="AF52" s="1"/>
  <c r="AF53" s="1"/>
  <c r="AF54" s="1"/>
  <c r="AF55" s="1"/>
  <c r="AF56" s="1"/>
  <c r="AF57" s="1"/>
  <c r="AF58" s="1"/>
  <c r="AF59" s="1"/>
  <c r="AF60" s="1"/>
  <c r="AF61" s="1"/>
  <c r="AF62" s="1"/>
  <c r="AF63" s="1"/>
  <c r="AF64" s="1"/>
  <c r="AF65" s="1"/>
  <c r="AF66" s="1"/>
  <c r="AF67" s="1"/>
  <c r="AF68" s="1"/>
  <c r="AF69" s="1"/>
  <c r="AF70" s="1"/>
  <c r="W47"/>
  <c r="Y46"/>
  <c r="BB46" s="1"/>
  <c r="EE46"/>
  <c r="AB51"/>
  <c r="Z52" s="1"/>
  <c r="BC45"/>
  <c r="DN45" s="1"/>
  <c r="V47" l="1"/>
  <c r="Y47" s="1"/>
  <c r="BB47" s="1"/>
  <c r="BE46"/>
  <c r="AY56"/>
  <c r="BF51"/>
  <c r="BH51"/>
  <c r="BA47"/>
  <c r="AY57"/>
  <c r="AE57"/>
  <c r="AD58" s="1"/>
  <c r="BM46"/>
  <c r="BF52"/>
  <c r="EU52" s="1"/>
  <c r="EF46"/>
  <c r="EG46" s="1"/>
  <c r="DP46"/>
  <c r="BK46"/>
  <c r="DR46"/>
  <c r="BN46"/>
  <c r="DU46"/>
  <c r="DS46"/>
  <c r="DT46"/>
  <c r="DV46"/>
  <c r="DW46"/>
  <c r="AA52"/>
  <c r="AC52" s="1"/>
  <c r="BG52" s="1"/>
  <c r="BC46"/>
  <c r="DN46" s="1"/>
  <c r="AM77"/>
  <c r="AI77"/>
  <c r="X47" l="1"/>
  <c r="W48" s="1"/>
  <c r="AD59"/>
  <c r="AY58"/>
  <c r="AB52"/>
  <c r="DO51"/>
  <c r="CE51"/>
  <c r="BS51"/>
  <c r="DQ51"/>
  <c r="DZ51"/>
  <c r="BX51"/>
  <c r="EU51"/>
  <c r="BZ51"/>
  <c r="CA51"/>
  <c r="AE58"/>
  <c r="AE59" s="1"/>
  <c r="AE60" s="1"/>
  <c r="BC47"/>
  <c r="DN47" s="1"/>
  <c r="AJ78"/>
  <c r="AJ79" s="1"/>
  <c r="AI78"/>
  <c r="W49"/>
  <c r="Z53"/>
  <c r="AZ57"/>
  <c r="AN78"/>
  <c r="AN79" s="1"/>
  <c r="AM78"/>
  <c r="AA53"/>
  <c r="AB53" s="1"/>
  <c r="X48" l="1"/>
  <c r="EE48" s="1"/>
  <c r="V48"/>
  <c r="AM79"/>
  <c r="AI79"/>
  <c r="AE61"/>
  <c r="AZ61" s="1"/>
  <c r="DF61" s="1"/>
  <c r="AZ60"/>
  <c r="AD60"/>
  <c r="AY59"/>
  <c r="AC53"/>
  <c r="BG53" s="1"/>
  <c r="DQ53" s="1"/>
  <c r="Z54"/>
  <c r="AA54"/>
  <c r="BF53"/>
  <c r="BT51"/>
  <c r="AI80"/>
  <c r="AI81" s="1"/>
  <c r="AJ80"/>
  <c r="AJ81" s="1"/>
  <c r="AJ82" s="1"/>
  <c r="AJ83" s="1"/>
  <c r="AJ84" s="1"/>
  <c r="AM80"/>
  <c r="AM81" s="1"/>
  <c r="AN80"/>
  <c r="AN81" s="1"/>
  <c r="AN82" s="1"/>
  <c r="AN83" s="1"/>
  <c r="AN84" s="1"/>
  <c r="AZ59"/>
  <c r="AZ58"/>
  <c r="DF58" s="1"/>
  <c r="BQ51"/>
  <c r="V49" l="1"/>
  <c r="Y48"/>
  <c r="BA48"/>
  <c r="EF48" s="1"/>
  <c r="EG48" s="1"/>
  <c r="X49"/>
  <c r="AM82"/>
  <c r="AM83" s="1"/>
  <c r="AM84" s="1"/>
  <c r="AM85" s="1"/>
  <c r="CE53"/>
  <c r="BH53"/>
  <c r="DO53" s="1"/>
  <c r="CA53"/>
  <c r="AB54"/>
  <c r="Z55" s="1"/>
  <c r="AC54"/>
  <c r="BG54" s="1"/>
  <c r="BF54"/>
  <c r="EU54" s="1"/>
  <c r="AA55"/>
  <c r="AD61"/>
  <c r="AY61" s="1"/>
  <c r="AY60"/>
  <c r="AI82"/>
  <c r="AI83" s="1"/>
  <c r="AI84" s="1"/>
  <c r="V50" l="1"/>
  <c r="W50"/>
  <c r="BA49"/>
  <c r="BB48"/>
  <c r="Y49"/>
  <c r="BB49" s="1"/>
  <c r="AN85"/>
  <c r="AN86" s="1"/>
  <c r="AB55"/>
  <c r="AA56" s="1"/>
  <c r="AI85"/>
  <c r="AJ85"/>
  <c r="AJ86" s="1"/>
  <c r="AE62"/>
  <c r="AD62"/>
  <c r="BV55"/>
  <c r="AC55"/>
  <c r="BG55" s="1"/>
  <c r="Y50" l="1"/>
  <c r="BB50" s="1"/>
  <c r="BA50"/>
  <c r="EF50" s="1"/>
  <c r="EG50" s="1"/>
  <c r="X50"/>
  <c r="AM86"/>
  <c r="W51"/>
  <c r="Z56"/>
  <c r="AB56" s="1"/>
  <c r="AI86"/>
  <c r="AM87"/>
  <c r="AN87"/>
  <c r="AN88" s="1"/>
  <c r="AE63"/>
  <c r="AY62"/>
  <c r="AA57"/>
  <c r="BF55"/>
  <c r="BH55"/>
  <c r="AD63"/>
  <c r="AY63" s="1"/>
  <c r="AZ62"/>
  <c r="DF62" s="1"/>
  <c r="X51" l="1"/>
  <c r="EE50"/>
  <c r="V51"/>
  <c r="AB57"/>
  <c r="AE64"/>
  <c r="AZ64" s="1"/>
  <c r="AD64"/>
  <c r="DQ55"/>
  <c r="DZ55"/>
  <c r="BZ55"/>
  <c r="BX55"/>
  <c r="CE55"/>
  <c r="EU55"/>
  <c r="DO55"/>
  <c r="BS55"/>
  <c r="CA55"/>
  <c r="AI87"/>
  <c r="AJ87"/>
  <c r="AJ88" s="1"/>
  <c r="AZ63"/>
  <c r="DF63" s="1"/>
  <c r="BF56"/>
  <c r="EU56" s="1"/>
  <c r="Z57"/>
  <c r="AC56"/>
  <c r="AM88"/>
  <c r="EE51" l="1"/>
  <c r="BC51"/>
  <c r="BA51"/>
  <c r="Y51"/>
  <c r="BB51" s="1"/>
  <c r="BU51"/>
  <c r="V52"/>
  <c r="W52"/>
  <c r="AY64"/>
  <c r="AD65"/>
  <c r="AI88"/>
  <c r="BF57"/>
  <c r="AA58"/>
  <c r="Z58"/>
  <c r="BG56"/>
  <c r="AC57"/>
  <c r="BG57" s="1"/>
  <c r="BT55"/>
  <c r="AN89"/>
  <c r="AN90" s="1"/>
  <c r="AN91" s="1"/>
  <c r="AN92" s="1"/>
  <c r="AN93" s="1"/>
  <c r="AN94" s="1"/>
  <c r="AM89"/>
  <c r="AE65"/>
  <c r="AZ65" s="1"/>
  <c r="DF65" s="1"/>
  <c r="BQ55"/>
  <c r="AB58" l="1"/>
  <c r="BA52"/>
  <c r="EF52" s="1"/>
  <c r="EG52" s="1"/>
  <c r="Y52"/>
  <c r="BB52" s="1"/>
  <c r="DY51"/>
  <c r="CC51"/>
  <c r="DS51"/>
  <c r="DN51"/>
  <c r="DW51"/>
  <c r="BW51"/>
  <c r="BR51"/>
  <c r="BP51" s="1"/>
  <c r="DT51"/>
  <c r="DR51"/>
  <c r="CD51"/>
  <c r="BY51"/>
  <c r="DV51"/>
  <c r="DP51"/>
  <c r="CB51"/>
  <c r="DU51"/>
  <c r="DX51"/>
  <c r="EF51"/>
  <c r="EG51" s="1"/>
  <c r="X52"/>
  <c r="V53" s="1"/>
  <c r="AD66"/>
  <c r="AE66"/>
  <c r="AJ89"/>
  <c r="AJ90" s="1"/>
  <c r="AJ91" s="1"/>
  <c r="AJ92" s="1"/>
  <c r="AJ93" s="1"/>
  <c r="AJ94" s="1"/>
  <c r="AI89"/>
  <c r="AY65"/>
  <c r="Z59"/>
  <c r="AC58"/>
  <c r="BG58" s="1"/>
  <c r="BF58"/>
  <c r="EU58" s="1"/>
  <c r="AA59"/>
  <c r="AM90"/>
  <c r="AM91" s="1"/>
  <c r="AM92" s="1"/>
  <c r="AM93" s="1"/>
  <c r="AM94" s="1"/>
  <c r="BA53" l="1"/>
  <c r="CC53" s="1"/>
  <c r="EE52"/>
  <c r="W53"/>
  <c r="X53" s="1"/>
  <c r="AC59"/>
  <c r="Z60"/>
  <c r="BF59"/>
  <c r="AB59"/>
  <c r="AB60" s="1"/>
  <c r="AA60"/>
  <c r="AE67"/>
  <c r="AY66"/>
  <c r="W54"/>
  <c r="AI90"/>
  <c r="AI91" s="1"/>
  <c r="AI92" s="1"/>
  <c r="AI93" s="1"/>
  <c r="AI94" s="1"/>
  <c r="CD53"/>
  <c r="BC53"/>
  <c r="DN53" s="1"/>
  <c r="AD67"/>
  <c r="AD68" s="1"/>
  <c r="AZ66"/>
  <c r="DF66" s="1"/>
  <c r="V54"/>
  <c r="Y53" l="1"/>
  <c r="AY68"/>
  <c r="CE59"/>
  <c r="BH59"/>
  <c r="DO59" s="1"/>
  <c r="CA59"/>
  <c r="X54"/>
  <c r="AC60"/>
  <c r="BG60" s="1"/>
  <c r="BG59"/>
  <c r="DQ59" s="1"/>
  <c r="AE68"/>
  <c r="AZ68" s="1"/>
  <c r="Z61"/>
  <c r="AA61"/>
  <c r="BF60"/>
  <c r="BA54"/>
  <c r="EF54" s="1"/>
  <c r="EG54" s="1"/>
  <c r="Y54"/>
  <c r="BB54" s="1"/>
  <c r="V55"/>
  <c r="W55"/>
  <c r="AY67"/>
  <c r="AZ67"/>
  <c r="DF67" s="1"/>
  <c r="BB53" l="1"/>
  <c r="DP53" s="1"/>
  <c r="DV53"/>
  <c r="DR53"/>
  <c r="DU53"/>
  <c r="DT53"/>
  <c r="DS53"/>
  <c r="DW53"/>
  <c r="AB61"/>
  <c r="Z62" s="1"/>
  <c r="BU55"/>
  <c r="Y55"/>
  <c r="BB55" s="1"/>
  <c r="AE69"/>
  <c r="AZ69" s="1"/>
  <c r="DF69" s="1"/>
  <c r="BF61"/>
  <c r="EU61" s="1"/>
  <c r="AC61"/>
  <c r="BG61" s="1"/>
  <c r="AA62"/>
  <c r="EE54"/>
  <c r="AD69"/>
  <c r="X55"/>
  <c r="V56" s="1"/>
  <c r="AB62" l="1"/>
  <c r="Z63" s="1"/>
  <c r="V57"/>
  <c r="BA56"/>
  <c r="EF56" s="1"/>
  <c r="EG56" s="1"/>
  <c r="AE70"/>
  <c r="AZ70" s="1"/>
  <c r="AD70"/>
  <c r="AY69"/>
  <c r="EE55"/>
  <c r="BA55"/>
  <c r="BC55"/>
  <c r="AA63"/>
  <c r="BV62"/>
  <c r="AC62"/>
  <c r="BG62" s="1"/>
  <c r="BF62"/>
  <c r="BH62"/>
  <c r="W56"/>
  <c r="DY55" l="1"/>
  <c r="CC55"/>
  <c r="DR55"/>
  <c r="CD55"/>
  <c r="BR55"/>
  <c r="EF55"/>
  <c r="EG55" s="1"/>
  <c r="DX55"/>
  <c r="DP55"/>
  <c r="CB55"/>
  <c r="DW55"/>
  <c r="BW55"/>
  <c r="DS55"/>
  <c r="DU55"/>
  <c r="DT55"/>
  <c r="BY55"/>
  <c r="DV55"/>
  <c r="DN55"/>
  <c r="AE71"/>
  <c r="AY71" s="1"/>
  <c r="DG71" s="1"/>
  <c r="AD71"/>
  <c r="AY70"/>
  <c r="W57"/>
  <c r="X56"/>
  <c r="BA57"/>
  <c r="BF63"/>
  <c r="EU63" s="1"/>
  <c r="AC63"/>
  <c r="BG63" s="1"/>
  <c r="DQ62"/>
  <c r="DZ62"/>
  <c r="BZ62"/>
  <c r="BX62"/>
  <c r="EU62"/>
  <c r="DO62"/>
  <c r="BS62"/>
  <c r="CE62"/>
  <c r="CA62"/>
  <c r="BE70"/>
  <c r="AZ71"/>
  <c r="DF71" s="1"/>
  <c r="AB63"/>
  <c r="AA64" s="1"/>
  <c r="Y56"/>
  <c r="AB64" l="1"/>
  <c r="AA65" s="1"/>
  <c r="Z64"/>
  <c r="BF64" s="1"/>
  <c r="DJ71"/>
  <c r="BP55"/>
  <c r="BT62"/>
  <c r="X57"/>
  <c r="V58" s="1"/>
  <c r="EE56"/>
  <c r="AE72"/>
  <c r="AZ72" s="1"/>
  <c r="BE72" s="1"/>
  <c r="AD72"/>
  <c r="BB56"/>
  <c r="Y57"/>
  <c r="BB57" s="1"/>
  <c r="AC64"/>
  <c r="BG64" s="1"/>
  <c r="DQ64" s="1"/>
  <c r="BQ62"/>
  <c r="Z65" l="1"/>
  <c r="AC65" s="1"/>
  <c r="BG65" s="1"/>
  <c r="CE64"/>
  <c r="BH64"/>
  <c r="DO64" s="1"/>
  <c r="CA64"/>
  <c r="AE73"/>
  <c r="AZ73" s="1"/>
  <c r="AY72"/>
  <c r="AD73"/>
  <c r="W58"/>
  <c r="Y58" s="1"/>
  <c r="BB58" s="1"/>
  <c r="BA58"/>
  <c r="EF58" s="1"/>
  <c r="EG58" s="1"/>
  <c r="BF65" l="1"/>
  <c r="EU65" s="1"/>
  <c r="AB65"/>
  <c r="AA66" s="1"/>
  <c r="BE73"/>
  <c r="AZ74"/>
  <c r="AE74"/>
  <c r="AY74" s="1"/>
  <c r="DG74" s="1"/>
  <c r="AY73"/>
  <c r="AD74"/>
  <c r="X58"/>
  <c r="Z66" l="1"/>
  <c r="BV66" s="1"/>
  <c r="DF74"/>
  <c r="AZ75"/>
  <c r="DF75" s="1"/>
  <c r="AE75"/>
  <c r="AY75" s="1"/>
  <c r="DG75" s="1"/>
  <c r="DJ75" s="1"/>
  <c r="AD75"/>
  <c r="EE58"/>
  <c r="V59"/>
  <c r="W59"/>
  <c r="DJ74"/>
  <c r="AB66" l="1"/>
  <c r="AC66"/>
  <c r="BG66" s="1"/>
  <c r="DG94"/>
  <c r="D155" s="1"/>
  <c r="W102" s="1"/>
  <c r="DJ94"/>
  <c r="BA59"/>
  <c r="Y59"/>
  <c r="V60"/>
  <c r="DS59"/>
  <c r="X59"/>
  <c r="X60" s="1"/>
  <c r="W60"/>
  <c r="AD76"/>
  <c r="AE76"/>
  <c r="AA67" l="1"/>
  <c r="BF66"/>
  <c r="BH66"/>
  <c r="Z67"/>
  <c r="N237"/>
  <c r="E236"/>
  <c r="Y60"/>
  <c r="BB60" s="1"/>
  <c r="BB59"/>
  <c r="DP59" s="1"/>
  <c r="AD77"/>
  <c r="AY76"/>
  <c r="V61"/>
  <c r="BA60"/>
  <c r="W61"/>
  <c r="DR59"/>
  <c r="DT59"/>
  <c r="CD59"/>
  <c r="CC59"/>
  <c r="BC59"/>
  <c r="DN59" s="1"/>
  <c r="AE77"/>
  <c r="AZ77" s="1"/>
  <c r="DF77" s="1"/>
  <c r="AZ76"/>
  <c r="BE76" s="1"/>
  <c r="D161"/>
  <c r="AX24"/>
  <c r="E237"/>
  <c r="E235"/>
  <c r="DV59"/>
  <c r="DW59"/>
  <c r="DU59"/>
  <c r="AA68" l="1"/>
  <c r="AB67"/>
  <c r="AB68" s="1"/>
  <c r="CE66"/>
  <c r="BZ66"/>
  <c r="DO66"/>
  <c r="BX66"/>
  <c r="EU66"/>
  <c r="DZ66"/>
  <c r="DQ66"/>
  <c r="CA66"/>
  <c r="BS66"/>
  <c r="AC67"/>
  <c r="BF67"/>
  <c r="EU67" s="1"/>
  <c r="Z68"/>
  <c r="BA61"/>
  <c r="EF61" s="1"/>
  <c r="EG61" s="1"/>
  <c r="Y61"/>
  <c r="BB61" s="1"/>
  <c r="AX25"/>
  <c r="AX26" s="1"/>
  <c r="AX27" s="1"/>
  <c r="AX28" s="1"/>
  <c r="AX29" s="1"/>
  <c r="AX30" s="1"/>
  <c r="AX31" s="1"/>
  <c r="AX32" s="1"/>
  <c r="AX33" s="1"/>
  <c r="AX34" s="1"/>
  <c r="AX35" s="1"/>
  <c r="AX36" s="1"/>
  <c r="AX37" s="1"/>
  <c r="AX38" s="1"/>
  <c r="AX39" s="1"/>
  <c r="AX40" s="1"/>
  <c r="AX41" s="1"/>
  <c r="AX42" s="1"/>
  <c r="AX43" s="1"/>
  <c r="AX44" s="1"/>
  <c r="AX45" s="1"/>
  <c r="AX46" s="1"/>
  <c r="AX47" s="1"/>
  <c r="AX48" s="1"/>
  <c r="AX49" s="1"/>
  <c r="AX50" s="1"/>
  <c r="AX51" s="1"/>
  <c r="AX52" s="1"/>
  <c r="AX53" s="1"/>
  <c r="AX54" s="1"/>
  <c r="AX55" s="1"/>
  <c r="AX56" s="1"/>
  <c r="AX57" s="1"/>
  <c r="AX58" s="1"/>
  <c r="AX59" s="1"/>
  <c r="AX60" s="1"/>
  <c r="AX61" s="1"/>
  <c r="AX62" s="1"/>
  <c r="AX63" s="1"/>
  <c r="AX64" s="1"/>
  <c r="AX65" s="1"/>
  <c r="AX66" s="1"/>
  <c r="AX67" s="1"/>
  <c r="AX68" s="1"/>
  <c r="AX69" s="1"/>
  <c r="AX70" s="1"/>
  <c r="AX71" s="1"/>
  <c r="AX72" s="1"/>
  <c r="AX73" s="1"/>
  <c r="AX74" s="1"/>
  <c r="AX75" s="1"/>
  <c r="AX76" s="1"/>
  <c r="AX77" s="1"/>
  <c r="AX78" s="1"/>
  <c r="AX79" s="1"/>
  <c r="AX80" s="1"/>
  <c r="AX81" s="1"/>
  <c r="AX82" s="1"/>
  <c r="AX83" s="1"/>
  <c r="AX84" s="1"/>
  <c r="AX85" s="1"/>
  <c r="AX86" s="1"/>
  <c r="AX87" s="1"/>
  <c r="AX88" s="1"/>
  <c r="AX89" s="1"/>
  <c r="AX90" s="1"/>
  <c r="AX91" s="1"/>
  <c r="AX92" s="1"/>
  <c r="AX93" s="1"/>
  <c r="AX94" s="1"/>
  <c r="D167" s="1"/>
  <c r="AE78"/>
  <c r="AD78"/>
  <c r="L235"/>
  <c r="D6" i="10"/>
  <c r="D103" i="2"/>
  <c r="D163"/>
  <c r="D164"/>
  <c r="D324" s="1"/>
  <c r="X61"/>
  <c r="EE61" s="1"/>
  <c r="AY77"/>
  <c r="AA69" l="1"/>
  <c r="AB69" s="1"/>
  <c r="AA70" s="1"/>
  <c r="BF68"/>
  <c r="Z69"/>
  <c r="BQ66"/>
  <c r="BT66"/>
  <c r="AC68"/>
  <c r="BG68" s="1"/>
  <c r="BG67"/>
  <c r="D104"/>
  <c r="D9" i="10"/>
  <c r="E239" i="2"/>
  <c r="AD79"/>
  <c r="AZ78"/>
  <c r="DF78" s="1"/>
  <c r="W62"/>
  <c r="D166"/>
  <c r="D8" i="10"/>
  <c r="Q20" s="1"/>
  <c r="AZ79" i="2"/>
  <c r="DF79" s="1"/>
  <c r="AE79"/>
  <c r="AY78"/>
  <c r="V62"/>
  <c r="AB70" l="1"/>
  <c r="Z71" s="1"/>
  <c r="Z70"/>
  <c r="AC69"/>
  <c r="BG69" s="1"/>
  <c r="BF69"/>
  <c r="EU69" s="1"/>
  <c r="W63"/>
  <c r="BU62"/>
  <c r="Y62"/>
  <c r="BB62" s="1"/>
  <c r="D323"/>
  <c r="W106"/>
  <c r="AD80"/>
  <c r="AE80"/>
  <c r="AE81" s="1"/>
  <c r="E240"/>
  <c r="E241"/>
  <c r="X62"/>
  <c r="V63" s="1"/>
  <c r="AZ80"/>
  <c r="AY79"/>
  <c r="AC71" l="1"/>
  <c r="BG71" s="1"/>
  <c r="BF71"/>
  <c r="AC70"/>
  <c r="BG70" s="1"/>
  <c r="AA71"/>
  <c r="AB71" s="1"/>
  <c r="BF70"/>
  <c r="AA72"/>
  <c r="AB72" s="1"/>
  <c r="Z72"/>
  <c r="BA63"/>
  <c r="EF63" s="1"/>
  <c r="EG63" s="1"/>
  <c r="Y63"/>
  <c r="BB63" s="1"/>
  <c r="AE82"/>
  <c r="AZ82" s="1"/>
  <c r="DF82" s="1"/>
  <c r="AZ81"/>
  <c r="EE62"/>
  <c r="BA62"/>
  <c r="BC62"/>
  <c r="BF72"/>
  <c r="Z73"/>
  <c r="AA73"/>
  <c r="D299"/>
  <c r="D262"/>
  <c r="AD81"/>
  <c r="AY80"/>
  <c r="X63"/>
  <c r="EE63" s="1"/>
  <c r="BH70" l="1"/>
  <c r="DO70" s="1"/>
  <c r="BL71"/>
  <c r="DQ71"/>
  <c r="EU71"/>
  <c r="BO71"/>
  <c r="DM71"/>
  <c r="AC72"/>
  <c r="BG72" s="1"/>
  <c r="BH71"/>
  <c r="BJ71" s="1"/>
  <c r="V64"/>
  <c r="BA64" s="1"/>
  <c r="W64"/>
  <c r="BF73"/>
  <c r="AC73"/>
  <c r="BG73" s="1"/>
  <c r="AY81"/>
  <c r="AD82"/>
  <c r="AD83" s="1"/>
  <c r="DY62"/>
  <c r="CC62"/>
  <c r="DR62"/>
  <c r="CD62"/>
  <c r="BR62"/>
  <c r="EF62"/>
  <c r="EG62" s="1"/>
  <c r="DX62"/>
  <c r="DP62"/>
  <c r="CB62"/>
  <c r="DS62"/>
  <c r="BW62"/>
  <c r="DW62"/>
  <c r="DT62"/>
  <c r="DV62"/>
  <c r="BY62"/>
  <c r="DU62"/>
  <c r="DN62"/>
  <c r="AE83"/>
  <c r="AZ83" s="1"/>
  <c r="D303"/>
  <c r="D300"/>
  <c r="D302" s="1"/>
  <c r="BH72"/>
  <c r="DO72" s="1"/>
  <c r="AB73"/>
  <c r="Z74" s="1"/>
  <c r="DO71" l="1"/>
  <c r="X64"/>
  <c r="W65" s="1"/>
  <c r="BF74"/>
  <c r="AD84"/>
  <c r="AY83"/>
  <c r="AA74"/>
  <c r="AB74" s="1"/>
  <c r="BH74" s="1"/>
  <c r="BJ74" s="1"/>
  <c r="AE84"/>
  <c r="AZ84" s="1"/>
  <c r="DF84" s="1"/>
  <c r="BH73"/>
  <c r="DO73" s="1"/>
  <c r="BC64"/>
  <c r="DN64" s="1"/>
  <c r="CC64"/>
  <c r="CD64"/>
  <c r="BP62"/>
  <c r="AY82"/>
  <c r="D320"/>
  <c r="D304" s="1"/>
  <c r="D321" s="1"/>
  <c r="EH327" s="1"/>
  <c r="D350"/>
  <c r="Y64"/>
  <c r="V65" l="1"/>
  <c r="BA65" s="1"/>
  <c r="EF65" s="1"/>
  <c r="EG65" s="1"/>
  <c r="Z75"/>
  <c r="BB64"/>
  <c r="DW64"/>
  <c r="DV64"/>
  <c r="DR64"/>
  <c r="DU64"/>
  <c r="DT64"/>
  <c r="DS64"/>
  <c r="C327"/>
  <c r="EH7"/>
  <c r="AE85"/>
  <c r="AD85"/>
  <c r="BO74"/>
  <c r="EU74"/>
  <c r="BL74"/>
  <c r="DO74"/>
  <c r="DM74"/>
  <c r="Y65"/>
  <c r="BB65" s="1"/>
  <c r="AY84"/>
  <c r="AC74"/>
  <c r="BG74" s="1"/>
  <c r="DQ74" s="1"/>
  <c r="BF75"/>
  <c r="AA75"/>
  <c r="AB75" s="1"/>
  <c r="X65" l="1"/>
  <c r="EE65" s="1"/>
  <c r="W66"/>
  <c r="Z76"/>
  <c r="AC75"/>
  <c r="BG75" s="1"/>
  <c r="DQ75" s="1"/>
  <c r="BF76"/>
  <c r="BL75"/>
  <c r="BL94" s="1"/>
  <c r="U31" i="10" s="1"/>
  <c r="BO75" i="2"/>
  <c r="BO94" s="1"/>
  <c r="U30" i="10" s="1"/>
  <c r="EU75" i="2"/>
  <c r="DM75"/>
  <c r="DM94" s="1"/>
  <c r="DP64"/>
  <c r="BH75"/>
  <c r="BJ75" s="1"/>
  <c r="AA76"/>
  <c r="AB76" s="1"/>
  <c r="AD86"/>
  <c r="AY86" s="1"/>
  <c r="AZ85"/>
  <c r="DF85" s="1"/>
  <c r="AZ86"/>
  <c r="DF86" s="1"/>
  <c r="AE86"/>
  <c r="AY85"/>
  <c r="V66" l="1"/>
  <c r="Y66" s="1"/>
  <c r="BB66" s="1"/>
  <c r="AC76"/>
  <c r="BG76" s="1"/>
  <c r="AD87"/>
  <c r="AE87"/>
  <c r="AZ87" s="1"/>
  <c r="BH76"/>
  <c r="DO76" s="1"/>
  <c r="DO75"/>
  <c r="Z77"/>
  <c r="AA77"/>
  <c r="AB77" s="1"/>
  <c r="X66" l="1"/>
  <c r="V67" s="1"/>
  <c r="V68" s="1"/>
  <c r="BU66"/>
  <c r="AE88"/>
  <c r="AZ88" s="1"/>
  <c r="DF88" s="1"/>
  <c r="BF77"/>
  <c r="EU77" s="1"/>
  <c r="AC77"/>
  <c r="BG77" s="1"/>
  <c r="Z78"/>
  <c r="AA78"/>
  <c r="AD88"/>
  <c r="AY87"/>
  <c r="EE66" l="1"/>
  <c r="BA67"/>
  <c r="EF67" s="1"/>
  <c r="EG67" s="1"/>
  <c r="Y67"/>
  <c r="Y68" s="1"/>
  <c r="BB68" s="1"/>
  <c r="W67"/>
  <c r="BA66"/>
  <c r="DX66" s="1"/>
  <c r="BC66"/>
  <c r="DU66"/>
  <c r="DT66"/>
  <c r="BR66"/>
  <c r="BP66" s="1"/>
  <c r="EF66"/>
  <c r="EG66" s="1"/>
  <c r="DR66"/>
  <c r="DN66"/>
  <c r="CB66"/>
  <c r="DS66"/>
  <c r="BB67"/>
  <c r="BA68"/>
  <c r="W68"/>
  <c r="X67"/>
  <c r="AE89"/>
  <c r="AD89"/>
  <c r="BV78"/>
  <c r="AC78"/>
  <c r="BG78" s="1"/>
  <c r="AY88"/>
  <c r="AB78"/>
  <c r="AA79" s="1"/>
  <c r="CD66" l="1"/>
  <c r="BW66"/>
  <c r="DP66"/>
  <c r="DV66"/>
  <c r="DY66"/>
  <c r="CC66"/>
  <c r="DW66"/>
  <c r="BY66"/>
  <c r="EE67"/>
  <c r="X68"/>
  <c r="W69" s="1"/>
  <c r="AE90"/>
  <c r="AZ90" s="1"/>
  <c r="DF90" s="1"/>
  <c r="AY89"/>
  <c r="AD90"/>
  <c r="AD91" s="1"/>
  <c r="AY90"/>
  <c r="AZ89"/>
  <c r="DF89" s="1"/>
  <c r="BF78"/>
  <c r="BH78"/>
  <c r="Z79"/>
  <c r="V69" l="1"/>
  <c r="X69" s="1"/>
  <c r="EE69" s="1"/>
  <c r="AC79"/>
  <c r="BG79" s="1"/>
  <c r="BF79"/>
  <c r="EU79" s="1"/>
  <c r="DQ78"/>
  <c r="DZ78"/>
  <c r="BZ78"/>
  <c r="BX78"/>
  <c r="BS78"/>
  <c r="EU78"/>
  <c r="DO78"/>
  <c r="CE78"/>
  <c r="CA78"/>
  <c r="AY91"/>
  <c r="AD92"/>
  <c r="AE91"/>
  <c r="AZ91" s="1"/>
  <c r="AB79"/>
  <c r="AA80" s="1"/>
  <c r="Y69" l="1"/>
  <c r="BB69" s="1"/>
  <c r="BA69"/>
  <c r="EF69" s="1"/>
  <c r="EG69" s="1"/>
  <c r="W70"/>
  <c r="V70"/>
  <c r="AA81"/>
  <c r="AE92"/>
  <c r="AD93" s="1"/>
  <c r="BT78"/>
  <c r="BQ78"/>
  <c r="Z80"/>
  <c r="AY92"/>
  <c r="X70" l="1"/>
  <c r="V71" s="1"/>
  <c r="DK71"/>
  <c r="EE71" s="1"/>
  <c r="Y70"/>
  <c r="BB70" s="1"/>
  <c r="BA70"/>
  <c r="W71"/>
  <c r="X71" s="1"/>
  <c r="AD94"/>
  <c r="AY93"/>
  <c r="AZ92"/>
  <c r="DF92" s="1"/>
  <c r="Z81"/>
  <c r="AC80"/>
  <c r="BF80"/>
  <c r="AE93"/>
  <c r="AE94" s="1"/>
  <c r="AB80"/>
  <c r="AB81" s="1"/>
  <c r="AZ93" l="1"/>
  <c r="DF93" s="1"/>
  <c r="DF94" s="1"/>
  <c r="D156" s="1"/>
  <c r="E244" s="1"/>
  <c r="BA71"/>
  <c r="BE71" s="1"/>
  <c r="V72"/>
  <c r="W72"/>
  <c r="Y71"/>
  <c r="BB71" s="1"/>
  <c r="AF71"/>
  <c r="AF72" s="1"/>
  <c r="AF73" s="1"/>
  <c r="BC70"/>
  <c r="DN70" s="1"/>
  <c r="CE80"/>
  <c r="BH80"/>
  <c r="DO80" s="1"/>
  <c r="CA80"/>
  <c r="AD112"/>
  <c r="AD115"/>
  <c r="AD113"/>
  <c r="AD114"/>
  <c r="AA82"/>
  <c r="BF81"/>
  <c r="Z82"/>
  <c r="AE112"/>
  <c r="AE113"/>
  <c r="AE115"/>
  <c r="AE114"/>
  <c r="AC81"/>
  <c r="BG81" s="1"/>
  <c r="BG80"/>
  <c r="DQ80" s="1"/>
  <c r="E243" l="1"/>
  <c r="X72"/>
  <c r="BC71"/>
  <c r="DN71" s="1"/>
  <c r="BK71"/>
  <c r="DU71"/>
  <c r="DP71"/>
  <c r="DS71"/>
  <c r="DV71"/>
  <c r="DR71"/>
  <c r="DW71"/>
  <c r="EF71"/>
  <c r="EG71" s="1"/>
  <c r="DT71"/>
  <c r="BN71"/>
  <c r="V73"/>
  <c r="W73"/>
  <c r="BA72"/>
  <c r="BC72" s="1"/>
  <c r="DN72" s="1"/>
  <c r="Y72"/>
  <c r="BB72" s="1"/>
  <c r="BM71"/>
  <c r="BF82"/>
  <c r="EU82" s="1"/>
  <c r="Z83"/>
  <c r="AC82"/>
  <c r="AB82"/>
  <c r="AB83" s="1"/>
  <c r="AA83"/>
  <c r="X73" l="1"/>
  <c r="W74" s="1"/>
  <c r="BA73"/>
  <c r="BC73" s="1"/>
  <c r="DN73" s="1"/>
  <c r="DK74"/>
  <c r="Y73"/>
  <c r="BB73" s="1"/>
  <c r="Z84"/>
  <c r="BF83"/>
  <c r="AA84"/>
  <c r="AC83"/>
  <c r="BG83" s="1"/>
  <c r="BG82"/>
  <c r="AB84" l="1"/>
  <c r="V74"/>
  <c r="DK75"/>
  <c r="EE75" s="1"/>
  <c r="Y74"/>
  <c r="BB74" s="1"/>
  <c r="EE74"/>
  <c r="AC84"/>
  <c r="BG84" s="1"/>
  <c r="Z85"/>
  <c r="BF84"/>
  <c r="EU84" s="1"/>
  <c r="AA85"/>
  <c r="V75" l="1"/>
  <c r="X74"/>
  <c r="AB85"/>
  <c r="DK94"/>
  <c r="AV24" s="1"/>
  <c r="BA74"/>
  <c r="BE74" s="1"/>
  <c r="AQ24"/>
  <c r="AQ111" s="1"/>
  <c r="AV25"/>
  <c r="AU24"/>
  <c r="AU111" s="1"/>
  <c r="AS24"/>
  <c r="AS111" s="1"/>
  <c r="AW24"/>
  <c r="BM74"/>
  <c r="AF74"/>
  <c r="Y75"/>
  <c r="BB75" s="1"/>
  <c r="W75"/>
  <c r="X75" s="1"/>
  <c r="Z86"/>
  <c r="AA86"/>
  <c r="BV85"/>
  <c r="AC85"/>
  <c r="BG85" s="1"/>
  <c r="BF85"/>
  <c r="BH85"/>
  <c r="W76" l="1"/>
  <c r="BM75"/>
  <c r="AB86"/>
  <c r="V76"/>
  <c r="AQ25"/>
  <c r="EB25" s="1"/>
  <c r="AV26"/>
  <c r="AU25"/>
  <c r="AS25"/>
  <c r="ED25" s="1"/>
  <c r="EF74"/>
  <c r="EG74" s="1"/>
  <c r="DW74"/>
  <c r="BK74"/>
  <c r="DS74"/>
  <c r="DU74"/>
  <c r="DV74"/>
  <c r="BN74"/>
  <c r="DP74"/>
  <c r="DT74"/>
  <c r="DR74"/>
  <c r="BM94"/>
  <c r="U28" i="10" s="1"/>
  <c r="X76" i="2"/>
  <c r="W77" s="1"/>
  <c r="BC74"/>
  <c r="DN74" s="1"/>
  <c r="BA76"/>
  <c r="Y76"/>
  <c r="BB76" s="1"/>
  <c r="BA75"/>
  <c r="BC75" s="1"/>
  <c r="AW25"/>
  <c r="AR24"/>
  <c r="AR111" s="1"/>
  <c r="AT24"/>
  <c r="AT111" s="1"/>
  <c r="AF75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Z87"/>
  <c r="AC86"/>
  <c r="BG86" s="1"/>
  <c r="BF86"/>
  <c r="EU86" s="1"/>
  <c r="AA87"/>
  <c r="BX85"/>
  <c r="DQ85"/>
  <c r="DO85"/>
  <c r="CE85"/>
  <c r="BS85"/>
  <c r="BT85" s="1"/>
  <c r="DZ85"/>
  <c r="BZ85"/>
  <c r="EU85"/>
  <c r="CA85"/>
  <c r="V77" l="1"/>
  <c r="X77" s="1"/>
  <c r="AU26"/>
  <c r="AQ26"/>
  <c r="AS26"/>
  <c r="AV27"/>
  <c r="BE75"/>
  <c r="EF75"/>
  <c r="EG75" s="1"/>
  <c r="BK75"/>
  <c r="BK94" s="1"/>
  <c r="U27" i="10" s="1"/>
  <c r="DV75" i="2"/>
  <c r="DR75"/>
  <c r="DT75"/>
  <c r="BN75"/>
  <c r="BN94" s="1"/>
  <c r="U29" i="10" s="1"/>
  <c r="DU75" i="2"/>
  <c r="DS75"/>
  <c r="DP75"/>
  <c r="DW75"/>
  <c r="DN75"/>
  <c r="BC76"/>
  <c r="DN76" s="1"/>
  <c r="AT25"/>
  <c r="AW26"/>
  <c r="AR25"/>
  <c r="EC25" s="1"/>
  <c r="Y77"/>
  <c r="BB77" s="1"/>
  <c r="BA77"/>
  <c r="EF77" s="1"/>
  <c r="EG77" s="1"/>
  <c r="AC87"/>
  <c r="BG87" s="1"/>
  <c r="DQ87" s="1"/>
  <c r="BF87"/>
  <c r="BQ85"/>
  <c r="AB87"/>
  <c r="Z88" s="1"/>
  <c r="EE77" l="1"/>
  <c r="W78"/>
  <c r="X78" s="1"/>
  <c r="BC78" s="1"/>
  <c r="V78"/>
  <c r="V79" s="1"/>
  <c r="EE78"/>
  <c r="BA78"/>
  <c r="BU78"/>
  <c r="W79"/>
  <c r="Y78"/>
  <c r="BB78" s="1"/>
  <c r="AR26"/>
  <c r="AW27"/>
  <c r="AT26"/>
  <c r="AS27"/>
  <c r="ED27" s="1"/>
  <c r="AQ27"/>
  <c r="EB27" s="1"/>
  <c r="AU27"/>
  <c r="AV28"/>
  <c r="BF88"/>
  <c r="EU88" s="1"/>
  <c r="AA88"/>
  <c r="AB88" s="1"/>
  <c r="CE87"/>
  <c r="BH87"/>
  <c r="DO87" s="1"/>
  <c r="CA87"/>
  <c r="X79" l="1"/>
  <c r="EE79" s="1"/>
  <c r="AW28"/>
  <c r="AT27"/>
  <c r="AR27"/>
  <c r="EC27" s="1"/>
  <c r="Y79"/>
  <c r="BB79" s="1"/>
  <c r="BA79"/>
  <c r="EF79" s="1"/>
  <c r="EG79" s="1"/>
  <c r="DR78"/>
  <c r="DX78"/>
  <c r="BW78"/>
  <c r="DS78"/>
  <c r="CC78"/>
  <c r="EF78"/>
  <c r="EG78" s="1"/>
  <c r="DT78"/>
  <c r="DW78"/>
  <c r="CD78"/>
  <c r="DP78"/>
  <c r="BY78"/>
  <c r="DV78"/>
  <c r="DY78"/>
  <c r="BR78"/>
  <c r="BP78" s="1"/>
  <c r="CB78"/>
  <c r="DU78"/>
  <c r="DN78"/>
  <c r="AV29"/>
  <c r="AS28"/>
  <c r="ED28" s="1"/>
  <c r="AQ28"/>
  <c r="EB28" s="1"/>
  <c r="AU28"/>
  <c r="AC88"/>
  <c r="BG88" s="1"/>
  <c r="Z89"/>
  <c r="AA89"/>
  <c r="AB89" s="1"/>
  <c r="W80" l="1"/>
  <c r="W81" s="1"/>
  <c r="V80"/>
  <c r="Y80" s="1"/>
  <c r="DT80" s="1"/>
  <c r="AW29"/>
  <c r="AT28"/>
  <c r="AR28"/>
  <c r="EC28" s="1"/>
  <c r="X80"/>
  <c r="X81" s="1"/>
  <c r="BA80"/>
  <c r="V81"/>
  <c r="AU29"/>
  <c r="AQ29"/>
  <c r="EB29" s="1"/>
  <c r="AS29"/>
  <c r="ED29" s="1"/>
  <c r="AV30"/>
  <c r="BH89"/>
  <c r="BF89"/>
  <c r="Z90"/>
  <c r="AA90"/>
  <c r="AC89"/>
  <c r="BG89" s="1"/>
  <c r="BV89"/>
  <c r="BV94" s="1"/>
  <c r="V34" i="10" s="1"/>
  <c r="M34" s="1"/>
  <c r="AV31" i="2" l="1"/>
  <c r="AQ30"/>
  <c r="AS30"/>
  <c r="AU30"/>
  <c r="AW30"/>
  <c r="AR29"/>
  <c r="EC29" s="1"/>
  <c r="AT29"/>
  <c r="DS80"/>
  <c r="DU80"/>
  <c r="Y81"/>
  <c r="BB81" s="1"/>
  <c r="DR80"/>
  <c r="BB80"/>
  <c r="DP80" s="1"/>
  <c r="BC80"/>
  <c r="DN80" s="1"/>
  <c r="CC80"/>
  <c r="CD80"/>
  <c r="DV80"/>
  <c r="V82"/>
  <c r="BA81"/>
  <c r="W82"/>
  <c r="DW80"/>
  <c r="AA91"/>
  <c r="AB90"/>
  <c r="AB91" s="1"/>
  <c r="DQ89"/>
  <c r="DQ94" s="1"/>
  <c r="DZ89"/>
  <c r="DZ94" s="1"/>
  <c r="D204" s="1"/>
  <c r="D214" s="1"/>
  <c r="BX89"/>
  <c r="BX94" s="1"/>
  <c r="U38" i="10" s="1"/>
  <c r="EU89" i="2"/>
  <c r="DO89"/>
  <c r="DO94" s="1"/>
  <c r="D179" s="1"/>
  <c r="BS89"/>
  <c r="CE89"/>
  <c r="CE94" s="1"/>
  <c r="V41" i="10" s="1"/>
  <c r="M41" s="1"/>
  <c r="BZ89" i="2"/>
  <c r="BZ94" s="1"/>
  <c r="Z34" i="10" s="1"/>
  <c r="CA89" i="2"/>
  <c r="CA94" s="1"/>
  <c r="U42" i="10" s="1"/>
  <c r="BF90" i="2"/>
  <c r="EU90" s="1"/>
  <c r="Z91"/>
  <c r="AC90"/>
  <c r="Y82" l="1"/>
  <c r="BA82"/>
  <c r="EF82" s="1"/>
  <c r="EG82" s="1"/>
  <c r="V83"/>
  <c r="AT30"/>
  <c r="AR30"/>
  <c r="AW31"/>
  <c r="AU31"/>
  <c r="AS31"/>
  <c r="ED31" s="1"/>
  <c r="AV32"/>
  <c r="AQ31"/>
  <c r="EB31" s="1"/>
  <c r="X82"/>
  <c r="W83"/>
  <c r="AC91"/>
  <c r="BG91" s="1"/>
  <c r="BG90"/>
  <c r="BT89"/>
  <c r="BT94" s="1"/>
  <c r="U37" i="10" s="1"/>
  <c r="BS94" i="2"/>
  <c r="U36" i="10" s="1"/>
  <c r="BF91" i="2"/>
  <c r="AA92"/>
  <c r="Z92"/>
  <c r="D11" i="10"/>
  <c r="BQ89" i="2"/>
  <c r="BQ94" s="1"/>
  <c r="V33" i="10" s="1"/>
  <c r="M33" s="1"/>
  <c r="AA187" i="2"/>
  <c r="DQ95"/>
  <c r="AV33" l="1"/>
  <c r="AU32"/>
  <c r="AQ32"/>
  <c r="EB32" s="1"/>
  <c r="AS32"/>
  <c r="ED32" s="1"/>
  <c r="BB82"/>
  <c r="Y83"/>
  <c r="BB83" s="1"/>
  <c r="AT31"/>
  <c r="AW32"/>
  <c r="AR31"/>
  <c r="EC31" s="1"/>
  <c r="EE82"/>
  <c r="X83"/>
  <c r="V84" s="1"/>
  <c r="BA83"/>
  <c r="AB92"/>
  <c r="Z93" s="1"/>
  <c r="AC92"/>
  <c r="BG92" s="1"/>
  <c r="BF92"/>
  <c r="EU92" s="1"/>
  <c r="M46" i="10"/>
  <c r="AV34" i="2" l="1"/>
  <c r="AU33"/>
  <c r="AS33"/>
  <c r="ED33" s="1"/>
  <c r="AQ33"/>
  <c r="EB33" s="1"/>
  <c r="BA84"/>
  <c r="EF84" s="1"/>
  <c r="EG84" s="1"/>
  <c r="AT32"/>
  <c r="AR32"/>
  <c r="EC32" s="1"/>
  <c r="AW33"/>
  <c r="W84"/>
  <c r="Y84" s="1"/>
  <c r="BB84" s="1"/>
  <c r="BF93"/>
  <c r="EU93" s="1"/>
  <c r="EU94" s="1"/>
  <c r="D273" s="1"/>
  <c r="D279" s="1"/>
  <c r="Z94"/>
  <c r="AA93"/>
  <c r="AR33" l="1"/>
  <c r="EC33" s="1"/>
  <c r="AW34"/>
  <c r="AT33"/>
  <c r="AV35"/>
  <c r="AU34"/>
  <c r="AS34"/>
  <c r="AQ34"/>
  <c r="X84"/>
  <c r="EE84" s="1"/>
  <c r="W85"/>
  <c r="V85"/>
  <c r="AB93"/>
  <c r="AA94"/>
  <c r="AC93"/>
  <c r="Z112"/>
  <c r="Z113"/>
  <c r="D108" s="1"/>
  <c r="AE106" s="1"/>
  <c r="Z114"/>
  <c r="Z115"/>
  <c r="D356" s="1"/>
  <c r="X85" l="1"/>
  <c r="BU85"/>
  <c r="Y85"/>
  <c r="BB85" s="1"/>
  <c r="AR34"/>
  <c r="AT34"/>
  <c r="AW35"/>
  <c r="AQ35"/>
  <c r="EB35" s="1"/>
  <c r="AU35"/>
  <c r="AS35"/>
  <c r="ED35" s="1"/>
  <c r="AV36"/>
  <c r="AE103"/>
  <c r="AA112"/>
  <c r="AB94"/>
  <c r="AA115"/>
  <c r="AA114"/>
  <c r="AA113"/>
  <c r="BG93"/>
  <c r="AC94"/>
  <c r="BA85" l="1"/>
  <c r="EE85"/>
  <c r="W86"/>
  <c r="BC85"/>
  <c r="AQ36"/>
  <c r="AU36"/>
  <c r="AS36"/>
  <c r="AV37"/>
  <c r="AR35"/>
  <c r="EC35" s="1"/>
  <c r="AW36"/>
  <c r="AT35"/>
  <c r="V86"/>
  <c r="BG94"/>
  <c r="D154"/>
  <c r="E174"/>
  <c r="AC112"/>
  <c r="AB112"/>
  <c r="AB115"/>
  <c r="AB113"/>
  <c r="AB114"/>
  <c r="CB85" l="1"/>
  <c r="BW85"/>
  <c r="BY85"/>
  <c r="DN85"/>
  <c r="DP85"/>
  <c r="CC85"/>
  <c r="CD85"/>
  <c r="DW85"/>
  <c r="DY85"/>
  <c r="DS85"/>
  <c r="DR85"/>
  <c r="DV85"/>
  <c r="DX85"/>
  <c r="BR85"/>
  <c r="DU85"/>
  <c r="DT85"/>
  <c r="EF85"/>
  <c r="EG85" s="1"/>
  <c r="BP85"/>
  <c r="AR36"/>
  <c r="AW37"/>
  <c r="AT36"/>
  <c r="X86"/>
  <c r="EE86" s="1"/>
  <c r="Y86"/>
  <c r="BB86" s="1"/>
  <c r="BA86"/>
  <c r="EF86" s="1"/>
  <c r="EG86" s="1"/>
  <c r="V87"/>
  <c r="AU37"/>
  <c r="AS37"/>
  <c r="AQ37"/>
  <c r="AV38"/>
  <c r="D358"/>
  <c r="N8" i="9"/>
  <c r="R67" s="1"/>
  <c r="O41" i="14"/>
  <c r="W105" i="2"/>
  <c r="D5" i="10"/>
  <c r="D181" i="2"/>
  <c r="AC187"/>
  <c r="AB187"/>
  <c r="AU38" l="1"/>
  <c r="AQ38"/>
  <c r="EB38" s="1"/>
  <c r="AV39"/>
  <c r="AS38"/>
  <c r="ED38" s="1"/>
  <c r="V88"/>
  <c r="Y87"/>
  <c r="BB87" s="1"/>
  <c r="DP87" s="1"/>
  <c r="BA87"/>
  <c r="AT37"/>
  <c r="AR37"/>
  <c r="AW38"/>
  <c r="E187"/>
  <c r="F187" s="1"/>
  <c r="G100" s="1"/>
  <c r="W87"/>
  <c r="X87" s="1"/>
  <c r="P28" i="22"/>
  <c r="N28" i="16"/>
  <c r="D106" i="2"/>
  <c r="K20" i="10"/>
  <c r="N20"/>
  <c r="F115" i="9"/>
  <c r="E71"/>
  <c r="J116"/>
  <c r="F114"/>
  <c r="E76"/>
  <c r="J115"/>
  <c r="F107"/>
  <c r="J114"/>
  <c r="E80"/>
  <c r="F118"/>
  <c r="E79"/>
  <c r="J109"/>
  <c r="F109"/>
  <c r="J112"/>
  <c r="E78"/>
  <c r="F113"/>
  <c r="E72"/>
  <c r="F117"/>
  <c r="J111"/>
  <c r="J117"/>
  <c r="J108"/>
  <c r="F116"/>
  <c r="F108"/>
  <c r="E75"/>
  <c r="E73"/>
  <c r="F112"/>
  <c r="J113"/>
  <c r="F110"/>
  <c r="J110"/>
  <c r="J118"/>
  <c r="F111"/>
  <c r="E74"/>
  <c r="E81"/>
  <c r="J107"/>
  <c r="E77"/>
  <c r="AT38" i="2" l="1"/>
  <c r="AR38"/>
  <c r="EC38" s="1"/>
  <c r="AW39"/>
  <c r="BA88"/>
  <c r="EF88" s="1"/>
  <c r="EG88" s="1"/>
  <c r="Y88"/>
  <c r="BB88" s="1"/>
  <c r="DW87"/>
  <c r="AA103"/>
  <c r="DS87"/>
  <c r="DU87"/>
  <c r="AQ39"/>
  <c r="EB39" s="1"/>
  <c r="AV40"/>
  <c r="AS39"/>
  <c r="ED39" s="1"/>
  <c r="AU39"/>
  <c r="DR87"/>
  <c r="W88"/>
  <c r="DT87"/>
  <c r="CD87"/>
  <c r="BC87"/>
  <c r="DN87" s="1"/>
  <c r="CC87"/>
  <c r="DV87"/>
  <c r="J120" i="9"/>
  <c r="F120"/>
  <c r="E84"/>
  <c r="K31" i="10"/>
  <c r="K30"/>
  <c r="K38"/>
  <c r="K36"/>
  <c r="O37"/>
  <c r="O42"/>
  <c r="N34"/>
  <c r="N41"/>
  <c r="N33"/>
  <c r="N46" l="1"/>
  <c r="X88" i="2"/>
  <c r="EE88" s="1"/>
  <c r="AS40"/>
  <c r="ED40" s="1"/>
  <c r="AQ40"/>
  <c r="EB40" s="1"/>
  <c r="AU40"/>
  <c r="AV41"/>
  <c r="AW40"/>
  <c r="AT39"/>
  <c r="AR39"/>
  <c r="EC39" s="1"/>
  <c r="K46" i="10"/>
  <c r="O30"/>
  <c r="L30"/>
  <c r="P37"/>
  <c r="Q37"/>
  <c r="L31"/>
  <c r="O31"/>
  <c r="Q42"/>
  <c r="P42"/>
  <c r="O38"/>
  <c r="L38"/>
  <c r="O36"/>
  <c r="L36"/>
  <c r="AW41" i="2" l="1"/>
  <c r="AR40"/>
  <c r="EC40" s="1"/>
  <c r="AT40"/>
  <c r="W89"/>
  <c r="AV42"/>
  <c r="AS41"/>
  <c r="AU41"/>
  <c r="AQ41"/>
  <c r="V89"/>
  <c r="Q31" i="10"/>
  <c r="P31"/>
  <c r="K44"/>
  <c r="L46"/>
  <c r="Q38"/>
  <c r="P38"/>
  <c r="Q36"/>
  <c r="P36"/>
  <c r="P30"/>
  <c r="Q30"/>
  <c r="AW42" i="2" l="1"/>
  <c r="AR41"/>
  <c r="AT41"/>
  <c r="Y89"/>
  <c r="BB89" s="1"/>
  <c r="BU89"/>
  <c r="BU94" s="1"/>
  <c r="U34" i="10" s="1"/>
  <c r="I34" s="1"/>
  <c r="AV43" i="2"/>
  <c r="AU42"/>
  <c r="AQ42"/>
  <c r="EB42" s="1"/>
  <c r="AS42"/>
  <c r="ED42" s="1"/>
  <c r="X89"/>
  <c r="V90" s="1"/>
  <c r="O44" i="10"/>
  <c r="L44"/>
  <c r="V91" i="2" l="1"/>
  <c r="BA90"/>
  <c r="EF90" s="1"/>
  <c r="EG90" s="1"/>
  <c r="AR42"/>
  <c r="EC42" s="1"/>
  <c r="AT42"/>
  <c r="AW43"/>
  <c r="W90"/>
  <c r="Y90" s="1"/>
  <c r="BC89"/>
  <c r="EE89"/>
  <c r="BA89"/>
  <c r="AS43"/>
  <c r="ED43" s="1"/>
  <c r="AV44"/>
  <c r="AU43"/>
  <c r="AQ43"/>
  <c r="EB43" s="1"/>
  <c r="Q44" i="10"/>
  <c r="Q46" s="1"/>
  <c r="P44"/>
  <c r="O46"/>
  <c r="P46" s="1"/>
  <c r="BB90" i="2" l="1"/>
  <c r="Y91"/>
  <c r="BB91" s="1"/>
  <c r="BA91"/>
  <c r="CD89"/>
  <c r="CD94" s="1"/>
  <c r="U41" i="10" s="1"/>
  <c r="I41" s="1"/>
  <c r="DT89" i="2"/>
  <c r="DT94" s="1"/>
  <c r="BW89"/>
  <c r="BW94" s="1"/>
  <c r="U39" i="10" s="1"/>
  <c r="BY89" i="2"/>
  <c r="BY94" s="1"/>
  <c r="Y34" i="10" s="1"/>
  <c r="DR89" i="2"/>
  <c r="DR94" s="1"/>
  <c r="DN89"/>
  <c r="DN94" s="1"/>
  <c r="D178" s="1"/>
  <c r="DV89"/>
  <c r="DV94" s="1"/>
  <c r="DP89"/>
  <c r="DP94" s="1"/>
  <c r="DX89"/>
  <c r="DX94" s="1"/>
  <c r="D202" s="1"/>
  <c r="D209" s="1"/>
  <c r="DS89"/>
  <c r="DS94" s="1"/>
  <c r="CC89"/>
  <c r="CC94" s="1"/>
  <c r="V42" i="10" s="1"/>
  <c r="M42" s="1"/>
  <c r="EF89" i="2"/>
  <c r="EG89" s="1"/>
  <c r="CB89"/>
  <c r="CB94" s="1"/>
  <c r="V37" i="10" s="1"/>
  <c r="M37" s="1"/>
  <c r="DW89" i="2"/>
  <c r="DW94" s="1"/>
  <c r="DY89"/>
  <c r="DY94" s="1"/>
  <c r="D203" s="1"/>
  <c r="BR89"/>
  <c r="BR94" s="1"/>
  <c r="U35" i="10" s="1"/>
  <c r="DU89" i="2"/>
  <c r="DU94" s="1"/>
  <c r="AT43"/>
  <c r="AW44"/>
  <c r="AR43"/>
  <c r="EC43" s="1"/>
  <c r="W91"/>
  <c r="X90"/>
  <c r="AV45"/>
  <c r="AQ44"/>
  <c r="AU44"/>
  <c r="AS44"/>
  <c r="AA186" l="1"/>
  <c r="DP95"/>
  <c r="DR95"/>
  <c r="AA188"/>
  <c r="DV95"/>
  <c r="AA196"/>
  <c r="DT95"/>
  <c r="AA194"/>
  <c r="BP89"/>
  <c r="BP94" s="1"/>
  <c r="U33" i="10" s="1"/>
  <c r="I33" s="1"/>
  <c r="I46" s="1"/>
  <c r="AU45" i="2"/>
  <c r="AS45"/>
  <c r="AQ45"/>
  <c r="AV46"/>
  <c r="AW45"/>
  <c r="AT44"/>
  <c r="AR44"/>
  <c r="D213"/>
  <c r="D210"/>
  <c r="AA195"/>
  <c r="DU95"/>
  <c r="EE90"/>
  <c r="X91"/>
  <c r="W92" s="1"/>
  <c r="DW95"/>
  <c r="AA197"/>
  <c r="AA193"/>
  <c r="DS95"/>
  <c r="AU46" l="1"/>
  <c r="AQ46"/>
  <c r="EB46" s="1"/>
  <c r="AS46"/>
  <c r="ED46" s="1"/>
  <c r="AV47"/>
  <c r="V92"/>
  <c r="AR45"/>
  <c r="AT45"/>
  <c r="AW46"/>
  <c r="X92"/>
  <c r="EE92" s="1"/>
  <c r="W93" l="1"/>
  <c r="Y92"/>
  <c r="BB92" s="1"/>
  <c r="V93"/>
  <c r="BA92"/>
  <c r="EF92" s="1"/>
  <c r="EG92" s="1"/>
  <c r="AR46"/>
  <c r="EC46" s="1"/>
  <c r="AT46"/>
  <c r="AW47"/>
  <c r="AV48"/>
  <c r="AQ47"/>
  <c r="AS47"/>
  <c r="AU47"/>
  <c r="AT47" l="1"/>
  <c r="AR47"/>
  <c r="AW48"/>
  <c r="W94"/>
  <c r="X93"/>
  <c r="W115"/>
  <c r="W114"/>
  <c r="W113"/>
  <c r="AS48"/>
  <c r="ED48" s="1"/>
  <c r="AV49"/>
  <c r="AU48"/>
  <c r="AQ48"/>
  <c r="EB48" s="1"/>
  <c r="BA93"/>
  <c r="EF93" s="1"/>
  <c r="EG93" s="1"/>
  <c r="V94"/>
  <c r="Y93"/>
  <c r="EE93" l="1"/>
  <c r="EE94" s="1"/>
  <c r="AS49"/>
  <c r="AQ49"/>
  <c r="AV50"/>
  <c r="AU49"/>
  <c r="Y94"/>
  <c r="BB93"/>
  <c r="AR48"/>
  <c r="EC48" s="1"/>
  <c r="AT48"/>
  <c r="AW49"/>
  <c r="V112"/>
  <c r="V115"/>
  <c r="V113"/>
  <c r="D107" s="1"/>
  <c r="AE105" s="1"/>
  <c r="V114"/>
  <c r="X94"/>
  <c r="X112" s="1"/>
  <c r="W112"/>
  <c r="D139" s="1"/>
  <c r="AE104"/>
  <c r="AR49" l="1"/>
  <c r="AT49"/>
  <c r="AW50"/>
  <c r="Y112"/>
  <c r="D142"/>
  <c r="BB94"/>
  <c r="D153"/>
  <c r="E173"/>
  <c r="X113"/>
  <c r="AQ50"/>
  <c r="EB50" s="1"/>
  <c r="AV51"/>
  <c r="AS50"/>
  <c r="ED50" s="1"/>
  <c r="AU50"/>
  <c r="D145"/>
  <c r="D146" s="1"/>
  <c r="X114"/>
  <c r="X115"/>
  <c r="C203"/>
  <c r="C204"/>
  <c r="C202"/>
  <c r="C209" l="1"/>
  <c r="E202"/>
  <c r="E209" s="1"/>
  <c r="J99"/>
  <c r="E204"/>
  <c r="E214" s="1"/>
  <c r="J101"/>
  <c r="C214"/>
  <c r="E203"/>
  <c r="C210"/>
  <c r="J100"/>
  <c r="C213"/>
  <c r="AS51"/>
  <c r="ED51" s="1"/>
  <c r="AU51"/>
  <c r="AQ51"/>
  <c r="EB51" s="1"/>
  <c r="AV52"/>
  <c r="L8" i="9"/>
  <c r="Q67" s="1"/>
  <c r="W104" i="2"/>
  <c r="D4" i="10"/>
  <c r="D180" i="2"/>
  <c r="O40" i="14"/>
  <c r="P42" s="1"/>
  <c r="N44" s="1"/>
  <c r="AT50" i="2"/>
  <c r="AW51"/>
  <c r="AR50"/>
  <c r="EC50" s="1"/>
  <c r="AC188"/>
  <c r="EW11"/>
  <c r="E221"/>
  <c r="AB188"/>
  <c r="E222"/>
  <c r="EW23"/>
  <c r="EZ11"/>
  <c r="AB196"/>
  <c r="FA23"/>
  <c r="EY11"/>
  <c r="AC196"/>
  <c r="AB194"/>
  <c r="FA11"/>
  <c r="AC186"/>
  <c r="EX11"/>
  <c r="AC197"/>
  <c r="E219"/>
  <c r="AB186"/>
  <c r="E186" s="1"/>
  <c r="F186" s="1"/>
  <c r="AC194"/>
  <c r="E220"/>
  <c r="E223"/>
  <c r="EY23"/>
  <c r="EX23"/>
  <c r="AB197"/>
  <c r="E197" s="1"/>
  <c r="F197" s="1"/>
  <c r="EZ23"/>
  <c r="J20" i="10" l="1"/>
  <c r="G20"/>
  <c r="D105" i="2"/>
  <c r="N27" i="16"/>
  <c r="O29" s="1"/>
  <c r="M31" s="1"/>
  <c r="P27" i="22"/>
  <c r="Q29" s="1"/>
  <c r="O32" s="1"/>
  <c r="AQ52" i="2"/>
  <c r="EB52" s="1"/>
  <c r="AS52"/>
  <c r="ED52" s="1"/>
  <c r="AU52"/>
  <c r="AV53"/>
  <c r="EZ32"/>
  <c r="EZ363"/>
  <c r="EZ374"/>
  <c r="EZ64"/>
  <c r="EZ85"/>
  <c r="EZ78"/>
  <c r="EZ30"/>
  <c r="EZ51"/>
  <c r="EZ377"/>
  <c r="EZ62"/>
  <c r="EZ80"/>
  <c r="EZ28"/>
  <c r="EZ39"/>
  <c r="EZ59"/>
  <c r="EZ89"/>
  <c r="EZ36"/>
  <c r="EZ53"/>
  <c r="EZ55"/>
  <c r="EZ66"/>
  <c r="EZ87"/>
  <c r="EZ376"/>
  <c r="FA30"/>
  <c r="FA51"/>
  <c r="FA374"/>
  <c r="FA62"/>
  <c r="FA80"/>
  <c r="FA53"/>
  <c r="FA28"/>
  <c r="FA39"/>
  <c r="FA376"/>
  <c r="FA59"/>
  <c r="FA78"/>
  <c r="FA89"/>
  <c r="FA55"/>
  <c r="FA87"/>
  <c r="FA32"/>
  <c r="FA363"/>
  <c r="FA377"/>
  <c r="FA64"/>
  <c r="FA85"/>
  <c r="FA36"/>
  <c r="FA66"/>
  <c r="AC195"/>
  <c r="AC193"/>
  <c r="I118" i="9"/>
  <c r="E118"/>
  <c r="D72"/>
  <c r="D75"/>
  <c r="I110"/>
  <c r="D77"/>
  <c r="I117"/>
  <c r="I107"/>
  <c r="D78"/>
  <c r="E107"/>
  <c r="D76"/>
  <c r="D71"/>
  <c r="D80"/>
  <c r="I113"/>
  <c r="I116"/>
  <c r="E116"/>
  <c r="I108"/>
  <c r="D79"/>
  <c r="I109"/>
  <c r="I111"/>
  <c r="D73"/>
  <c r="I112"/>
  <c r="E109"/>
  <c r="I115"/>
  <c r="I114"/>
  <c r="E112"/>
  <c r="D74"/>
  <c r="E111"/>
  <c r="E117"/>
  <c r="D81"/>
  <c r="E115"/>
  <c r="E113"/>
  <c r="E108"/>
  <c r="E114"/>
  <c r="E110"/>
  <c r="E213" i="2"/>
  <c r="E210"/>
  <c r="E196"/>
  <c r="F196" s="1"/>
  <c r="EX55"/>
  <c r="EX51"/>
  <c r="EX32"/>
  <c r="EX374"/>
  <c r="EX377"/>
  <c r="EX64"/>
  <c r="EX85"/>
  <c r="EX30"/>
  <c r="EX62"/>
  <c r="EX28"/>
  <c r="EX39"/>
  <c r="EX53"/>
  <c r="EX59"/>
  <c r="EX78"/>
  <c r="EX89"/>
  <c r="EX36"/>
  <c r="EX376"/>
  <c r="EX66"/>
  <c r="EX87"/>
  <c r="EX363"/>
  <c r="EX80"/>
  <c r="AR51"/>
  <c r="EC51" s="1"/>
  <c r="AT51"/>
  <c r="AW52"/>
  <c r="G197"/>
  <c r="G106"/>
  <c r="E188"/>
  <c r="F188" s="1"/>
  <c r="AB193"/>
  <c r="AB195"/>
  <c r="E195" s="1"/>
  <c r="F195" s="1"/>
  <c r="EY376"/>
  <c r="EY51"/>
  <c r="EY80"/>
  <c r="EY32"/>
  <c r="EY53"/>
  <c r="EY377"/>
  <c r="EY64"/>
  <c r="EY85"/>
  <c r="EY30"/>
  <c r="EY62"/>
  <c r="EY28"/>
  <c r="EY39"/>
  <c r="EY363"/>
  <c r="EY59"/>
  <c r="EY78"/>
  <c r="EY89"/>
  <c r="EY36"/>
  <c r="EY55"/>
  <c r="EY66"/>
  <c r="EY87"/>
  <c r="EY374"/>
  <c r="AA102"/>
  <c r="G99"/>
  <c r="EW28"/>
  <c r="EW39"/>
  <c r="EW363"/>
  <c r="EW59"/>
  <c r="EW78"/>
  <c r="EW89"/>
  <c r="EW32"/>
  <c r="EW85"/>
  <c r="EW36"/>
  <c r="EW377"/>
  <c r="EW55"/>
  <c r="EW66"/>
  <c r="EW87"/>
  <c r="EW374"/>
  <c r="EW30"/>
  <c r="EW51"/>
  <c r="EW53"/>
  <c r="EW62"/>
  <c r="EW80"/>
  <c r="EW376"/>
  <c r="EW64"/>
  <c r="E194"/>
  <c r="F194" s="1"/>
  <c r="G103" l="1"/>
  <c r="G194"/>
  <c r="AV54"/>
  <c r="AQ53"/>
  <c r="AS53"/>
  <c r="AU53"/>
  <c r="J33" i="10"/>
  <c r="J41"/>
  <c r="J34"/>
  <c r="EX94" i="2"/>
  <c r="FA94"/>
  <c r="EZ94"/>
  <c r="G101"/>
  <c r="AA104"/>
  <c r="G27" i="10"/>
  <c r="G28"/>
  <c r="H28" s="1"/>
  <c r="G35"/>
  <c r="H35" s="1"/>
  <c r="G39"/>
  <c r="H39" s="1"/>
  <c r="G29"/>
  <c r="H29" s="1"/>
  <c r="AW53" i="2"/>
  <c r="AT52"/>
  <c r="AR52"/>
  <c r="EC52" s="1"/>
  <c r="G196"/>
  <c r="G105"/>
  <c r="EY94"/>
  <c r="E193"/>
  <c r="F193" s="1"/>
  <c r="D84" i="9"/>
  <c r="E120"/>
  <c r="G195" i="2"/>
  <c r="G104"/>
  <c r="EW94"/>
  <c r="G193" l="1"/>
  <c r="G102"/>
  <c r="G107" s="1"/>
  <c r="G108" s="1"/>
  <c r="EY9"/>
  <c r="AA221"/>
  <c r="G221" s="1"/>
  <c r="AA219"/>
  <c r="G219" s="1"/>
  <c r="EW9"/>
  <c r="G46" i="10"/>
  <c r="H46" s="1"/>
  <c r="H27"/>
  <c r="AA223" i="2"/>
  <c r="G223" s="1"/>
  <c r="FA9"/>
  <c r="AV55"/>
  <c r="AQ54"/>
  <c r="EB54" s="1"/>
  <c r="AU54"/>
  <c r="AS54"/>
  <c r="ED54" s="1"/>
  <c r="J46" i="10"/>
  <c r="EX9" i="2"/>
  <c r="AA220"/>
  <c r="G220" s="1"/>
  <c r="AT53"/>
  <c r="AW54"/>
  <c r="AR53"/>
  <c r="EZ9"/>
  <c r="AA222"/>
  <c r="G222" s="1"/>
  <c r="AW55" l="1"/>
  <c r="AT54"/>
  <c r="AR54"/>
  <c r="EC54" s="1"/>
  <c r="AS55"/>
  <c r="ED55" s="1"/>
  <c r="AQ55"/>
  <c r="EB55" s="1"/>
  <c r="AV56"/>
  <c r="AU55"/>
  <c r="AT55" l="1"/>
  <c r="AW56"/>
  <c r="AR55"/>
  <c r="EC55" s="1"/>
  <c r="AS56"/>
  <c r="ED56" s="1"/>
  <c r="AV57"/>
  <c r="AQ56"/>
  <c r="EB56" s="1"/>
  <c r="AU56"/>
  <c r="AQ57" l="1"/>
  <c r="AS57"/>
  <c r="AV58"/>
  <c r="AU57"/>
  <c r="AT56"/>
  <c r="AW57"/>
  <c r="AR56"/>
  <c r="EC56" s="1"/>
  <c r="AV59" l="1"/>
  <c r="AS58"/>
  <c r="ED58" s="1"/>
  <c r="AU58"/>
  <c r="AQ58"/>
  <c r="EB58" s="1"/>
  <c r="AW58"/>
  <c r="AT57"/>
  <c r="AR57"/>
  <c r="AW59" l="1"/>
  <c r="AT58"/>
  <c r="AR58"/>
  <c r="EC58" s="1"/>
  <c r="AS59"/>
  <c r="AQ59"/>
  <c r="AU59"/>
  <c r="AV60"/>
  <c r="AW60" l="1"/>
  <c r="AR59"/>
  <c r="AT59"/>
  <c r="AV61"/>
  <c r="AS60"/>
  <c r="AU60"/>
  <c r="AQ60"/>
  <c r="AT60" l="1"/>
  <c r="AR60"/>
  <c r="AW61"/>
  <c r="AV62"/>
  <c r="AU61"/>
  <c r="AS61"/>
  <c r="ED61" s="1"/>
  <c r="AQ61"/>
  <c r="EB61" s="1"/>
  <c r="AT61" l="1"/>
  <c r="AR61"/>
  <c r="EC61" s="1"/>
  <c r="AW62"/>
  <c r="AS62"/>
  <c r="ED62" s="1"/>
  <c r="AV63"/>
  <c r="AU62"/>
  <c r="AQ62"/>
  <c r="EB62" s="1"/>
  <c r="AQ63" l="1"/>
  <c r="EB63" s="1"/>
  <c r="AV64"/>
  <c r="AU63"/>
  <c r="AS63"/>
  <c r="ED63" s="1"/>
  <c r="AR62"/>
  <c r="EC62" s="1"/>
  <c r="AT62"/>
  <c r="AW63"/>
  <c r="AV65" l="1"/>
  <c r="AQ64"/>
  <c r="AU64"/>
  <c r="AS64"/>
  <c r="AT63"/>
  <c r="AR63"/>
  <c r="EC63" s="1"/>
  <c r="AW64"/>
  <c r="AQ65" l="1"/>
  <c r="EB65" s="1"/>
  <c r="AU65"/>
  <c r="AS65"/>
  <c r="ED65" s="1"/>
  <c r="AV66"/>
  <c r="AR64"/>
  <c r="AW65"/>
  <c r="AT64"/>
  <c r="AW66" l="1"/>
  <c r="AR65"/>
  <c r="EC65" s="1"/>
  <c r="AT65"/>
  <c r="AS66"/>
  <c r="ED66" s="1"/>
  <c r="AU66"/>
  <c r="AQ66"/>
  <c r="EB66" s="1"/>
  <c r="AV67"/>
  <c r="AT66" l="1"/>
  <c r="AW67"/>
  <c r="AR66"/>
  <c r="EC66" s="1"/>
  <c r="AQ67"/>
  <c r="EB67" s="1"/>
  <c r="AV68"/>
  <c r="AU67"/>
  <c r="AS67"/>
  <c r="ED67" s="1"/>
  <c r="AV69" l="1"/>
  <c r="AQ68"/>
  <c r="AS68"/>
  <c r="AU68"/>
  <c r="AW68"/>
  <c r="AT67"/>
  <c r="AR67"/>
  <c r="EC67" s="1"/>
  <c r="AW69" l="1"/>
  <c r="AT68"/>
  <c r="AR68"/>
  <c r="AV70"/>
  <c r="AU69"/>
  <c r="AQ69"/>
  <c r="EB69" s="1"/>
  <c r="AS69"/>
  <c r="ED69" s="1"/>
  <c r="AW70" l="1"/>
  <c r="AR69"/>
  <c r="EC69" s="1"/>
  <c r="AT69"/>
  <c r="AU70"/>
  <c r="AS70"/>
  <c r="AQ70"/>
  <c r="AV71"/>
  <c r="AW71" l="1"/>
  <c r="AT70"/>
  <c r="AR70"/>
  <c r="AS71"/>
  <c r="ED71" s="1"/>
  <c r="AV72"/>
  <c r="AU71"/>
  <c r="AQ71"/>
  <c r="EB71" s="1"/>
  <c r="AS72" l="1"/>
  <c r="AU72"/>
  <c r="AV73"/>
  <c r="AQ72"/>
  <c r="AW72"/>
  <c r="AT71"/>
  <c r="AR71"/>
  <c r="EC71" s="1"/>
  <c r="AR72" l="1"/>
  <c r="AT72"/>
  <c r="AW73"/>
  <c r="AS73"/>
  <c r="AV74"/>
  <c r="AU73"/>
  <c r="AQ73"/>
  <c r="AS74" l="1"/>
  <c r="ED74" s="1"/>
  <c r="AV75"/>
  <c r="AU74"/>
  <c r="AQ74"/>
  <c r="EB74" s="1"/>
  <c r="AR73"/>
  <c r="AT73"/>
  <c r="AW74"/>
  <c r="AV76" l="1"/>
  <c r="AQ75"/>
  <c r="EB75" s="1"/>
  <c r="AU75"/>
  <c r="AS75"/>
  <c r="ED75" s="1"/>
  <c r="AR74"/>
  <c r="EC74" s="1"/>
  <c r="AT74"/>
  <c r="AW75"/>
  <c r="AQ76" l="1"/>
  <c r="AU76"/>
  <c r="AV77"/>
  <c r="AS76"/>
  <c r="AR75"/>
  <c r="EC75" s="1"/>
  <c r="AW76"/>
  <c r="AT75"/>
  <c r="AT76" l="1"/>
  <c r="AW77"/>
  <c r="AR76"/>
  <c r="AQ77"/>
  <c r="EB77" s="1"/>
  <c r="AV78"/>
  <c r="AU77"/>
  <c r="AS77"/>
  <c r="ED77" s="1"/>
  <c r="AQ78" l="1"/>
  <c r="EB78" s="1"/>
  <c r="AS78"/>
  <c r="ED78" s="1"/>
  <c r="AU78"/>
  <c r="AV79"/>
  <c r="AT77"/>
  <c r="AR77"/>
  <c r="EC77" s="1"/>
  <c r="AW78"/>
  <c r="AW79" l="1"/>
  <c r="AT78"/>
  <c r="AR78"/>
  <c r="EC78" s="1"/>
  <c r="AV80"/>
  <c r="AU79"/>
  <c r="AS79"/>
  <c r="ED79" s="1"/>
  <c r="AQ79"/>
  <c r="EB79" s="1"/>
  <c r="AW80" l="1"/>
  <c r="AR79"/>
  <c r="EC79" s="1"/>
  <c r="AT79"/>
  <c r="AS80"/>
  <c r="AQ80"/>
  <c r="AU80"/>
  <c r="AV81"/>
  <c r="AT80" l="1"/>
  <c r="AR80"/>
  <c r="AW81"/>
  <c r="AQ81"/>
  <c r="AV82"/>
  <c r="AS81"/>
  <c r="AU81"/>
  <c r="AQ82" l="1"/>
  <c r="EB82" s="1"/>
  <c r="AV83"/>
  <c r="AU82"/>
  <c r="AS82"/>
  <c r="ED82" s="1"/>
  <c r="AT81"/>
  <c r="AR81"/>
  <c r="AW82"/>
  <c r="AV84" l="1"/>
  <c r="AS83"/>
  <c r="AU83"/>
  <c r="AQ83"/>
  <c r="AW83"/>
  <c r="AT82"/>
  <c r="AR82"/>
  <c r="EC82" s="1"/>
  <c r="AW84" l="1"/>
  <c r="AR83"/>
  <c r="AT83"/>
  <c r="AS84"/>
  <c r="ED84" s="1"/>
  <c r="AU84"/>
  <c r="AQ84"/>
  <c r="EB84" s="1"/>
  <c r="AV85"/>
  <c r="AT84" l="1"/>
  <c r="AW85"/>
  <c r="AR84"/>
  <c r="EC84" s="1"/>
  <c r="AV86"/>
  <c r="AQ85"/>
  <c r="EB85" s="1"/>
  <c r="AU85"/>
  <c r="AS85"/>
  <c r="ED85" s="1"/>
  <c r="AW86" l="1"/>
  <c r="AT85"/>
  <c r="AR85"/>
  <c r="EC85" s="1"/>
  <c r="AS86"/>
  <c r="ED86" s="1"/>
  <c r="AU86"/>
  <c r="AV87"/>
  <c r="AQ86"/>
  <c r="EB86" s="1"/>
  <c r="AT86" l="1"/>
  <c r="AR86"/>
  <c r="EC86" s="1"/>
  <c r="AW87"/>
  <c r="AQ87"/>
  <c r="AU87"/>
  <c r="AV88"/>
  <c r="AS87"/>
  <c r="AQ88" l="1"/>
  <c r="EB88" s="1"/>
  <c r="AV89"/>
  <c r="AU88"/>
  <c r="AS88"/>
  <c r="ED88" s="1"/>
  <c r="AT87"/>
  <c r="AR87"/>
  <c r="AW88"/>
  <c r="AQ89" l="1"/>
  <c r="EB89" s="1"/>
  <c r="AS89"/>
  <c r="ED89" s="1"/>
  <c r="AU89"/>
  <c r="AV90"/>
  <c r="AT88"/>
  <c r="AW89"/>
  <c r="AR88"/>
  <c r="EC88" s="1"/>
  <c r="AR89" l="1"/>
  <c r="EC89" s="1"/>
  <c r="AW90"/>
  <c r="AT89"/>
  <c r="AV91"/>
  <c r="AU90"/>
  <c r="AS90"/>
  <c r="ED90" s="1"/>
  <c r="AQ90"/>
  <c r="EB90" s="1"/>
  <c r="AT90" l="1"/>
  <c r="AW91"/>
  <c r="AR90"/>
  <c r="EC90" s="1"/>
  <c r="AV92"/>
  <c r="AU91"/>
  <c r="AS91"/>
  <c r="AQ91"/>
  <c r="AW92" l="1"/>
  <c r="AT91"/>
  <c r="AR91"/>
  <c r="AS92"/>
  <c r="ED92" s="1"/>
  <c r="AQ92"/>
  <c r="EB92" s="1"/>
  <c r="AU92"/>
  <c r="AV93"/>
  <c r="AW93" l="1"/>
  <c r="AT92"/>
  <c r="AR92"/>
  <c r="EC92" s="1"/>
  <c r="AQ93"/>
  <c r="EB93" s="1"/>
  <c r="EB94" s="1"/>
  <c r="D260" s="1"/>
  <c r="AS93"/>
  <c r="ED93" s="1"/>
  <c r="ED94" s="1"/>
  <c r="AU93"/>
  <c r="AV94"/>
  <c r="AU115" l="1"/>
  <c r="D340"/>
  <c r="D341" s="1"/>
  <c r="D263"/>
  <c r="D264" s="1"/>
  <c r="AW94"/>
  <c r="AR93"/>
  <c r="EC93" s="1"/>
  <c r="EC94" s="1"/>
  <c r="D261" s="1"/>
  <c r="D265" s="1"/>
  <c r="D283" s="1"/>
  <c r="AT93"/>
  <c r="AS94"/>
  <c r="AU94"/>
  <c r="AQ94"/>
  <c r="D168"/>
  <c r="AU113"/>
  <c r="D342" l="1"/>
  <c r="AQ114"/>
  <c r="AQ113"/>
  <c r="AQ112"/>
  <c r="AQ115"/>
  <c r="AS115"/>
  <c r="AS113"/>
  <c r="AS112"/>
  <c r="AS114"/>
  <c r="D134"/>
  <c r="D102" s="1"/>
  <c r="AE101" s="1"/>
  <c r="D101"/>
  <c r="D170"/>
  <c r="D169" s="1"/>
  <c r="D10" i="10"/>
  <c r="R20" s="1"/>
  <c r="D138" i="2"/>
  <c r="D322"/>
  <c r="EH328" s="1"/>
  <c r="AU114"/>
  <c r="AU112"/>
  <c r="AT94"/>
  <c r="AT114" s="1"/>
  <c r="AR94"/>
  <c r="AT115" l="1"/>
  <c r="R42" i="10"/>
  <c r="R37"/>
  <c r="AT113" i="2"/>
  <c r="AT112"/>
  <c r="AR115"/>
  <c r="AR113"/>
  <c r="AR112"/>
  <c r="AR114"/>
  <c r="EH8"/>
  <c r="D318"/>
  <c r="C328"/>
  <c r="R46" i="10" l="1"/>
  <c r="EH42" i="2"/>
  <c r="EH368"/>
  <c r="EH28"/>
  <c r="EH54"/>
  <c r="EH40"/>
  <c r="EH38"/>
  <c r="EH365"/>
  <c r="EH366"/>
  <c r="EH71"/>
  <c r="EH79"/>
  <c r="EH85"/>
  <c r="EH90"/>
  <c r="EH62"/>
  <c r="EH55"/>
  <c r="EH46"/>
  <c r="EH77"/>
  <c r="EH84"/>
  <c r="EH89"/>
  <c r="EH29"/>
  <c r="EH56"/>
  <c r="EH51"/>
  <c r="EH39"/>
  <c r="EH363"/>
  <c r="EH52"/>
  <c r="EH32"/>
  <c r="EH75"/>
  <c r="EH88"/>
  <c r="EH65"/>
  <c r="EH33"/>
  <c r="EH58"/>
  <c r="EH61"/>
  <c r="EH67"/>
  <c r="EH78"/>
  <c r="EH92"/>
  <c r="EH35"/>
  <c r="EH364"/>
  <c r="EH63"/>
  <c r="EH48"/>
  <c r="EH31"/>
  <c r="EH69"/>
  <c r="EH25"/>
  <c r="EH66"/>
  <c r="EH82"/>
  <c r="EH93"/>
  <c r="EH50"/>
  <c r="EH27"/>
  <c r="EH362"/>
  <c r="EH43"/>
  <c r="EH74"/>
  <c r="EH86"/>
  <c r="EH94" l="1"/>
  <c r="EH329" s="1"/>
  <c r="EH330" l="1"/>
  <c r="EI327"/>
  <c r="EI7" s="1"/>
  <c r="C329"/>
  <c r="EI328" l="1"/>
  <c r="EI8" s="1"/>
  <c r="EI85" s="1"/>
  <c r="C330"/>
  <c r="EI43" l="1"/>
  <c r="EI82"/>
  <c r="EI35"/>
  <c r="EI33"/>
  <c r="EI78"/>
  <c r="EI48"/>
  <c r="EI92"/>
  <c r="EI368"/>
  <c r="EI25"/>
  <c r="EI94" s="1"/>
  <c r="EI329" s="1"/>
  <c r="EJ327" s="1"/>
  <c r="EJ7" s="1"/>
  <c r="EI77"/>
  <c r="EI66"/>
  <c r="EI58"/>
  <c r="EI61"/>
  <c r="EI364"/>
  <c r="EI86"/>
  <c r="EI88"/>
  <c r="EI51"/>
  <c r="EI84"/>
  <c r="EI46"/>
  <c r="EI366"/>
  <c r="EI74"/>
  <c r="EI31"/>
  <c r="EI42"/>
  <c r="EI67"/>
  <c r="EI330"/>
  <c r="EJ328" s="1"/>
  <c r="EJ8" s="1"/>
  <c r="EI362"/>
  <c r="EI71"/>
  <c r="EI29"/>
  <c r="EI28"/>
  <c r="EI54"/>
  <c r="EI56"/>
  <c r="EI365"/>
  <c r="EI52"/>
  <c r="EI69"/>
  <c r="EI27"/>
  <c r="EI62"/>
  <c r="EI93"/>
  <c r="EI90"/>
  <c r="EI55"/>
  <c r="EI40"/>
  <c r="EI65"/>
  <c r="EI79"/>
  <c r="EI39"/>
  <c r="EI75"/>
  <c r="EI32"/>
  <c r="EI38"/>
  <c r="EI63"/>
  <c r="EI363"/>
  <c r="EI89"/>
  <c r="EI50"/>
  <c r="EJ46" l="1"/>
  <c r="EJ75"/>
  <c r="EJ56"/>
  <c r="EJ65"/>
  <c r="EJ85"/>
  <c r="EJ25"/>
  <c r="EJ94" s="1"/>
  <c r="EJ329" s="1"/>
  <c r="EJ31"/>
  <c r="EJ38"/>
  <c r="EJ43"/>
  <c r="EJ51"/>
  <c r="EJ55"/>
  <c r="EJ363"/>
  <c r="EJ364"/>
  <c r="EJ67"/>
  <c r="EJ74"/>
  <c r="EJ79"/>
  <c r="EJ86"/>
  <c r="EJ92"/>
  <c r="EJ90"/>
  <c r="EJ29"/>
  <c r="EJ33"/>
  <c r="EJ39"/>
  <c r="EJ48"/>
  <c r="EJ54"/>
  <c r="EJ61"/>
  <c r="EJ365"/>
  <c r="EJ62"/>
  <c r="EJ69"/>
  <c r="EJ77"/>
  <c r="EJ84"/>
  <c r="EJ89"/>
  <c r="EJ27"/>
  <c r="EJ32"/>
  <c r="EJ40"/>
  <c r="EJ52"/>
  <c r="EJ58"/>
  <c r="EJ362"/>
  <c r="EJ63"/>
  <c r="EJ66"/>
  <c r="EJ82"/>
  <c r="EJ88"/>
  <c r="EJ93"/>
  <c r="EJ28"/>
  <c r="EJ35"/>
  <c r="EJ42"/>
  <c r="EJ50"/>
  <c r="EJ366"/>
  <c r="EJ368"/>
  <c r="EJ71"/>
  <c r="EJ78"/>
  <c r="EJ330" l="1"/>
  <c r="EK328" s="1"/>
  <c r="EK8" s="1"/>
  <c r="EK327"/>
  <c r="EK7" s="1"/>
  <c r="EK27" l="1"/>
  <c r="EK32"/>
  <c r="EK39"/>
  <c r="EK46"/>
  <c r="EK52"/>
  <c r="EK58"/>
  <c r="EK365"/>
  <c r="EK368"/>
  <c r="EK66"/>
  <c r="EK75"/>
  <c r="EK82"/>
  <c r="EK88"/>
  <c r="EK93"/>
  <c r="EK28"/>
  <c r="EK56"/>
  <c r="EK364"/>
  <c r="EK71"/>
  <c r="EK86"/>
  <c r="EK29"/>
  <c r="EK33"/>
  <c r="EK48"/>
  <c r="EK61"/>
  <c r="EK362"/>
  <c r="EK69"/>
  <c r="EK84"/>
  <c r="EK25"/>
  <c r="EK94" s="1"/>
  <c r="EK329" s="1"/>
  <c r="EK31"/>
  <c r="EK38"/>
  <c r="EK43"/>
  <c r="EK51"/>
  <c r="EK55"/>
  <c r="EK363"/>
  <c r="EK366"/>
  <c r="EK67"/>
  <c r="EK74"/>
  <c r="EK78"/>
  <c r="EK85"/>
  <c r="EK92"/>
  <c r="EK42"/>
  <c r="EK50"/>
  <c r="EK63"/>
  <c r="EK65"/>
  <c r="EK79"/>
  <c r="EK90"/>
  <c r="EK54"/>
  <c r="EK77"/>
  <c r="EK35"/>
  <c r="EK40"/>
  <c r="EK62"/>
  <c r="EK89"/>
  <c r="EL327" l="1"/>
  <c r="EL7" s="1"/>
  <c r="EK330"/>
  <c r="EL328" s="1"/>
  <c r="EL8" s="1"/>
  <c r="EL27" l="1"/>
  <c r="EL33"/>
  <c r="EL39"/>
  <c r="EL46"/>
  <c r="EL51"/>
  <c r="EL58"/>
  <c r="EL368"/>
  <c r="EL363"/>
  <c r="EL66"/>
  <c r="EL75"/>
  <c r="EL82"/>
  <c r="EL88"/>
  <c r="EL93"/>
  <c r="EL35"/>
  <c r="EL50"/>
  <c r="EL63"/>
  <c r="EL65"/>
  <c r="EL71"/>
  <c r="EL86"/>
  <c r="EL90"/>
  <c r="EL28"/>
  <c r="EL40"/>
  <c r="EL48"/>
  <c r="EL61"/>
  <c r="EL366"/>
  <c r="EL84"/>
  <c r="EL25"/>
  <c r="EL94" s="1"/>
  <c r="EL329" s="1"/>
  <c r="EL31"/>
  <c r="EL38"/>
  <c r="EL43"/>
  <c r="EL52"/>
  <c r="EL55"/>
  <c r="EL62"/>
  <c r="EL365"/>
  <c r="EL67"/>
  <c r="EL74"/>
  <c r="EL79"/>
  <c r="EL85"/>
  <c r="EL92"/>
  <c r="EL29"/>
  <c r="EL42"/>
  <c r="EL56"/>
  <c r="EL364"/>
  <c r="EL78"/>
  <c r="EL32"/>
  <c r="EL54"/>
  <c r="EL362"/>
  <c r="EL69"/>
  <c r="EL77"/>
  <c r="EL89"/>
  <c r="EL330" l="1"/>
  <c r="EM328" s="1"/>
  <c r="EM8" s="1"/>
  <c r="EM327"/>
  <c r="EM7" s="1"/>
  <c r="EM27" l="1"/>
  <c r="EM33"/>
  <c r="EM40"/>
  <c r="EM46"/>
  <c r="EM52"/>
  <c r="EM58"/>
  <c r="EM65"/>
  <c r="EM365"/>
  <c r="EM66"/>
  <c r="EM75"/>
  <c r="EM82"/>
  <c r="EM88"/>
  <c r="EM93"/>
  <c r="EM25"/>
  <c r="EM94" s="1"/>
  <c r="EM329" s="1"/>
  <c r="EM31"/>
  <c r="EM38"/>
  <c r="EM43"/>
  <c r="EM51"/>
  <c r="EM55"/>
  <c r="EM62"/>
  <c r="EM368"/>
  <c r="EM362"/>
  <c r="EM74"/>
  <c r="EM78"/>
  <c r="EM85"/>
  <c r="EM92"/>
  <c r="EM39"/>
  <c r="EM54"/>
  <c r="EM67"/>
  <c r="EM364"/>
  <c r="EM77"/>
  <c r="EM84"/>
  <c r="EM29"/>
  <c r="EM35"/>
  <c r="EM42"/>
  <c r="EM50"/>
  <c r="EM56"/>
  <c r="EM63"/>
  <c r="EM363"/>
  <c r="EM366"/>
  <c r="EM71"/>
  <c r="EM79"/>
  <c r="EM86"/>
  <c r="EM90"/>
  <c r="EM28"/>
  <c r="EM32"/>
  <c r="EM48"/>
  <c r="EM61"/>
  <c r="EM69"/>
  <c r="EM89"/>
  <c r="EM330" l="1"/>
  <c r="EN328" s="1"/>
  <c r="EN8" s="1"/>
  <c r="EN327"/>
  <c r="EN7" s="1"/>
  <c r="EN27" l="1"/>
  <c r="EN33"/>
  <c r="EN39"/>
  <c r="EN46"/>
  <c r="EN52"/>
  <c r="EN58"/>
  <c r="EN65"/>
  <c r="EN366"/>
  <c r="EN365"/>
  <c r="EN75"/>
  <c r="EN82"/>
  <c r="EN88"/>
  <c r="EN93"/>
  <c r="EN25"/>
  <c r="EN94" s="1"/>
  <c r="EN329" s="1"/>
  <c r="EN31"/>
  <c r="EN38"/>
  <c r="EN43"/>
  <c r="EN51"/>
  <c r="EN55"/>
  <c r="EN62"/>
  <c r="EN69"/>
  <c r="EN363"/>
  <c r="EN74"/>
  <c r="EN79"/>
  <c r="EN86"/>
  <c r="EN92"/>
  <c r="EN32"/>
  <c r="EN48"/>
  <c r="EN67"/>
  <c r="EN362"/>
  <c r="EN77"/>
  <c r="EN84"/>
  <c r="EN28"/>
  <c r="EN35"/>
  <c r="EN42"/>
  <c r="EN50"/>
  <c r="EN56"/>
  <c r="EN63"/>
  <c r="EN66"/>
  <c r="EN364"/>
  <c r="EN71"/>
  <c r="EN78"/>
  <c r="EN85"/>
  <c r="EN90"/>
  <c r="EN29"/>
  <c r="EN40"/>
  <c r="EN54"/>
  <c r="EN61"/>
  <c r="EN368"/>
  <c r="EN89"/>
  <c r="EN330" l="1"/>
  <c r="EO328" s="1"/>
  <c r="EO8" s="1"/>
  <c r="EO327"/>
  <c r="EO7" s="1"/>
  <c r="EO27" l="1"/>
  <c r="EO33"/>
  <c r="EO40"/>
  <c r="EO46"/>
  <c r="EO51"/>
  <c r="EO58"/>
  <c r="EO65"/>
  <c r="EO364"/>
  <c r="EO363"/>
  <c r="EO75"/>
  <c r="EO82"/>
  <c r="EO88"/>
  <c r="EO93"/>
  <c r="EO35"/>
  <c r="EO56"/>
  <c r="EO66"/>
  <c r="EO71"/>
  <c r="EO85"/>
  <c r="EO39"/>
  <c r="EO61"/>
  <c r="EO362"/>
  <c r="EO77"/>
  <c r="EO89"/>
  <c r="EO25"/>
  <c r="EO94" s="1"/>
  <c r="EO329" s="1"/>
  <c r="EO31"/>
  <c r="EO38"/>
  <c r="EO43"/>
  <c r="EO52"/>
  <c r="EO55"/>
  <c r="EO62"/>
  <c r="EO69"/>
  <c r="EO366"/>
  <c r="EO74"/>
  <c r="EO78"/>
  <c r="EO86"/>
  <c r="EO92"/>
  <c r="EO29"/>
  <c r="EO42"/>
  <c r="EO50"/>
  <c r="EO63"/>
  <c r="EO368"/>
  <c r="EO79"/>
  <c r="EO90"/>
  <c r="EO28"/>
  <c r="EO32"/>
  <c r="EO48"/>
  <c r="EO54"/>
  <c r="EO67"/>
  <c r="EO365"/>
  <c r="EO84"/>
  <c r="EO330" l="1"/>
  <c r="EP328" s="1"/>
  <c r="EP8" s="1"/>
  <c r="EP327"/>
  <c r="EP7" s="1"/>
  <c r="EP27" l="1"/>
  <c r="EP32"/>
  <c r="EP40"/>
  <c r="EP46"/>
  <c r="EP51"/>
  <c r="EP58"/>
  <c r="EP65"/>
  <c r="EP365"/>
  <c r="EP366"/>
  <c r="EP75"/>
  <c r="EP82"/>
  <c r="EP88"/>
  <c r="EP93"/>
  <c r="EP28"/>
  <c r="EP42"/>
  <c r="EP56"/>
  <c r="EP66"/>
  <c r="EP362"/>
  <c r="EP86"/>
  <c r="EP29"/>
  <c r="EP33"/>
  <c r="EP48"/>
  <c r="EP61"/>
  <c r="EP368"/>
  <c r="EP84"/>
  <c r="EP25"/>
  <c r="EP94" s="1"/>
  <c r="EP329" s="1"/>
  <c r="EP31"/>
  <c r="EP38"/>
  <c r="EP43"/>
  <c r="EP52"/>
  <c r="EP55"/>
  <c r="EP62"/>
  <c r="EP69"/>
  <c r="EP71"/>
  <c r="EP74"/>
  <c r="EP78"/>
  <c r="EP85"/>
  <c r="EP92"/>
  <c r="EP35"/>
  <c r="EP50"/>
  <c r="EP63"/>
  <c r="EP364"/>
  <c r="EP79"/>
  <c r="EP90"/>
  <c r="EP39"/>
  <c r="EP54"/>
  <c r="EP67"/>
  <c r="EP363"/>
  <c r="EP77"/>
  <c r="EP89"/>
  <c r="EP330" l="1"/>
  <c r="EQ328" s="1"/>
  <c r="EQ8" s="1"/>
  <c r="EQ327"/>
  <c r="EQ7" s="1"/>
  <c r="EQ27" l="1"/>
  <c r="EQ33"/>
  <c r="EQ39"/>
  <c r="EQ46"/>
  <c r="EQ51"/>
  <c r="EQ58"/>
  <c r="EQ65"/>
  <c r="EQ71"/>
  <c r="EQ368"/>
  <c r="EQ75"/>
  <c r="EQ82"/>
  <c r="EQ88"/>
  <c r="EQ93"/>
  <c r="EQ50"/>
  <c r="EQ63"/>
  <c r="EQ363"/>
  <c r="EQ78"/>
  <c r="EQ48"/>
  <c r="EQ67"/>
  <c r="EQ77"/>
  <c r="EQ90"/>
  <c r="EQ25"/>
  <c r="EQ94" s="1"/>
  <c r="EQ329" s="1"/>
  <c r="EQ31"/>
  <c r="EQ38"/>
  <c r="EQ43"/>
  <c r="EQ52"/>
  <c r="EQ55"/>
  <c r="EQ62"/>
  <c r="EQ69"/>
  <c r="EQ364"/>
  <c r="EQ74"/>
  <c r="EQ79"/>
  <c r="EQ86"/>
  <c r="EQ92"/>
  <c r="EQ29"/>
  <c r="EQ35"/>
  <c r="EQ42"/>
  <c r="EQ56"/>
  <c r="EQ66"/>
  <c r="EQ365"/>
  <c r="EQ85"/>
  <c r="EQ89"/>
  <c r="EQ28"/>
  <c r="EQ32"/>
  <c r="EQ40"/>
  <c r="EQ54"/>
  <c r="EQ61"/>
  <c r="EQ362"/>
  <c r="EQ366"/>
  <c r="EQ84"/>
  <c r="ER327" l="1"/>
  <c r="ER7" s="1"/>
  <c r="EQ330"/>
  <c r="ER328" s="1"/>
  <c r="ER8" s="1"/>
  <c r="ER27" l="1"/>
  <c r="ER33"/>
  <c r="ER40"/>
  <c r="ER46"/>
  <c r="ER52"/>
  <c r="ER58"/>
  <c r="ER65"/>
  <c r="ER71"/>
  <c r="ER362"/>
  <c r="ER368"/>
  <c r="ER82"/>
  <c r="ER88"/>
  <c r="ER93"/>
  <c r="ER25"/>
  <c r="ER94" s="1"/>
  <c r="ER329" s="1"/>
  <c r="ER31"/>
  <c r="ER38"/>
  <c r="ER43"/>
  <c r="ER51"/>
  <c r="ER55"/>
  <c r="ER62"/>
  <c r="ER69"/>
  <c r="ER75"/>
  <c r="ER364"/>
  <c r="ER78"/>
  <c r="ER86"/>
  <c r="ER92"/>
  <c r="ER29"/>
  <c r="ER32"/>
  <c r="ER39"/>
  <c r="ER54"/>
  <c r="ER61"/>
  <c r="ER67"/>
  <c r="ER365"/>
  <c r="ER84"/>
  <c r="ER89"/>
  <c r="ER28"/>
  <c r="ER35"/>
  <c r="ER42"/>
  <c r="ER50"/>
  <c r="ER56"/>
  <c r="ER63"/>
  <c r="ER66"/>
  <c r="ER363"/>
  <c r="ER366"/>
  <c r="ER79"/>
  <c r="ER85"/>
  <c r="ER90"/>
  <c r="ER48"/>
  <c r="ER74"/>
  <c r="ER77"/>
  <c r="ES327" l="1"/>
  <c r="ES7" s="1"/>
  <c r="ER330"/>
  <c r="ES328" s="1"/>
  <c r="ES8" s="1"/>
  <c r="ES27" l="1"/>
  <c r="ES33"/>
  <c r="ES40"/>
  <c r="ES46"/>
  <c r="ES52"/>
  <c r="ES58"/>
  <c r="ES65"/>
  <c r="ES71"/>
  <c r="ES368"/>
  <c r="ES365"/>
  <c r="ES82"/>
  <c r="ES88"/>
  <c r="ES93"/>
  <c r="ES25"/>
  <c r="ES94" s="1"/>
  <c r="ES329" s="1"/>
  <c r="ES31"/>
  <c r="ES38"/>
  <c r="ES43"/>
  <c r="ES51"/>
  <c r="ES55"/>
  <c r="ES62"/>
  <c r="ES69"/>
  <c r="ES77"/>
  <c r="ES364"/>
  <c r="ES78"/>
  <c r="ES85"/>
  <c r="ES92"/>
  <c r="ES32"/>
  <c r="ES48"/>
  <c r="ES61"/>
  <c r="ES67"/>
  <c r="ES366"/>
  <c r="ES84"/>
  <c r="ES28"/>
  <c r="ES35"/>
  <c r="ES42"/>
  <c r="ES50"/>
  <c r="ES56"/>
  <c r="ES63"/>
  <c r="ES66"/>
  <c r="ES75"/>
  <c r="ES363"/>
  <c r="ES79"/>
  <c r="ES86"/>
  <c r="ES90"/>
  <c r="ES29"/>
  <c r="ES39"/>
  <c r="ES54"/>
  <c r="ES74"/>
  <c r="ES362"/>
  <c r="ES89"/>
  <c r="ET327" l="1"/>
  <c r="ES330"/>
  <c r="ET328" s="1"/>
  <c r="ET8" l="1"/>
  <c r="D328"/>
  <c r="D343" s="1"/>
  <c r="D327"/>
  <c r="ET7"/>
  <c r="ET27" l="1"/>
  <c r="ET32"/>
  <c r="ET39"/>
  <c r="ET46"/>
  <c r="ET51"/>
  <c r="ET58"/>
  <c r="ET65"/>
  <c r="ET71"/>
  <c r="ET79"/>
  <c r="ET364"/>
  <c r="ET82"/>
  <c r="ET88"/>
  <c r="ET93"/>
  <c r="ET28"/>
  <c r="ET35"/>
  <c r="ET50"/>
  <c r="ET66"/>
  <c r="ET365"/>
  <c r="ET86"/>
  <c r="ET74"/>
  <c r="ET89"/>
  <c r="ET25"/>
  <c r="ET94" s="1"/>
  <c r="ET329" s="1"/>
  <c r="ET31"/>
  <c r="ET38"/>
  <c r="ET43"/>
  <c r="ET52"/>
  <c r="ET55"/>
  <c r="ET62"/>
  <c r="ET69"/>
  <c r="ET77"/>
  <c r="ET368"/>
  <c r="ET366"/>
  <c r="ET85"/>
  <c r="ET92"/>
  <c r="ET42"/>
  <c r="ET56"/>
  <c r="ET63"/>
  <c r="ET75"/>
  <c r="ET363"/>
  <c r="ET90"/>
  <c r="ET29"/>
  <c r="ET33"/>
  <c r="ET40"/>
  <c r="ET48"/>
  <c r="ET54"/>
  <c r="ET61"/>
  <c r="ET67"/>
  <c r="ET78"/>
  <c r="ET362"/>
  <c r="ET84"/>
  <c r="D329" l="1"/>
  <c r="ET330"/>
  <c r="D330" s="1"/>
</calcChain>
</file>

<file path=xl/comments1.xml><?xml version="1.0" encoding="utf-8"?>
<comments xmlns="http://schemas.openxmlformats.org/spreadsheetml/2006/main">
  <authors>
    <author>Elleaume</author>
  </authors>
  <commentList>
    <comment ref="T28" authorId="0">
      <text>
        <r>
          <rPr>
            <sz val="9"/>
            <color indexed="81"/>
            <rFont val="Verdana"/>
            <family val="2"/>
          </rPr>
          <t>average Horizontal
Beta Function [m]</t>
        </r>
      </text>
    </comment>
  </commentList>
</comments>
</file>

<file path=xl/comments2.xml><?xml version="1.0" encoding="utf-8"?>
<comments xmlns="http://schemas.openxmlformats.org/spreadsheetml/2006/main">
  <authors>
    <author>Elleaume</author>
    <author>Pascal ELLEAUME</author>
    <author>ELLEAUME Pascal</author>
  </authors>
  <commentList>
    <comment ref="CI2" authorId="0">
      <text>
        <r>
          <rPr>
            <b/>
            <sz val="8"/>
            <color indexed="81"/>
            <rFont val="Tahoma"/>
            <family val="2"/>
          </rPr>
          <t>Electron Energy [GeV]</t>
        </r>
      </text>
    </comment>
    <comment ref="CI3" authorId="0">
      <text>
        <r>
          <rPr>
            <b/>
            <sz val="8"/>
            <color indexed="81"/>
            <rFont val="Tahoma"/>
            <family val="2"/>
          </rPr>
          <t>Number of Cells</t>
        </r>
      </text>
    </comment>
    <comment ref="CI4" authorId="0">
      <text>
        <r>
          <rPr>
            <b/>
            <sz val="8"/>
            <color indexed="81"/>
            <rFont val="Tahoma"/>
            <family val="2"/>
          </rPr>
          <t xml:space="preserve">P: Periodic,  S: Symmetric
</t>
        </r>
      </text>
    </comment>
    <comment ref="CI5" authorId="1">
      <text>
        <r>
          <rPr>
            <b/>
            <sz val="8"/>
            <color indexed="81"/>
            <rFont val="Tahoma"/>
            <family val="2"/>
          </rPr>
          <t xml:space="preserve">RF Voltage [MV}
</t>
        </r>
      </text>
    </comment>
    <comment ref="CI6" authorId="0">
      <text>
        <r>
          <rPr>
            <b/>
            <sz val="8"/>
            <color indexed="81"/>
            <rFont val="Tahoma"/>
            <family val="2"/>
          </rPr>
          <t>Harmonic RF</t>
        </r>
      </text>
    </comment>
    <comment ref="CI7" authorId="0">
      <text>
        <r>
          <rPr>
            <b/>
            <sz val="8"/>
            <color indexed="81"/>
            <rFont val="Tahoma"/>
            <family val="2"/>
          </rPr>
          <t>Emittance Coupling: only used if the emittances are not computed</t>
        </r>
      </text>
    </comment>
    <comment ref="CI9" authorId="2">
      <text>
        <r>
          <rPr>
            <b/>
            <sz val="8"/>
            <color indexed="81"/>
            <rFont val="Tahoma"/>
            <family val="2"/>
          </rPr>
          <t>Initial BetaX [m] , 
Blank if Boundary condition applied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0" authorId="2">
      <text>
        <r>
          <rPr>
            <b/>
            <sz val="8"/>
            <color indexed="81"/>
            <rFont val="Tahoma"/>
            <family val="2"/>
          </rPr>
          <t xml:space="preserve">Initial AlphaX , 
Blank if Boundary condition applied
</t>
        </r>
      </text>
    </comment>
    <comment ref="CI12" authorId="2">
      <text>
        <r>
          <rPr>
            <b/>
            <sz val="8"/>
            <color indexed="81"/>
            <rFont val="Tahoma"/>
            <family val="2"/>
          </rPr>
          <t xml:space="preserve">Initial BetaZ  [m] , 
Blank if Boundary condition applied
</t>
        </r>
      </text>
    </comment>
    <comment ref="CI13" authorId="2">
      <text>
        <r>
          <rPr>
            <b/>
            <sz val="8"/>
            <color indexed="81"/>
            <rFont val="Tahoma"/>
            <family val="2"/>
          </rPr>
          <t xml:space="preserve">Initial AlphaZ , 
Blank if Boundary condition applied
</t>
        </r>
      </text>
    </comment>
    <comment ref="CI14" authorId="2">
      <text>
        <r>
          <rPr>
            <b/>
            <sz val="8"/>
            <color indexed="81"/>
            <rFont val="Tahoma"/>
            <family val="2"/>
          </rPr>
          <t xml:space="preserve">Initial Disp [m] , 
Blank if Boundary condition applied
</t>
        </r>
      </text>
    </comment>
    <comment ref="AW15" authorId="0">
      <text>
        <r>
          <rPr>
            <b/>
            <sz val="9"/>
            <color indexed="81"/>
            <rFont val="Verdana"/>
            <family val="2"/>
          </rPr>
          <t xml:space="preserve">Sector Bending Mag.
Angle[rad]
Radius [m]
index
</t>
        </r>
      </text>
    </comment>
    <comment ref="CI15" authorId="2">
      <text>
        <r>
          <rPr>
            <b/>
            <sz val="8"/>
            <color indexed="81"/>
            <rFont val="Tahoma"/>
            <family val="2"/>
          </rPr>
          <t xml:space="preserve">Initial Disp Derivative 
Blank if Boundary condition applied
</t>
        </r>
      </text>
    </comment>
    <comment ref="CH18" authorId="0">
      <text>
        <r>
          <rPr>
            <b/>
            <sz val="8"/>
            <color indexed="81"/>
            <rFont val="Tahoma"/>
            <family val="2"/>
          </rPr>
          <t>Sector Bending Mag.
Angle[rad]
Radius [m]
index
B [T]
dB/dx [T/m]</t>
        </r>
      </text>
    </comment>
    <comment ref="CH19" authorId="0">
      <text>
        <r>
          <rPr>
            <b/>
            <sz val="8"/>
            <color indexed="81"/>
            <rFont val="Tahoma"/>
            <family val="2"/>
          </rPr>
          <t xml:space="preserve">Edge of  Bending Mag.
Angle[rad]
Radius [m]
</t>
        </r>
      </text>
    </comment>
    <comment ref="CH20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1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2" authorId="0">
      <text>
        <r>
          <rPr>
            <b/>
            <sz val="8"/>
            <color indexed="81"/>
            <rFont val="Tahoma"/>
            <family val="2"/>
          </rPr>
          <t>Quadrupole with Length[m] strength[m-2]
Displacem. Hor[mm]
Displacem. Vert [mm]
Gradient [T/m]</t>
        </r>
      </text>
    </comment>
    <comment ref="CH23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4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5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6" authorId="0">
      <text>
        <r>
          <rPr>
            <b/>
            <sz val="8"/>
            <color indexed="81"/>
            <rFont val="Tahoma"/>
            <family val="2"/>
          </rPr>
          <t>Quadrupole with Length[m] strength[m-2]
Displacem. Hor[mm]
Displacem. Vert [mm]
Gradient [T/m]</t>
        </r>
      </text>
    </comment>
    <comment ref="CH27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  <comment ref="CH28" authorId="0">
      <text>
        <r>
          <rPr>
            <b/>
            <sz val="8"/>
            <color indexed="81"/>
            <rFont val="Tahoma"/>
            <family val="2"/>
          </rPr>
          <t>Straight Section with Length[m]</t>
        </r>
      </text>
    </comment>
    <comment ref="CH29" authorId="0">
      <text>
        <r>
          <rPr>
            <b/>
            <sz val="8"/>
            <color indexed="81"/>
            <rFont val="Tahoma"/>
            <family val="2"/>
          </rPr>
          <t>Thin Sextupole with
strength[m-2]
Displacem. Hor[mm]
Displacem. Vert [mm]
d2B/dx2 * L/2 [T/m]</t>
        </r>
      </text>
    </comment>
  </commentList>
</comments>
</file>

<file path=xl/sharedStrings.xml><?xml version="1.0" encoding="utf-8"?>
<sst xmlns="http://schemas.openxmlformats.org/spreadsheetml/2006/main" count="5500" uniqueCount="1210">
  <si>
    <t>Fcl  Coulomb log (between 0.5 and 1 see Ref above)</t>
  </si>
  <si>
    <t>Element</t>
  </si>
  <si>
    <t>SL1</t>
  </si>
  <si>
    <t>faire feuille</t>
  </si>
  <si>
    <t>S44</t>
  </si>
  <si>
    <t>Q8</t>
  </si>
  <si>
    <t>SE2-1</t>
  </si>
  <si>
    <t>SP2</t>
  </si>
  <si>
    <t>1-nu0-nu</t>
  </si>
  <si>
    <t>Drive resonance at frequency Nx</t>
  </si>
  <si>
    <t>Drive resonance at frequency 3*Nx</t>
  </si>
  <si>
    <t>SextDD</t>
  </si>
  <si>
    <t xml:space="preserve">I   threshold Microwave instability [mA] </t>
  </si>
  <si>
    <t>S5PU</t>
  </si>
  <si>
    <t>S5PD</t>
  </si>
  <si>
    <t>SD6U</t>
  </si>
  <si>
    <t>SD6D</t>
  </si>
  <si>
    <t>SD7U</t>
  </si>
  <si>
    <t>SD7D</t>
  </si>
  <si>
    <t>SD8U</t>
  </si>
  <si>
    <t>SD8D</t>
  </si>
  <si>
    <t>SF1</t>
  </si>
  <si>
    <t>Pos Vert</t>
  </si>
  <si>
    <t>Matrix 4 x 4 to process Hor and Vert Dispersion and Coupling in cod</t>
  </si>
  <si>
    <t>Strength</t>
  </si>
  <si>
    <t>[m]</t>
  </si>
  <si>
    <t>Zint</t>
  </si>
  <si>
    <t>QP44</t>
  </si>
  <si>
    <t>CV6</t>
  </si>
  <si>
    <t>Q4</t>
  </si>
  <si>
    <t>todo</t>
  </si>
  <si>
    <t>SS7D</t>
  </si>
  <si>
    <t>QD14</t>
  </si>
  <si>
    <t>SD10</t>
  </si>
  <si>
    <t>[mm]</t>
  </si>
  <si>
    <t>b'= - 2 a</t>
  </si>
  <si>
    <t>cos µz</t>
  </si>
  <si>
    <t>First Order Chromatic Terms (From Quad + Sext)</t>
  </si>
  <si>
    <t>CV8</t>
  </si>
  <si>
    <t>Edge2</t>
  </si>
  <si>
    <t>et suivante Lee p 422</t>
  </si>
  <si>
    <t xml:space="preserve">Single bunch Current Threshold [mA]  </t>
  </si>
  <si>
    <t>D. Robin, Phys. Rev. E. v48,N3,p 2149 (1993)</t>
  </si>
  <si>
    <t>Wiggler tune shift with amplitude (see nsls)</t>
  </si>
  <si>
    <t>negative deviation angle</t>
  </si>
  <si>
    <t>H.l</t>
  </si>
  <si>
    <t>Ph. Syn.</t>
  </si>
  <si>
    <t>[Deg]</t>
  </si>
  <si>
    <t>_X11</t>
  </si>
  <si>
    <t>tracking amplitude</t>
  </si>
  <si>
    <t>deltap/p max</t>
  </si>
  <si>
    <t>(K ßx ∆phix)^2</t>
  </si>
  <si>
    <t>Beta</t>
  </si>
  <si>
    <t>Beat</t>
  </si>
  <si>
    <t>Q3</t>
  </si>
  <si>
    <t>Kx=(1-n) /R^2 =1/R^2- K</t>
  </si>
  <si>
    <t>Traitement du dipole</t>
  </si>
  <si>
    <t>D0</t>
  </si>
  <si>
    <t>EL3</t>
  </si>
  <si>
    <t>S31</t>
  </si>
  <si>
    <t>2 DBA</t>
  </si>
  <si>
    <t>QBA</t>
  </si>
  <si>
    <t>FODO</t>
  </si>
  <si>
    <t>CH</t>
  </si>
  <si>
    <t>CV</t>
  </si>
  <si>
    <t>Entrance</t>
  </si>
  <si>
    <t>Synchronous Phase</t>
  </si>
  <si>
    <t>To do</t>
  </si>
  <si>
    <t>MBD2</t>
  </si>
  <si>
    <t>KD3</t>
  </si>
  <si>
    <t>KD4</t>
  </si>
  <si>
    <t>N24/C26</t>
  </si>
  <si>
    <t>cos µx</t>
  </si>
  <si>
    <t>The exact location depends on the platform and version of Office</t>
  </si>
  <si>
    <t>ßz(H L)^2 D^2 sext</t>
  </si>
  <si>
    <t>D72</t>
  </si>
  <si>
    <t>ßzßx(K L)^2  quad</t>
  </si>
  <si>
    <t>Q4R</t>
  </si>
  <si>
    <t>ßzßx(H L)^2  sext</t>
  </si>
  <si>
    <t>QuadSext</t>
  </si>
  <si>
    <t>More exact computation by Piwinski in Accelerator Handbook</t>
  </si>
  <si>
    <t>Edge Quad</t>
  </si>
  <si>
    <t>CTRL+SHIFT+ENTER on PC</t>
  </si>
  <si>
    <t>EmittxEff</t>
  </si>
  <si>
    <t>Emittx</t>
  </si>
  <si>
    <t>QF4</t>
  </si>
  <si>
    <t>D24</t>
  </si>
  <si>
    <t>LSP</t>
  </si>
  <si>
    <t>Nuz/period</t>
  </si>
  <si>
    <t>Sheet  &amp;  Track</t>
  </si>
  <si>
    <t>Solenoide</t>
  </si>
  <si>
    <t>SS5U</t>
  </si>
  <si>
    <t>LS</t>
  </si>
  <si>
    <t>D1BCentre</t>
  </si>
  <si>
    <t>S1B</t>
  </si>
  <si>
    <t>S2B</t>
  </si>
  <si>
    <t>relate to stopband …</t>
  </si>
  <si>
    <t>Proposed by</t>
  </si>
  <si>
    <t>Where</t>
  </si>
  <si>
    <t>Total Vertical Aperture [mm]</t>
  </si>
  <si>
    <t>QP3</t>
  </si>
  <si>
    <t>PICK</t>
  </si>
  <si>
    <t>SD1U</t>
  </si>
  <si>
    <t>SD1D</t>
  </si>
  <si>
    <t>SD2U</t>
  </si>
  <si>
    <t>Bug ds calcul geometrique term pour sextupole</t>
  </si>
  <si>
    <t>QuadSext         L[m], K[m-2], H[m-3]</t>
  </si>
  <si>
    <t>nx</t>
  </si>
  <si>
    <t>nz</t>
  </si>
  <si>
    <t>p</t>
  </si>
  <si>
    <t>http://slsbd.psi.ch/~streun/</t>
  </si>
  <si>
    <t>The solver is referenced from the Add-in "ExcelOptics.xla"</t>
  </si>
  <si>
    <t>Pos. Hor</t>
  </si>
  <si>
    <t>Tet^2  ßz dip</t>
  </si>
  <si>
    <t>Rms</t>
  </si>
  <si>
    <t>Jz</t>
  </si>
  <si>
    <t>Js</t>
  </si>
  <si>
    <t>….</t>
  </si>
  <si>
    <t>Total</t>
  </si>
  <si>
    <t>chromatic orbit</t>
  </si>
  <si>
    <t xml:space="preserve">Statistics </t>
  </si>
  <si>
    <t>Rot. Horiz</t>
  </si>
  <si>
    <t>Ncell</t>
  </si>
  <si>
    <t>M_ID</t>
  </si>
  <si>
    <t>QF</t>
  </si>
  <si>
    <t>CV0</t>
  </si>
  <si>
    <t>COI</t>
  </si>
  <si>
    <t>B1</t>
  </si>
  <si>
    <t>Im|Z/n|eff  [Ohm]  see Hofmann for meaning (Inductance averaged over the bunch spectrum )</t>
  </si>
  <si>
    <t xml:space="preserve"> ∫Hxds</t>
  </si>
  <si>
    <t>a/b</t>
  </si>
  <si>
    <t>rms En Spread</t>
  </si>
  <si>
    <t>rms Hor Emitt.</t>
  </si>
  <si>
    <t>SE1</t>
  </si>
  <si>
    <t>SSBM</t>
  </si>
  <si>
    <t>frac. tune/cell</t>
  </si>
  <si>
    <t>(ßz H L)^2 sext</t>
  </si>
  <si>
    <t>ßx*Tet^2 dip</t>
  </si>
  <si>
    <t>ßz(K L)^2 quad</t>
  </si>
  <si>
    <t>1/R = c/(d+s) = Teta/2 1/Ln(1+L/2d)  /(d+s)= teta/L 1/Log(1+m)  1/(1/m+2 s/L)</t>
  </si>
  <si>
    <t>m = L/2d</t>
  </si>
  <si>
    <t>Tx</t>
  </si>
  <si>
    <t>electrons/bunch</t>
  </si>
  <si>
    <t>Q1D</t>
  </si>
  <si>
    <t>Second Order Momentum Compaction Factor  (Neglecting 2nd order Dispersion, see Soutome, Takao, see Jacow)</t>
  </si>
  <si>
    <t>Collective Effects</t>
  </si>
  <si>
    <t>Magnet  Errors</t>
  </si>
  <si>
    <t>x'*(1+dp/p) []</t>
  </si>
  <si>
    <t>STD</t>
  </si>
  <si>
    <t>SE2-2</t>
  </si>
  <si>
    <t>Max</t>
  </si>
  <si>
    <t>SS6</t>
  </si>
  <si>
    <t>FS5</t>
  </si>
  <si>
    <t>CH6</t>
  </si>
  <si>
    <t>K3</t>
  </si>
  <si>
    <t>d2B/dx2</t>
  </si>
  <si>
    <t>direction</t>
  </si>
  <si>
    <t>QD3</t>
  </si>
  <si>
    <t>Energy Loss by Synchrotron Radiation</t>
  </si>
  <si>
    <t>Q4L</t>
  </si>
  <si>
    <t>Laurent &amp; Pascal</t>
  </si>
  <si>
    <t>Solver</t>
  </si>
  <si>
    <t>D42</t>
  </si>
  <si>
    <t>S17</t>
  </si>
  <si>
    <t>Effective Emittance Computed at entrance of lattice</t>
  </si>
  <si>
    <t>Phase</t>
  </si>
  <si>
    <t>[deg]</t>
  </si>
  <si>
    <t>Solver Problem</t>
  </si>
  <si>
    <t xml:space="preserve">Scratch </t>
  </si>
  <si>
    <t>Emitt</t>
  </si>
  <si>
    <t>Emitt Eff</t>
  </si>
  <si>
    <t>ßx</t>
  </si>
  <si>
    <t>SX7</t>
  </si>
  <si>
    <t>A22</t>
  </si>
  <si>
    <t>µz</t>
  </si>
  <si>
    <t>D</t>
  </si>
  <si>
    <t>D'</t>
  </si>
  <si>
    <t>H</t>
  </si>
  <si>
    <t>En Acceptance due to 2nd order dispersion</t>
  </si>
  <si>
    <t>_Z22</t>
  </si>
  <si>
    <t>Vertical Damping Time</t>
  </si>
  <si>
    <t>O0201</t>
  </si>
  <si>
    <t>SX33</t>
  </si>
  <si>
    <t>S40</t>
  </si>
  <si>
    <t>IBS</t>
  </si>
  <si>
    <t>IBS ini</t>
  </si>
  <si>
    <t>Only make sense for NCELL=1</t>
  </si>
  <si>
    <t>Disp^2 /ß</t>
  </si>
  <si>
    <t>Uncorrelated errors, no correction</t>
  </si>
  <si>
    <t>and A. Wolski LCC-0147 CBP Tech Note-319 June 2004</t>
  </si>
  <si>
    <t>Inelastic (Bremstrahlung on Electrons)</t>
  </si>
  <si>
    <t>QF2</t>
  </si>
  <si>
    <t>(ßx H L)^2 sext</t>
  </si>
  <si>
    <t>tune/cell</t>
  </si>
  <si>
    <t>tune shifts with momentum</t>
  </si>
  <si>
    <t>zero current rms Bunch Length   [mm]</t>
  </si>
  <si>
    <t>Long. Ts/Td</t>
  </si>
  <si>
    <t>Hor Ts/Td</t>
  </si>
  <si>
    <t>D4B</t>
  </si>
  <si>
    <t>The coordinate system differs from BETA:</t>
  </si>
  <si>
    <t>x [m]</t>
  </si>
  <si>
    <t>g(a/b) ( ßxßz)^-1/4</t>
  </si>
  <si>
    <t>SS4U</t>
  </si>
  <si>
    <t>CH1</t>
  </si>
  <si>
    <t>S2A</t>
  </si>
  <si>
    <t>D2A</t>
  </si>
  <si>
    <t>Q1AD</t>
  </si>
  <si>
    <t>S25</t>
  </si>
  <si>
    <t>S60</t>
  </si>
  <si>
    <t>A19</t>
  </si>
  <si>
    <t>dx[mm] @ start</t>
  </si>
  <si>
    <t>dz[mm]  @ start</t>
  </si>
  <si>
    <t>Gas Scattering</t>
  </si>
  <si>
    <t>Horizontal Phase advance toward symmetry point at exit</t>
  </si>
  <si>
    <t>Inside Lattice</t>
  </si>
  <si>
    <t>TL1</t>
  </si>
  <si>
    <t>SS67</t>
  </si>
  <si>
    <t>SS22</t>
  </si>
  <si>
    <t>CV2</t>
  </si>
  <si>
    <t>FS9</t>
  </si>
  <si>
    <t>SBm6</t>
  </si>
  <si>
    <t>QD4P</t>
  </si>
  <si>
    <t>QD6</t>
  </si>
  <si>
    <t>SextDP</t>
  </si>
  <si>
    <t>Horizontal Normalized Chromaticity</t>
  </si>
  <si>
    <t>It is assumed that the lattice must be matched on each side to a symmetry point defined by a zero  dispersion derivative and alpha</t>
  </si>
  <si>
    <t>Library</t>
  </si>
  <si>
    <t>Zotter HandBook of Accelerator Engineering p 121</t>
  </si>
  <si>
    <t>S53</t>
  </si>
  <si>
    <t>SS10</t>
  </si>
  <si>
    <t>QP55</t>
  </si>
  <si>
    <t>D41</t>
  </si>
  <si>
    <t>SD5</t>
  </si>
  <si>
    <t>beta/L et disp/L teta      au centre du dipole qui minimise l'emittance</t>
  </si>
  <si>
    <t>Text files used for BETA structures are differently formatted on different platforms (Windows, Macintosh, UNIX).</t>
  </si>
  <si>
    <t>SS3U</t>
  </si>
  <si>
    <t>Temperature of the Gas [deg C]</t>
  </si>
  <si>
    <t>Elastic (coulomb scattering on Electrons)</t>
  </si>
  <si>
    <t>Nmult</t>
  </si>
  <si>
    <t>Smult</t>
  </si>
  <si>
    <t>Slit</t>
  </si>
  <si>
    <t>K.l</t>
  </si>
  <si>
    <t>[ms]</t>
  </si>
  <si>
    <t>D1A</t>
  </si>
  <si>
    <t>S1A</t>
  </si>
  <si>
    <t>Rms Energy Spread</t>
  </si>
  <si>
    <t>method</t>
  </si>
  <si>
    <t>Solenoid</t>
  </si>
  <si>
    <t>Bs</t>
  </si>
  <si>
    <t>…</t>
  </si>
  <si>
    <t>Edg</t>
  </si>
  <si>
    <t>Longitudinal Damping Time</t>
  </si>
  <si>
    <t>∫nGds</t>
  </si>
  <si>
    <t>∫G2ds</t>
  </si>
  <si>
    <t>End</t>
  </si>
  <si>
    <t>cos µ</t>
  </si>
  <si>
    <t>RF Acceptance [%]</t>
  </si>
  <si>
    <t>SPRING-8</t>
  </si>
  <si>
    <t>SS7U</t>
  </si>
  <si>
    <t>Longitudinal Acceptance</t>
  </si>
  <si>
    <t xml:space="preserve">L. Acc. </t>
  </si>
  <si>
    <t xml:space="preserve"> [deg/%]</t>
  </si>
  <si>
    <t>Effective Imaginary Impedance x  Beta   averaged over circumference [MOhm] @ zero chromaticity</t>
  </si>
  <si>
    <t>[rad]</t>
  </si>
  <si>
    <t>S13</t>
  </si>
  <si>
    <t>DVH</t>
  </si>
  <si>
    <t>[mr]</t>
  </si>
  <si>
    <t>Emitt.</t>
  </si>
  <si>
    <t>Z11</t>
  </si>
  <si>
    <t>Z12</t>
  </si>
  <si>
    <t>Vertical</t>
  </si>
  <si>
    <t>Reference</t>
  </si>
  <si>
    <t>En. Acc.</t>
  </si>
  <si>
    <t>Eements a usefull for transfer lines to follow, orbit and beta functions (not fully tested …)</t>
  </si>
  <si>
    <t>J. Laskar, Astronomy and Astrophysics, 198, 341 (1988)</t>
  </si>
  <si>
    <t>APS</t>
  </si>
  <si>
    <t>QF5P</t>
  </si>
  <si>
    <t>QF13</t>
  </si>
  <si>
    <t>Energy</t>
  </si>
  <si>
    <t>Vrf</t>
  </si>
  <si>
    <t>Title</t>
  </si>
  <si>
    <t>DBA</t>
  </si>
  <si>
    <t>The solver needs to be installed by Office  on the PC and referenced from both Excel and VBA.</t>
  </si>
  <si>
    <t>QP4</t>
  </si>
  <si>
    <t>SextF</t>
  </si>
  <si>
    <t>Nx-2Nz</t>
  </si>
  <si>
    <t>NuZ</t>
  </si>
  <si>
    <t>Nrm ChrZ</t>
  </si>
  <si>
    <t>Nx+2Nz</t>
  </si>
  <si>
    <t>Zero Current rms bunch length</t>
  </si>
  <si>
    <t>[ps]</t>
  </si>
  <si>
    <t>KE</t>
  </si>
  <si>
    <t>N. cells</t>
  </si>
  <si>
    <t>D1D2</t>
  </si>
  <si>
    <t>N20/C4</t>
  </si>
  <si>
    <t>N24/C5</t>
  </si>
  <si>
    <t>N13/C6</t>
  </si>
  <si>
    <t>N13/C27</t>
  </si>
  <si>
    <t>N4/C28</t>
  </si>
  <si>
    <t>X21</t>
  </si>
  <si>
    <t>second order dispersion J.P. Delahaye , SLAC-PUB-3585, Variation of the Dispersion Function, Momentum Compaction Factor and Damping Partition Numbers with Particle Energy Deviation, Part Accel,....</t>
  </si>
  <si>
    <t>Vertical  Total Chromaticity</t>
  </si>
  <si>
    <t>Norm ChrX</t>
  </si>
  <si>
    <t>Entr.</t>
  </si>
  <si>
    <t>Activation is done by setting the "Activate tracking" cell to 1</t>
  </si>
  <si>
    <t>Vertical Tune</t>
  </si>
  <si>
    <t>z [m]</t>
  </si>
  <si>
    <t>l [m]</t>
  </si>
  <si>
    <t>D25</t>
  </si>
  <si>
    <t>SD3D</t>
  </si>
  <si>
    <t>SD4U</t>
  </si>
  <si>
    <t>SD4D</t>
  </si>
  <si>
    <t>SD5U</t>
  </si>
  <si>
    <t>SD5D</t>
  </si>
  <si>
    <t>∫!G!3 ßz ds</t>
  </si>
  <si>
    <t>Vertical Resistive Wall Instability</t>
  </si>
  <si>
    <t>∫G3Hds</t>
  </si>
  <si>
    <t>Open it with Excel, In the Text Import Wizard, select "Delimited"</t>
  </si>
  <si>
    <t>Ampl</t>
  </si>
  <si>
    <t>Phase[rad]</t>
  </si>
  <si>
    <t>deltap/p</t>
  </si>
  <si>
    <t>step size</t>
  </si>
  <si>
    <t>Total Angle induced by the bending Magnets (should be 2*Pi)</t>
  </si>
  <si>
    <t>may add skew resonances</t>
  </si>
  <si>
    <r>
      <t>a</t>
    </r>
    <r>
      <rPr>
        <sz val="12"/>
        <color indexed="0"/>
        <rFont val="Geneva"/>
        <family val="2"/>
      </rPr>
      <t>x</t>
    </r>
  </si>
  <si>
    <t>gx</t>
  </si>
  <si>
    <t>Nux/period</t>
  </si>
  <si>
    <t>Nrm ChrX</t>
  </si>
  <si>
    <t>SigZ</t>
  </si>
  <si>
    <t>Quadrupole</t>
  </si>
  <si>
    <t>Sextupole</t>
  </si>
  <si>
    <t>Coupl</t>
  </si>
  <si>
    <t>cod</t>
  </si>
  <si>
    <t xml:space="preserve">X' </t>
  </si>
  <si>
    <t>QF1</t>
  </si>
  <si>
    <t>COE</t>
  </si>
  <si>
    <t>D5</t>
  </si>
  <si>
    <t>EL23</t>
  </si>
  <si>
    <t>D5A</t>
  </si>
  <si>
    <t>D6A</t>
  </si>
  <si>
    <t>EL28</t>
  </si>
  <si>
    <t>D7</t>
  </si>
  <si>
    <t>EL31</t>
  </si>
  <si>
    <t>EL26</t>
  </si>
  <si>
    <t>D4L</t>
  </si>
  <si>
    <t>EL39</t>
  </si>
  <si>
    <t>D4</t>
  </si>
  <si>
    <t>Q44</t>
  </si>
  <si>
    <t>D33B</t>
  </si>
  <si>
    <t>EL44</t>
  </si>
  <si>
    <t>D33A</t>
  </si>
  <si>
    <t>Q33</t>
  </si>
  <si>
    <t>D22B</t>
  </si>
  <si>
    <t>EL49</t>
  </si>
  <si>
    <t>D22A</t>
  </si>
  <si>
    <t>Q22</t>
  </si>
  <si>
    <t>D11B</t>
  </si>
  <si>
    <t>EL54</t>
  </si>
  <si>
    <t>D11A</t>
  </si>
  <si>
    <t>Q11</t>
  </si>
  <si>
    <t>D00</t>
  </si>
  <si>
    <t>L6</t>
  </si>
  <si>
    <t>It seems that the reference to the solver makes a problem</t>
  </si>
  <si>
    <t>Max(K)</t>
  </si>
  <si>
    <t>SP12</t>
  </si>
  <si>
    <t>ChromX</t>
  </si>
  <si>
    <t>QD</t>
  </si>
  <si>
    <t>S4</t>
  </si>
  <si>
    <t>SD14</t>
  </si>
  <si>
    <t>SS3</t>
  </si>
  <si>
    <t>FS1</t>
  </si>
  <si>
    <t>SP11</t>
  </si>
  <si>
    <t>(K (ßz-ßz0))^2</t>
  </si>
  <si>
    <t>ßx(K L)^2 dip</t>
  </si>
  <si>
    <t>&lt;µx&gt;</t>
  </si>
  <si>
    <t>&lt;µz&gt;</t>
  </si>
  <si>
    <t>QD12</t>
  </si>
  <si>
    <t>SS78</t>
  </si>
  <si>
    <t>[m-2]</t>
  </si>
  <si>
    <t>NCell</t>
  </si>
  <si>
    <t>minimum beta</t>
  </si>
  <si>
    <t>s minimum</t>
  </si>
  <si>
    <t>D2B</t>
  </si>
  <si>
    <t>S1D</t>
  </si>
  <si>
    <t>D3B</t>
  </si>
  <si>
    <t>Q2D</t>
  </si>
  <si>
    <t>First Order Geometric Terms (From Sext)</t>
  </si>
  <si>
    <t>(K L^3)^2/ßx</t>
  </si>
  <si>
    <t>(K L^3)^2/ßz</t>
  </si>
  <si>
    <t>CH2</t>
  </si>
  <si>
    <t>Rel rms Energy Spread   []</t>
  </si>
  <si>
    <t>SD2D</t>
  </si>
  <si>
    <t>ThinNMPolePass</t>
  </si>
  <si>
    <t>Horizontal  rms Emittance [nm]</t>
  </si>
  <si>
    <t>D1</t>
  </si>
  <si>
    <t>K4</t>
  </si>
  <si>
    <t>Help, Infos, …</t>
  </si>
  <si>
    <t>COMMAND+ENTER on Mac</t>
  </si>
  <si>
    <t>Bound</t>
  </si>
  <si>
    <t>S9</t>
  </si>
  <si>
    <t>SX3</t>
  </si>
  <si>
    <t>Number of RF period/revolution</t>
  </si>
  <si>
    <t>Drive second order dispersion</t>
  </si>
  <si>
    <t>N. Bend Magnet</t>
  </si>
  <si>
    <t>L8</t>
  </si>
  <si>
    <t>D31</t>
  </si>
  <si>
    <t>EmitEff</t>
  </si>
  <si>
    <t>_Z21</t>
  </si>
  <si>
    <t>The dipole definition (deviation angle, radius of curvature, index) assumes that the dipole is deviating to the right</t>
  </si>
  <si>
    <t>cod^2/ß</t>
  </si>
  <si>
    <t>Dipole</t>
  </si>
  <si>
    <t>p nearest</t>
  </si>
  <si>
    <t>Si on en croit la table et les valeurs nominales de QF1,QD2,QD3 et QF4</t>
  </si>
  <si>
    <t>FS10</t>
  </si>
  <si>
    <t>M</t>
  </si>
  <si>
    <t>Norm ChrZ</t>
  </si>
  <si>
    <t>Hor  rms Emittance [nm]</t>
  </si>
  <si>
    <t>S18</t>
  </si>
  <si>
    <t>S55</t>
  </si>
  <si>
    <t>BendFringeTiltPass</t>
  </si>
  <si>
    <t>D33</t>
  </si>
  <si>
    <t>tracking</t>
  </si>
  <si>
    <t>D15</t>
  </si>
  <si>
    <t>Drive synchrobetatron resonance &amp; momentum dependence of betax function</t>
  </si>
  <si>
    <t>http://accelconf.web.cern.ch/AccelConf/e02/PAPERS/WEPLE001.pdf</t>
  </si>
  <si>
    <t>SextD9</t>
  </si>
  <si>
    <t>(∆BL) /BL</t>
  </si>
  <si>
    <t>ChromZ</t>
  </si>
  <si>
    <t>name</t>
  </si>
  <si>
    <t>Quad Table (families)</t>
  </si>
  <si>
    <t>nombz2.5</t>
  </si>
  <si>
    <t>bz 3.5 m</t>
  </si>
  <si>
    <t>SextFP</t>
  </si>
  <si>
    <t>radius</t>
  </si>
  <si>
    <t>SOLEIL</t>
  </si>
  <si>
    <t>TME</t>
  </si>
  <si>
    <t>Exit</t>
  </si>
  <si>
    <t>Use of NAFF</t>
  </si>
  <si>
    <t>Thin Elements</t>
  </si>
  <si>
    <t>Inactive Elements</t>
  </si>
  <si>
    <t>strength</t>
  </si>
  <si>
    <t>weight</t>
  </si>
  <si>
    <t>dnux/dex</t>
  </si>
  <si>
    <t>dnuz/dez</t>
  </si>
  <si>
    <t>dnux/dez</t>
  </si>
  <si>
    <t>on a K =  0.121 m-2/Ampere a l'energie du LINAC soit 170 MeV</t>
  </si>
  <si>
    <t>l</t>
  </si>
  <si>
    <t>Center Dipole</t>
  </si>
  <si>
    <t>N24/C10</t>
  </si>
  <si>
    <t>N13/C11</t>
  </si>
  <si>
    <t>QD1-C4</t>
  </si>
  <si>
    <t>QF2-C4</t>
  </si>
  <si>
    <t>QD3-C4</t>
  </si>
  <si>
    <t>QD1-C6</t>
  </si>
  <si>
    <t>QF2-C6</t>
  </si>
  <si>
    <t>QD3-C6</t>
  </si>
  <si>
    <t>QF7-C11</t>
  </si>
  <si>
    <t>QD8-C11</t>
  </si>
  <si>
    <t>QD1-C20</t>
  </si>
  <si>
    <t>QF2-C20</t>
  </si>
  <si>
    <t>Double ESRF</t>
  </si>
  <si>
    <t>dp/p []</t>
  </si>
  <si>
    <t>z'*(1+dp/p) []</t>
  </si>
  <si>
    <t xml:space="preserve">These computations are only useful during lattice design to anticipate the matching </t>
  </si>
  <si>
    <t>Horizontal Emittance (including coupling)</t>
  </si>
  <si>
    <t>X22</t>
  </si>
  <si>
    <t>betaz3</t>
  </si>
  <si>
    <t>Minimum</t>
  </si>
  <si>
    <t>Average</t>
  </si>
  <si>
    <t>Betaz Max</t>
  </si>
  <si>
    <t>Sige/e</t>
  </si>
  <si>
    <t>Xint</t>
  </si>
  <si>
    <t/>
  </si>
  <si>
    <t>NSLS2</t>
  </si>
  <si>
    <t>This reference has to be checked each time a new add-in file is installed</t>
  </si>
  <si>
    <t>SX2</t>
  </si>
  <si>
    <t>SS1</t>
  </si>
  <si>
    <t>alphax</t>
  </si>
  <si>
    <t>DriftPass</t>
  </si>
  <si>
    <t>Sig'X</t>
  </si>
  <si>
    <t>length</t>
  </si>
  <si>
    <t>Q7</t>
  </si>
  <si>
    <t>QD10</t>
  </si>
  <si>
    <t>EmitZ</t>
  </si>
  <si>
    <t>1/&lt;1/sigz&gt;</t>
  </si>
  <si>
    <t>sigl [mm]</t>
  </si>
  <si>
    <t>Xsi</t>
  </si>
  <si>
    <t>D[Xsi]</t>
  </si>
  <si>
    <t>S_ID</t>
  </si>
  <si>
    <t xml:space="preserve"> K.L.F Bane, SLAC PUB 9226 publ. At EPAC02   and ref therein</t>
  </si>
  <si>
    <t>TBA 1.1 nm</t>
  </si>
  <si>
    <t>Vertical Beta at the Aperture [m]</t>
  </si>
  <si>
    <t>X26</t>
  </si>
  <si>
    <t>S6</t>
  </si>
  <si>
    <t>Tune</t>
  </si>
  <si>
    <t>Effective Chamber Radius [ mm]</t>
  </si>
  <si>
    <t>Effective Chamber resistivity [Ohm x m]</t>
  </si>
  <si>
    <t>First Order Momentum compaction factor</t>
  </si>
  <si>
    <t>Plot  only refresh its graphics if the "Table" in Optics is  ungrouped (expanded)</t>
  </si>
  <si>
    <t>QD2</t>
  </si>
  <si>
    <t>formula for chromaticity in eq 50 of Takao et al., PHYSICAL REVIEW E 70, 016501 (2004)</t>
  </si>
  <si>
    <t>_Z12</t>
  </si>
  <si>
    <t>SR</t>
  </si>
  <si>
    <t>SR-BUMP</t>
  </si>
  <si>
    <t>ESRF nominal</t>
  </si>
  <si>
    <t>SD6</t>
  </si>
  <si>
    <t>Edge1</t>
  </si>
  <si>
    <t>QD4</t>
  </si>
  <si>
    <t>emitx</t>
  </si>
  <si>
    <t>ALBA</t>
  </si>
  <si>
    <t>Probably due to the many insertion of line,=&gt; avoid placing comments below the table …</t>
  </si>
  <si>
    <t xml:space="preserve">Plot </t>
  </si>
  <si>
    <t>Av. Radius Curv [m]</t>
  </si>
  <si>
    <t>QD8</t>
  </si>
  <si>
    <t>END</t>
  </si>
  <si>
    <t>QP6</t>
  </si>
  <si>
    <t>Bunch Lengthening Coefficient</t>
  </si>
  <si>
    <t>Current/bunch</t>
  </si>
  <si>
    <t>SS9</t>
  </si>
  <si>
    <t>QF11</t>
  </si>
  <si>
    <t>QP7</t>
  </si>
  <si>
    <t>Q9</t>
  </si>
  <si>
    <t>tune shifts with amplitude</t>
  </si>
  <si>
    <t>T. Raubenheimer SLAC-PUB-4937 , 1991</t>
  </si>
  <si>
    <t>Phase Acceptance due to 2nd order dispersion</t>
  </si>
  <si>
    <t>Nus</t>
  </si>
  <si>
    <t>From "Table"</t>
  </si>
  <si>
    <t>Dispersion</t>
  </si>
  <si>
    <t>tune x</t>
  </si>
  <si>
    <t>tune z</t>
  </si>
  <si>
    <t>MBD</t>
  </si>
  <si>
    <t>D1BEnd2</t>
  </si>
  <si>
    <t>Scraper</t>
  </si>
  <si>
    <t>http://www.nsls.bnl.gov/organization/Accelerator/highlights/dbook/contents.html</t>
  </si>
  <si>
    <t>Accelerator Physics</t>
  </si>
  <si>
    <t>SY-1</t>
  </si>
  <si>
    <t>SY-2</t>
  </si>
  <si>
    <t>&lt; ßz&gt;</t>
  </si>
  <si>
    <t>&lt; D &gt;</t>
  </si>
  <si>
    <t>sextu</t>
  </si>
  <si>
    <t>octu</t>
  </si>
  <si>
    <t>12p</t>
  </si>
  <si>
    <t>20p</t>
  </si>
  <si>
    <t>multipole computer</t>
  </si>
  <si>
    <t>8p</t>
  </si>
  <si>
    <t>deltaG/G</t>
  </si>
  <si>
    <t>strength/K</t>
  </si>
  <si>
    <t>total</t>
  </si>
  <si>
    <t>Q2B</t>
  </si>
  <si>
    <t>S1C</t>
  </si>
  <si>
    <t>Q1B</t>
  </si>
  <si>
    <t>KD2</t>
  </si>
  <si>
    <t>KD1</t>
  </si>
  <si>
    <t>Booster QD27</t>
  </si>
  <si>
    <t>CV4</t>
  </si>
  <si>
    <t>Lsig'X</t>
  </si>
  <si>
    <t>Symmetry</t>
  </si>
  <si>
    <t>S</t>
  </si>
  <si>
    <t>V_RF</t>
  </si>
  <si>
    <t>Harm_RF</t>
  </si>
  <si>
    <t>ID20</t>
  </si>
  <si>
    <t>(ßx K L)^2 quad</t>
  </si>
  <si>
    <t>Bend</t>
  </si>
  <si>
    <t>Vertical Normalized Chromaticity</t>
  </si>
  <si>
    <t>Vert Cod</t>
  </si>
  <si>
    <t>Nx</t>
  </si>
  <si>
    <t>L9</t>
  </si>
  <si>
    <t>SS</t>
  </si>
  <si>
    <t>QD1</t>
  </si>
  <si>
    <t>Bm</t>
  </si>
  <si>
    <t>µx</t>
  </si>
  <si>
    <t>Drive resonance at frequency Nx-2*Nz</t>
  </si>
  <si>
    <t>EL33</t>
  </si>
  <si>
    <t>Il manque l'intégrale &lt;Beta Eta&gt; correcte</t>
  </si>
  <si>
    <t>SF2</t>
  </si>
  <si>
    <t>SD</t>
  </si>
  <si>
    <t>Energy Acceptance</t>
  </si>
  <si>
    <t>Emittz</t>
  </si>
  <si>
    <t>QF5</t>
  </si>
  <si>
    <t>Attention le faisceau extrait passe fortement hors axe ds QD1 et QF1,</t>
  </si>
  <si>
    <t>Hrf</t>
  </si>
  <si>
    <t>SD3</t>
  </si>
  <si>
    <t>Total Horizontal Phase advance/cell</t>
  </si>
  <si>
    <t xml:space="preserve"> K.L.F Bane, SLAC PUB 9227 </t>
  </si>
  <si>
    <t>CV3</t>
  </si>
  <si>
    <t>QF9</t>
  </si>
  <si>
    <r>
      <t xml:space="preserve">&lt; </t>
    </r>
    <r>
      <rPr>
        <sz val="12"/>
        <color indexed="8"/>
        <rFont val="Symbol"/>
        <family val="1"/>
      </rPr>
      <t>g</t>
    </r>
    <r>
      <rPr>
        <sz val="12"/>
        <color indexed="8"/>
        <rFont val="Geneva"/>
        <family val="2"/>
      </rPr>
      <t>x</t>
    </r>
    <r>
      <rPr>
        <sz val="12"/>
        <color indexed="0"/>
        <rFont val="Geneva"/>
        <family val="2"/>
      </rPr>
      <t>.D-2</t>
    </r>
    <r>
      <rPr>
        <sz val="12"/>
        <color indexed="8"/>
        <rFont val="Symbol"/>
        <family val="1"/>
      </rPr>
      <t>a</t>
    </r>
    <r>
      <rPr>
        <sz val="12"/>
        <color indexed="0"/>
        <rFont val="Geneva"/>
        <family val="2"/>
      </rPr>
      <t>x.D' &gt;</t>
    </r>
  </si>
  <si>
    <t>Les fonctions beta et alpha a l'entrée de TL2  ne sont pas compatibles avec l'optique du booster -&gt; a revoir</t>
  </si>
  <si>
    <t>STF</t>
  </si>
  <si>
    <t>QD39</t>
  </si>
  <si>
    <t>(K ßz ∆phiz)^2</t>
  </si>
  <si>
    <t>emitz</t>
  </si>
  <si>
    <t>Old, need update, or will be removed</t>
  </si>
  <si>
    <t>Hofmann and Maidment , LEP-NOTE 168 (1979)</t>
  </si>
  <si>
    <t>Term</t>
  </si>
  <si>
    <t>Input sequences  ready for inclusion into "Table"</t>
  </si>
  <si>
    <t>ßz(K L)^2 dip</t>
  </si>
  <si>
    <t>select "SOLVER" and use "Browse..." to locate the "solver.xla"</t>
  </si>
  <si>
    <t>File-&gt;Save xloptics.xla</t>
  </si>
  <si>
    <t>Bm Angle [mrad]</t>
  </si>
  <si>
    <t>U0,Tho, alpha,energy spear,Jx,Jz,Je,Emitt</t>
  </si>
  <si>
    <t>dynamic aperture</t>
  </si>
  <si>
    <t>Tune fit</t>
  </si>
  <si>
    <t>adjustement</t>
  </si>
  <si>
    <t>tunes</t>
  </si>
  <si>
    <t>desired</t>
  </si>
  <si>
    <t>model:</t>
  </si>
  <si>
    <t>Chromaticity fit</t>
  </si>
  <si>
    <t>adjustment</t>
  </si>
  <si>
    <t>Champ de fuite</t>
  </si>
  <si>
    <t>Ez</t>
  </si>
  <si>
    <t>DIPE1</t>
  </si>
  <si>
    <t>Number of Atom/Molecule</t>
  </si>
  <si>
    <t>SX8</t>
  </si>
  <si>
    <t>CV7</t>
  </si>
  <si>
    <t>S39</t>
  </si>
  <si>
    <t>A in eq.  x^3-x-A=0   (A must be &gt; sqrt(4/27)=0.385 )</t>
  </si>
  <si>
    <t>Number of Bunches</t>
  </si>
  <si>
    <t>Touschek Lifetime</t>
  </si>
  <si>
    <t>&lt; ßx &gt;</t>
  </si>
  <si>
    <t>Nearest resonances: m nux + n nuz = p</t>
  </si>
  <si>
    <t>m</t>
  </si>
  <si>
    <t>n</t>
  </si>
  <si>
    <t>phase</t>
  </si>
  <si>
    <t>ampl.</t>
  </si>
  <si>
    <t>nearest p</t>
  </si>
  <si>
    <t>Exit Dipole</t>
  </si>
  <si>
    <t>Horizontal amplitude</t>
  </si>
  <si>
    <t>Chao Book p 208</t>
  </si>
  <si>
    <t>sext</t>
  </si>
  <si>
    <t>negative bending radius</t>
  </si>
  <si>
    <t>Length</t>
  </si>
  <si>
    <t>N20/C12</t>
  </si>
  <si>
    <t>N24/C28</t>
  </si>
  <si>
    <t>1/ro</t>
  </si>
  <si>
    <t>index</t>
  </si>
  <si>
    <t>SS5D</t>
  </si>
  <si>
    <t>FS6</t>
  </si>
  <si>
    <t>CH5</t>
  </si>
  <si>
    <t>1/ßx Tet^2 dip</t>
  </si>
  <si>
    <t>∫n'^2ds</t>
  </si>
  <si>
    <t>add  contribution  other  than QuadSext</t>
  </si>
  <si>
    <t>add order 1 ( driving cod)</t>
  </si>
  <si>
    <t>DIP</t>
  </si>
  <si>
    <t>EDGE</t>
  </si>
  <si>
    <t>INDEX</t>
  </si>
  <si>
    <t>BEND</t>
  </si>
  <si>
    <t>calcul &lt;Beta Eta &gt; ….in mathematica</t>
  </si>
  <si>
    <t>SS6D</t>
  </si>
  <si>
    <t>(ßz K L)^2 quad</t>
  </si>
  <si>
    <t>nu</t>
  </si>
  <si>
    <t>offset</t>
  </si>
  <si>
    <t>QD3-C20</t>
  </si>
  <si>
    <t>QD6-C11</t>
  </si>
  <si>
    <t>ID6</t>
  </si>
  <si>
    <t>ID6-ID20</t>
  </si>
  <si>
    <t>S4-C4</t>
  </si>
  <si>
    <t>S6-C4</t>
  </si>
  <si>
    <t>S4-C6</t>
  </si>
  <si>
    <t>S6-C6</t>
  </si>
  <si>
    <t>S22-C11</t>
  </si>
  <si>
    <t>S24-C11</t>
  </si>
  <si>
    <t>S4-C20</t>
  </si>
  <si>
    <t>S6-C20</t>
  </si>
  <si>
    <t>Lifetime[h] without IBS</t>
  </si>
  <si>
    <t>Pos Long</t>
  </si>
  <si>
    <t>Family strengths</t>
  </si>
  <si>
    <t>Sextupole Table</t>
  </si>
  <si>
    <t>Quadrupole correctors</t>
  </si>
  <si>
    <t>Horizontal</t>
  </si>
  <si>
    <t>Quad</t>
  </si>
  <si>
    <t>FS3</t>
  </si>
  <si>
    <t>L2</t>
  </si>
  <si>
    <t>QP1</t>
  </si>
  <si>
    <t>Convergence can be improved by playing with the relaxation coefficien or increasing the number of iteration by inserting  a column before that labeled "Lßz" and copying a previous column in the newlycreated one</t>
  </si>
  <si>
    <t>L1</t>
  </si>
  <si>
    <t>Lßz</t>
  </si>
  <si>
    <t>LS1</t>
  </si>
  <si>
    <t>To import such a file:</t>
  </si>
  <si>
    <t>Pascal</t>
  </si>
  <si>
    <t>Sheet</t>
  </si>
  <si>
    <t>Verify chromaticity in Dipole with gradient</t>
  </si>
  <si>
    <t>Horizontal  Damping Time/Diffusion Time</t>
  </si>
  <si>
    <t>Average Number of electrons per atom</t>
  </si>
  <si>
    <t>[pm]</t>
  </si>
  <si>
    <t>[mm2/m]</t>
  </si>
  <si>
    <t>Effective Vert beta [m]</t>
  </si>
  <si>
    <t>Sige</t>
  </si>
  <si>
    <t>DBA Var dipole</t>
  </si>
  <si>
    <t>tracer  resonance sur diag de tune</t>
  </si>
  <si>
    <t>_X12</t>
  </si>
  <si>
    <t>_X21</t>
  </si>
  <si>
    <t>_X22</t>
  </si>
  <si>
    <t>Tool -&gt; Macros -&gt; Visual Basic editor</t>
  </si>
  <si>
    <t>SX1</t>
  </si>
  <si>
    <t>D12</t>
  </si>
  <si>
    <t>Abs(K)</t>
  </si>
  <si>
    <t>To define a dipole deviationg to the left, the following conventions must be used:</t>
  </si>
  <si>
    <t>Steerer</t>
  </si>
  <si>
    <t>L4</t>
  </si>
  <si>
    <t>Tracking is based on the Accelerator Toolbox (AT) routines</t>
  </si>
  <si>
    <t>Touscheck  without IBS</t>
  </si>
  <si>
    <t>CAMERA</t>
  </si>
  <si>
    <t>DHQP</t>
  </si>
  <si>
    <t>S64</t>
  </si>
  <si>
    <t>CellZ</t>
  </si>
  <si>
    <t>Relative  rms Energy Spread   []</t>
  </si>
  <si>
    <t>SS23</t>
  </si>
  <si>
    <t>SigX</t>
  </si>
  <si>
    <t>D4BI</t>
  </si>
  <si>
    <t>D4BO</t>
  </si>
  <si>
    <t>Lattice</t>
  </si>
  <si>
    <t>(Z/n)crit  [Ohm]   see Hofmann for meaning (Real Z/n of Broad Band impedance at freq = c/sigma)</t>
  </si>
  <si>
    <t>Lifetime</t>
  </si>
  <si>
    <t>Q1AB</t>
  </si>
  <si>
    <t>MBB</t>
  </si>
  <si>
    <t>Q2AB</t>
  </si>
  <si>
    <t>S2C</t>
  </si>
  <si>
    <t>Q3B</t>
  </si>
  <si>
    <t>BndMPoleSymplectic4Pass</t>
  </si>
  <si>
    <t>calcul beta functions  off-momentum</t>
  </si>
  <si>
    <t>VBA or C ?</t>
  </si>
  <si>
    <t>Steerer           Ax[mrad],Az[mrad]</t>
  </si>
  <si>
    <t>S3</t>
  </si>
  <si>
    <t>QF39</t>
  </si>
  <si>
    <t>factor</t>
  </si>
  <si>
    <t>s</t>
  </si>
  <si>
    <t>x</t>
  </si>
  <si>
    <t>y</t>
  </si>
  <si>
    <t>BPM</t>
  </si>
  <si>
    <t>Emitt = Cq gamma^2/Jx &lt;H /R^3&gt;/ &lt;1/R^2&gt;</t>
  </si>
  <si>
    <t>Drive synchrobetatron resonance &amp; momentum dependence of betaz function</t>
  </si>
  <si>
    <t>http://www.frontsys.com/mlvbaref.htm</t>
  </si>
  <si>
    <t>similar to Edge with parameter reordering to fit to Bend</t>
  </si>
  <si>
    <t>Thick Elements</t>
  </si>
  <si>
    <t>WiggLinearPass</t>
  </si>
  <si>
    <t>QuadLinearPass</t>
  </si>
  <si>
    <t>SY-3</t>
  </si>
  <si>
    <t>TL2-1</t>
  </si>
  <si>
    <t>Xmax</t>
  </si>
  <si>
    <t>Zmax</t>
  </si>
  <si>
    <t>COIS1</t>
  </si>
  <si>
    <t>D21</t>
  </si>
  <si>
    <t>Total Current [mA]</t>
  </si>
  <si>
    <t>Ouverture Dyn a la Nagaoka</t>
  </si>
  <si>
    <t>Beta [m]</t>
  </si>
  <si>
    <t>Guo Raubenheimer</t>
  </si>
  <si>
    <t>[nm]</t>
  </si>
  <si>
    <t>Sigl</t>
  </si>
  <si>
    <t>Z</t>
  </si>
  <si>
    <t>Alphax</t>
  </si>
  <si>
    <t>invert the sign of the edge focusing angle and radius too</t>
  </si>
  <si>
    <t>TME Var Dipole</t>
  </si>
  <si>
    <t>rms rel energy spread []</t>
  </si>
  <si>
    <t>Pour chaque m et w et n  on calcule</t>
  </si>
  <si>
    <t>NuX</t>
  </si>
  <si>
    <t>gz</t>
  </si>
  <si>
    <t>Horizontal Phase advance toward symmetry point at entrance</t>
  </si>
  <si>
    <t>S19</t>
  </si>
  <si>
    <t>Disp'</t>
  </si>
  <si>
    <t>Sbend</t>
  </si>
  <si>
    <t>ßz</t>
  </si>
  <si>
    <r>
      <t>a</t>
    </r>
    <r>
      <rPr>
        <sz val="12"/>
        <color indexed="0"/>
        <rFont val="Geneva"/>
        <family val="2"/>
      </rPr>
      <t>z</t>
    </r>
  </si>
  <si>
    <t>See Also A. Mosnier , PAC99</t>
  </si>
  <si>
    <t>Save the file as "Text (tab delimited)"</t>
  </si>
  <si>
    <t>QF7</t>
  </si>
  <si>
    <t>Corps du dipole:</t>
  </si>
  <si>
    <t>Drive resonance at frequency Nx+2*Nz</t>
  </si>
  <si>
    <t>grouper elements librairie en epais et minces et inactifs</t>
  </si>
  <si>
    <t>Can be any value (to be used in a search for stability)</t>
  </si>
  <si>
    <t>ThinMag</t>
  </si>
  <si>
    <t>When copying  a line to another, the yellow comments get resized in a non predictable manner</t>
  </si>
  <si>
    <t>∫[G]3ds</t>
  </si>
  <si>
    <t>number of superperiods</t>
  </si>
  <si>
    <t>reference</t>
  </si>
  <si>
    <t>Chromaticity:</t>
  </si>
  <si>
    <t>Tune shift:</t>
  </si>
  <si>
    <t>Sext           H[m-2], dx[mm], dz[mm]</t>
  </si>
  <si>
    <t>Sbend              Angle[rad] Radius[m]  Index[]</t>
  </si>
  <si>
    <t>SD8</t>
  </si>
  <si>
    <t xml:space="preserve">beta/L et alpha et   disp/L/Teta  a la sortie du dipole </t>
  </si>
  <si>
    <t>Verify the Hklmn complex terl, some anomaly appears</t>
  </si>
  <si>
    <t>Q2</t>
  </si>
  <si>
    <t>SS12</t>
  </si>
  <si>
    <t>Add Chromaticity from edge in dipole</t>
  </si>
  <si>
    <t>SS3D</t>
  </si>
  <si>
    <t>Disp</t>
  </si>
  <si>
    <t>Edge            Angle[rad], Radius [m]</t>
  </si>
  <si>
    <t>S41</t>
  </si>
  <si>
    <t>S47</t>
  </si>
  <si>
    <t>nuz</t>
  </si>
  <si>
    <t>Rien de fait. Voir "Simplified derivation of chromaticity formulae", Bassetti</t>
  </si>
  <si>
    <t>D32</t>
  </si>
  <si>
    <t>S1</t>
  </si>
  <si>
    <t>Nuz</t>
  </si>
  <si>
    <t>Energy Acceptance not due to RF</t>
  </si>
  <si>
    <t>S37</t>
  </si>
  <si>
    <t>Corresponding Tune shift Variations</t>
  </si>
  <si>
    <t>SD3U</t>
  </si>
  <si>
    <t>Alba 11-02</t>
  </si>
  <si>
    <t>S27</t>
  </si>
  <si>
    <t>QD5</t>
  </si>
  <si>
    <t>S45</t>
  </si>
  <si>
    <t>Tz</t>
  </si>
  <si>
    <t>On peut generaliser a</t>
  </si>
  <si>
    <t>S33</t>
  </si>
  <si>
    <t>Q6</t>
  </si>
  <si>
    <t>SD13</t>
  </si>
  <si>
    <t>Q10</t>
  </si>
  <si>
    <t>[MV]</t>
  </si>
  <si>
    <t>D14</t>
  </si>
  <si>
    <t>SD1</t>
  </si>
  <si>
    <t>FS4</t>
  </si>
  <si>
    <t>CH7</t>
  </si>
  <si>
    <t>S35</t>
  </si>
  <si>
    <t>Alpha</t>
  </si>
  <si>
    <t>X</t>
  </si>
  <si>
    <t>IdentityPass</t>
  </si>
  <si>
    <t>cell</t>
  </si>
  <si>
    <t>Threshold Ts/Td  (for stationary IBS,  avoid changing)</t>
  </si>
  <si>
    <t>∫nG(G2-2K)ds</t>
  </si>
  <si>
    <t>BE1</t>
  </si>
  <si>
    <t>Einfeld Paper</t>
  </si>
  <si>
    <t>For an accurate combined treatment of IBS+Long.Wake see Venturini PAC01</t>
  </si>
  <si>
    <t>essayer de dessiner les quad et dipoles</t>
  </si>
  <si>
    <t>Effective Emittance</t>
  </si>
  <si>
    <t>N13/C21</t>
  </si>
  <si>
    <t>N13/C22</t>
  </si>
  <si>
    <t>N4/C23</t>
  </si>
  <si>
    <t>N13/C25</t>
  </si>
  <si>
    <t>Alpha2</t>
  </si>
  <si>
    <t>dNux/d(gx x x+2ax x xp+ßx xp xp) [mm-1]</t>
  </si>
  <si>
    <t>Only one tracking structure is allowed in Excel, Opening 2 workbooks using tracking will give unexpected results !</t>
  </si>
  <si>
    <t>X12</t>
  </si>
  <si>
    <t>dk/k</t>
  </si>
  <si>
    <t>dNux/d(gz z z+2az z zp+ßz zp zp ) [mm-1]</t>
  </si>
  <si>
    <t>For the understanding of terms below see SLS Note 9/97  by J.A.L. Bengtsson</t>
  </si>
  <si>
    <t>Horizontal  Total Chromaticity</t>
  </si>
  <si>
    <t>Vertical Emittance (including coupling)</t>
  </si>
  <si>
    <t>D23</t>
  </si>
  <si>
    <t>Vertical Tune per period</t>
  </si>
  <si>
    <t>(K (ßx-ßx0))^2</t>
  </si>
  <si>
    <t>Max. amplitude</t>
  </si>
  <si>
    <t>Stop</t>
  </si>
  <si>
    <t>Band</t>
  </si>
  <si>
    <t>The import command handles PC and Mac files but fails to import UNIX files (coming from BETA/Matlab on Unix or Macintosh for instance).</t>
  </si>
  <si>
    <t>ThinMPolePass</t>
  </si>
  <si>
    <t>Linear Optics</t>
  </si>
  <si>
    <t>x0</t>
  </si>
  <si>
    <t>z0</t>
  </si>
  <si>
    <t>rms Hor Emittance  [nm]</t>
  </si>
  <si>
    <t>rms Bunch Length   [mm]</t>
  </si>
  <si>
    <t>watch the graph of  emittance and energy spread vs iteration number</t>
  </si>
  <si>
    <t>Horizontal Tune per period</t>
  </si>
  <si>
    <t>CV9</t>
  </si>
  <si>
    <t>SD12</t>
  </si>
  <si>
    <t>Q5</t>
  </si>
  <si>
    <t>Losses</t>
  </si>
  <si>
    <t>SD9</t>
  </si>
  <si>
    <t>S11</t>
  </si>
  <si>
    <t>Nux</t>
  </si>
  <si>
    <t>nuz/cell</t>
  </si>
  <si>
    <t>Available AT methods</t>
  </si>
  <si>
    <t>Min</t>
  </si>
  <si>
    <t>Avr</t>
  </si>
  <si>
    <t>defining the loss of a particle</t>
  </si>
  <si>
    <t>ßx(K L)^2 quad</t>
  </si>
  <si>
    <t>le matching vers le booster ne semble pas ideal</t>
  </si>
  <si>
    <t>B</t>
  </si>
  <si>
    <t>dB/dx</t>
  </si>
  <si>
    <t>RMS</t>
  </si>
  <si>
    <t>b</t>
  </si>
  <si>
    <t>a</t>
  </si>
  <si>
    <t>g</t>
  </si>
  <si>
    <t>http://www-ssrl.slac.stanford.edu/at/</t>
  </si>
  <si>
    <t>beam</t>
  </si>
  <si>
    <t>nux</t>
  </si>
  <si>
    <t>Horizontal Phase advance in the lattice element considered</t>
  </si>
  <si>
    <t>Effective Emittance Computed at exit of lattice</t>
  </si>
  <si>
    <t>CellX</t>
  </si>
  <si>
    <t>TL2-2</t>
  </si>
  <si>
    <t>Wiggler</t>
  </si>
  <si>
    <t>This section is obsolete beceause it does not take into account IBS (see below)</t>
  </si>
  <si>
    <t>N13/C32</t>
  </si>
  <si>
    <t>N24/C2</t>
  </si>
  <si>
    <t>N13/C3</t>
  </si>
  <si>
    <t>Diamond</t>
  </si>
  <si>
    <t>Total Horizontal Tune</t>
  </si>
  <si>
    <t>K=n/R^2</t>
  </si>
  <si>
    <t>The "attrack" function returns the 6 coordinates of the particle. This function has to be entered using:</t>
  </si>
  <si>
    <t>MBA</t>
  </si>
  <si>
    <t xml:space="preserve"> il voit un champ dipolaire de QF1,QD1 =&gt; dispersion fortement modifiee</t>
  </si>
  <si>
    <t>L0</t>
  </si>
  <si>
    <t>SSID</t>
  </si>
  <si>
    <t>Q1</t>
  </si>
  <si>
    <t>SS2U</t>
  </si>
  <si>
    <t>P</t>
  </si>
  <si>
    <t>J. Laskar, PhysicaD 67, 257 (1993).</t>
  </si>
  <si>
    <t>Activate tracking</t>
  </si>
  <si>
    <t>Internal Size of chamber 25 x 10 mm from beginning to QF13 to End</t>
  </si>
  <si>
    <t>Rot  Long</t>
  </si>
  <si>
    <t>(∆KL)/ KL</t>
  </si>
  <si>
    <t>Perim</t>
  </si>
  <si>
    <t>2Nz</t>
  </si>
  <si>
    <t>Or correction for coupled beam by Yoshikazu MIYAHARA, paper  EPAC2000</t>
  </si>
  <si>
    <t>_Z11</t>
  </si>
  <si>
    <t>Betax</t>
  </si>
  <si>
    <t>X11</t>
  </si>
  <si>
    <t>DIPS1</t>
  </si>
  <si>
    <t>SS45</t>
  </si>
  <si>
    <t>Optimisation sextu a la bengtsson</t>
  </si>
  <si>
    <t>in C</t>
  </si>
  <si>
    <t>N13/C15</t>
  </si>
  <si>
    <t>N13/C17</t>
  </si>
  <si>
    <t>N24/C18</t>
  </si>
  <si>
    <t>N13/C19</t>
  </si>
  <si>
    <t>N20/C20</t>
  </si>
  <si>
    <t>dNuxdJz</t>
  </si>
  <si>
    <t>dNuzdJz</t>
  </si>
  <si>
    <t>Tot</t>
  </si>
  <si>
    <t>ßz(K L)^2 D^2 quad</t>
  </si>
  <si>
    <t>N13/C29</t>
  </si>
  <si>
    <t>The computation of IBS results in an iteration which is stopped whenemittance and energy spread is stationary, 12 iterations have been placed in ths sheet.</t>
  </si>
  <si>
    <t>Betaz</t>
  </si>
  <si>
    <t>Alphaz</t>
  </si>
  <si>
    <t>X'</t>
  </si>
  <si>
    <t>∫Gds</t>
  </si>
  <si>
    <t>K2</t>
  </si>
  <si>
    <t>SX4</t>
  </si>
  <si>
    <t>periods</t>
  </si>
  <si>
    <t>lattice pointer</t>
  </si>
  <si>
    <t>J. Guo, T. Raubenheimer, EPAC02</t>
  </si>
  <si>
    <t>initial parameters</t>
  </si>
  <si>
    <t>http://www.solver.com/suppstdsolver.htm</t>
  </si>
  <si>
    <t>Formule B1, B2 de "Perturbative formulation for nonlinear chromaticity…", Takao, Tanaka…, Physical review E 70, 016501</t>
  </si>
  <si>
    <t>Longitudinal</t>
  </si>
  <si>
    <t xml:space="preserve">Z' </t>
  </si>
  <si>
    <t>Cell</t>
  </si>
  <si>
    <t>Angle</t>
  </si>
  <si>
    <t>Radius</t>
  </si>
  <si>
    <t>field index</t>
  </si>
  <si>
    <t>sestu</t>
  </si>
  <si>
    <t>10p</t>
  </si>
  <si>
    <t>14p</t>
  </si>
  <si>
    <t>Dipole Table (families)</t>
  </si>
  <si>
    <t>deltaB/B</t>
  </si>
  <si>
    <t>6p</t>
  </si>
  <si>
    <t>strength*ro</t>
  </si>
  <si>
    <t>4p</t>
  </si>
  <si>
    <t>D1hard</t>
  </si>
  <si>
    <t>D1soft</t>
  </si>
  <si>
    <t>D2soft</t>
  </si>
  <si>
    <t>D2hard</t>
  </si>
  <si>
    <t>Magnetic measurements</t>
  </si>
  <si>
    <t>Face entrée/sortie</t>
  </si>
  <si>
    <t>G.l</t>
  </si>
  <si>
    <t>L/SigX</t>
  </si>
  <si>
    <t>Average Vert. Beta [m]</t>
  </si>
  <si>
    <t>D1B2</t>
  </si>
  <si>
    <t>COR</t>
  </si>
  <si>
    <t>EL8</t>
  </si>
  <si>
    <t>SL2</t>
  </si>
  <si>
    <t>EL13</t>
  </si>
  <si>
    <t>SL3</t>
  </si>
  <si>
    <t>EL18</t>
  </si>
  <si>
    <t>SL4</t>
  </si>
  <si>
    <t>Longitudinal Tune</t>
  </si>
  <si>
    <t>Fr_Syn</t>
  </si>
  <si>
    <t>[kHz]</t>
  </si>
  <si>
    <t>WS</t>
  </si>
  <si>
    <t>Tune modulo the number of periods</t>
  </si>
  <si>
    <t>Sym</t>
  </si>
  <si>
    <t>Info</t>
  </si>
  <si>
    <t>QP5</t>
  </si>
  <si>
    <t>1 or 2 if lattice is defined with symmetry point or not</t>
  </si>
  <si>
    <t>Depend on Vert Chromaticity (strange)</t>
  </si>
  <si>
    <t>(log)</t>
  </si>
  <si>
    <t>SF3</t>
  </si>
  <si>
    <t>D34</t>
  </si>
  <si>
    <t>Horizontal Tune</t>
  </si>
  <si>
    <t>For  Cod &amp; Disp Comp</t>
  </si>
  <si>
    <t>CV1</t>
  </si>
  <si>
    <t>Matrices</t>
  </si>
  <si>
    <t>ajouter cham de fuite dipole, Quad et Sext ...a la Forest p 389 ds tracking</t>
  </si>
  <si>
    <t xml:space="preserve">Multibunch Current Threshold [mA]  </t>
  </si>
  <si>
    <t>CH8</t>
  </si>
  <si>
    <t>SS55</t>
  </si>
  <si>
    <t>Help for Converting from Beta</t>
  </si>
  <si>
    <t>D'apres Guo et Raubenheimer</t>
  </si>
  <si>
    <t>SD2</t>
  </si>
  <si>
    <t>D22</t>
  </si>
  <si>
    <t>QF3</t>
  </si>
  <si>
    <t>il reste a fitter les beta et alph a l'entrée de TL1</t>
  </si>
  <si>
    <t>SD7</t>
  </si>
  <si>
    <t>S7</t>
  </si>
  <si>
    <t>FS8</t>
  </si>
  <si>
    <t>N4/C14</t>
  </si>
  <si>
    <t>N13/C13</t>
  </si>
  <si>
    <t>D13</t>
  </si>
  <si>
    <t>SF</t>
  </si>
  <si>
    <t>SSD4</t>
  </si>
  <si>
    <t>BM</t>
  </si>
  <si>
    <t>Lifetime[h]</t>
  </si>
  <si>
    <t>L Dipole [m]</t>
  </si>
  <si>
    <t>a' = K  b - (1+a^2)/b</t>
  </si>
  <si>
    <t>The solver needs first to be installed by Office  on the PC.</t>
  </si>
  <si>
    <t>In solver Box , Press Options, then Press Help</t>
  </si>
  <si>
    <t>S49</t>
  </si>
  <si>
    <t>L/SigZ</t>
  </si>
  <si>
    <t>DeltaX</t>
  </si>
  <si>
    <t>DeltaZ</t>
  </si>
  <si>
    <t>RotS</t>
  </si>
  <si>
    <t>S24</t>
  </si>
  <si>
    <t>CH4</t>
  </si>
  <si>
    <t>FS7</t>
  </si>
  <si>
    <t>I1,I2,I3,…./ (m=infini, n=0)</t>
  </si>
  <si>
    <t>D2</t>
  </si>
  <si>
    <t>Done</t>
  </si>
  <si>
    <t>v6</t>
  </si>
  <si>
    <t>Elastic (coulomb scattering on Nuclei)</t>
  </si>
  <si>
    <t>S.Y. Lee, Accelerator Physics, World Scientific, 1999</t>
  </si>
  <si>
    <t>Ex</t>
  </si>
  <si>
    <t>Average Pressure [Tor]</t>
  </si>
  <si>
    <t>1/R = c / (d+s)^w</t>
  </si>
  <si>
    <t>Number of Electrons per bunch</t>
  </si>
  <si>
    <t>A6</t>
  </si>
  <si>
    <t>Params</t>
  </si>
  <si>
    <t>Rot. Long</t>
  </si>
  <si>
    <t>calcul IBS a la Litvinienko &amp; Leduff ( p 5-15 CDR NSLS)</t>
  </si>
  <si>
    <t>Tracking</t>
  </si>
  <si>
    <t>SS6U</t>
  </si>
  <si>
    <t>S23</t>
  </si>
  <si>
    <t>Essential Sheets Table and its dependent</t>
  </si>
  <si>
    <t>LAST</t>
  </si>
  <si>
    <t>ThinSMPolePass</t>
  </si>
  <si>
    <t>Q3D</t>
  </si>
  <si>
    <t>MBC</t>
  </si>
  <si>
    <t>D5B</t>
  </si>
  <si>
    <t>S2D</t>
  </si>
  <si>
    <t>D6B</t>
  </si>
  <si>
    <t>D4A</t>
  </si>
  <si>
    <t>MBE</t>
  </si>
  <si>
    <t>Q2AD</t>
  </si>
  <si>
    <t>D3A</t>
  </si>
  <si>
    <t>nombetaz3</t>
  </si>
  <si>
    <t>N24/C14</t>
  </si>
  <si>
    <t>Dispp</t>
  </si>
  <si>
    <t>Coupling</t>
  </si>
  <si>
    <t>CV5</t>
  </si>
  <si>
    <t>L5</t>
  </si>
  <si>
    <t>selected</t>
  </si>
  <si>
    <t>Frequency analysis is based on the NAFF method</t>
  </si>
  <si>
    <t>Av Field [T]</t>
  </si>
  <si>
    <t>dNux</t>
  </si>
  <si>
    <t>dNuz</t>
  </si>
  <si>
    <t>StrMPoleSymplectic4Pass</t>
  </si>
  <si>
    <t>H = [ D^2+(b D'-b' D/2)^2]/ b</t>
  </si>
  <si>
    <t>clairement l'optique theorique est faite pour minimiser les tailles  sur  la fente</t>
  </si>
  <si>
    <t>Rien de fait</t>
  </si>
  <si>
    <t>transfer</t>
  </si>
  <si>
    <t>Ph. Acc.</t>
  </si>
  <si>
    <t>Pot Well Distortion (PWD)  see Zotter Handbook of Accelerator Physics and Engineering p 117</t>
  </si>
  <si>
    <t>SX44</t>
  </si>
  <si>
    <t>SDAC</t>
  </si>
  <si>
    <t>dx/dy</t>
  </si>
  <si>
    <t>SLIT</t>
  </si>
  <si>
    <t>SX5</t>
  </si>
  <si>
    <t>Horizontal damping Time</t>
  </si>
  <si>
    <t>Disp [m]</t>
  </si>
  <si>
    <t>K1</t>
  </si>
  <si>
    <t>SS2</t>
  </si>
  <si>
    <t>rms Bunch Length  [mm]</t>
  </si>
  <si>
    <t>Tool -&gt; reference</t>
  </si>
  <si>
    <t>Energy Acceptance not due to RF  [%]</t>
  </si>
  <si>
    <t>Papers</t>
  </si>
  <si>
    <t>QP8</t>
  </si>
  <si>
    <t>COIE1</t>
  </si>
  <si>
    <t>Edge</t>
  </si>
  <si>
    <t>SD4</t>
  </si>
  <si>
    <t>Maximum</t>
  </si>
  <si>
    <t>S.Y. Lee, Accelerator Physics, World Scientific</t>
  </si>
  <si>
    <t>From Table</t>
  </si>
  <si>
    <t>The data should appear in the 1st column of the file only</t>
  </si>
  <si>
    <t>Deeper analysis  by Fang et al., PAC-95,p 3064, KEK-PREPRINT 94-190, KEK-PREPRINT 90-10</t>
  </si>
  <si>
    <t>S73</t>
  </si>
  <si>
    <t>N20/C30</t>
  </si>
  <si>
    <t>N13/C31</t>
  </si>
  <si>
    <t>N13/C8</t>
  </si>
  <si>
    <t>N13/C9</t>
  </si>
  <si>
    <t>Entrance Dipole</t>
  </si>
  <si>
    <t>Lifetime[h] with IBS</t>
  </si>
  <si>
    <t>Ts</t>
  </si>
  <si>
    <t>Betax Max</t>
  </si>
  <si>
    <t>S5</t>
  </si>
  <si>
    <t>SigE/E</t>
  </si>
  <si>
    <t xml:space="preserve">Non Linear Optics </t>
  </si>
  <si>
    <t>Z'</t>
  </si>
  <si>
    <t>L_ID</t>
  </si>
  <si>
    <t>QP2</t>
  </si>
  <si>
    <t>Le point d'entre de SE2 est a 500 mm downstream du milieu de QD1 du booster</t>
  </si>
  <si>
    <t>Use the button "Import from BETA"</t>
  </si>
  <si>
    <t>Tune Shifts vs Betatron Invariants</t>
  </si>
  <si>
    <t>ACO</t>
  </si>
  <si>
    <t>RF Voltage</t>
  </si>
  <si>
    <t>L7</t>
  </si>
  <si>
    <t>&lt; D' &gt;</t>
  </si>
  <si>
    <t>Problem with Comments</t>
  </si>
  <si>
    <t>Vertical amplitude</t>
  </si>
  <si>
    <t>Type</t>
  </si>
  <si>
    <t>/period</t>
  </si>
  <si>
    <t>Effective</t>
  </si>
  <si>
    <t>Accord avec la formule de Bassetti,</t>
  </si>
  <si>
    <t>Inta Beam Scattering (IBS)</t>
  </si>
  <si>
    <t>sin µ</t>
  </si>
  <si>
    <t>EmitX</t>
  </si>
  <si>
    <t>Method</t>
  </si>
  <si>
    <t>Tot Angle</t>
  </si>
  <si>
    <t>Z21</t>
  </si>
  <si>
    <t>bz2.5</t>
  </si>
  <si>
    <t>K = dB/dx 1/B/R</t>
  </si>
  <si>
    <t>2Nx</t>
  </si>
  <si>
    <t>Jx</t>
  </si>
  <si>
    <t>h invariant</t>
  </si>
  <si>
    <t>v invariant</t>
  </si>
  <si>
    <t>Perimeter</t>
  </si>
  <si>
    <t>Sext</t>
  </si>
  <si>
    <t>Synchrotron Frequency</t>
  </si>
  <si>
    <t>[%]</t>
  </si>
  <si>
    <t>FS2</t>
  </si>
  <si>
    <t>in the "Project" window, highlight "ExcelOptics(xloptics.xla)"</t>
  </si>
  <si>
    <t>Rot. Vert</t>
  </si>
  <si>
    <t>dNuxdJx</t>
  </si>
  <si>
    <t>SBend</t>
  </si>
  <si>
    <t>SS4D</t>
  </si>
  <si>
    <t>AperturePass</t>
  </si>
  <si>
    <t>ThinCorrectorPass</t>
  </si>
  <si>
    <t>Relaxation  (for stationary IBS,  avoid changing)</t>
  </si>
  <si>
    <t>Iteration #</t>
  </si>
  <si>
    <t>D28</t>
  </si>
  <si>
    <t>D''+Kx D = 1/R</t>
  </si>
  <si>
    <t>S15</t>
  </si>
  <si>
    <t>S66</t>
  </si>
  <si>
    <t>Based on   Wiedeman  Vol  II p 329 (idem Bruck p305 )</t>
  </si>
  <si>
    <t>D11</t>
  </si>
  <si>
    <t>S20</t>
  </si>
  <si>
    <t>Sextu</t>
  </si>
  <si>
    <t>Name</t>
  </si>
  <si>
    <t>N4/C4</t>
  </si>
  <si>
    <t>N24/C7</t>
  </si>
  <si>
    <t>dNuz/d(gz z z+2az z zp+ßz zp zp) [mm-1]</t>
  </si>
  <si>
    <t>alphaz</t>
  </si>
  <si>
    <t>z</t>
  </si>
  <si>
    <t>nu0-nu</t>
  </si>
  <si>
    <t>Z22</t>
  </si>
  <si>
    <t>emitt [nm]</t>
  </si>
  <si>
    <t>QF8</t>
  </si>
  <si>
    <t>D43</t>
  </si>
  <si>
    <t>SF4</t>
  </si>
  <si>
    <t>Inelastic (Bremstrahlung on Nuclei)</t>
  </si>
  <si>
    <t>One may want to increase the precision by integrating analytically the inverse of beam size in each components</t>
  </si>
  <si>
    <t>Mininimum Vertical Emittance from Synchrotron Radiation Divergence</t>
  </si>
  <si>
    <t>QF6</t>
  </si>
  <si>
    <t>D27</t>
  </si>
  <si>
    <t>&lt; ßx.D &gt;</t>
  </si>
  <si>
    <t>&lt; ßz.D &gt;</t>
  </si>
  <si>
    <r>
      <t xml:space="preserve">&lt; </t>
    </r>
    <r>
      <rPr>
        <sz val="12"/>
        <color indexed="8"/>
        <rFont val="Symbol"/>
        <family val="1"/>
      </rPr>
      <t>g</t>
    </r>
    <r>
      <rPr>
        <sz val="12"/>
        <color indexed="0"/>
        <rFont val="Geneva"/>
        <family val="2"/>
      </rPr>
      <t>z.D &gt;</t>
    </r>
  </si>
  <si>
    <t>D26</t>
  </si>
  <si>
    <t>L3</t>
  </si>
  <si>
    <t>S2</t>
  </si>
  <si>
    <t>http://accelconf.web.cern.ch/AccelConf/e96/PAPERS/WEPG/WEP038G.PDF</t>
  </si>
  <si>
    <t>Potential Well Distortion &amp; Microwave Instability</t>
  </si>
  <si>
    <t>3Nx</t>
  </si>
  <si>
    <t>To save time, the tracking is inactive by default.</t>
  </si>
  <si>
    <t>to see the comment : Right button-&gt;Edit comment  and resize by hand</t>
  </si>
  <si>
    <t>[]</t>
  </si>
  <si>
    <t>Longitudinal  Damping Time [ms]</t>
  </si>
  <si>
    <t>SX6</t>
  </si>
  <si>
    <t>Table</t>
  </si>
  <si>
    <t xml:space="preserve"> </t>
  </si>
  <si>
    <t>J.B. Murphy et al., Phys. Rev. Lett 84, p5516 (2000)</t>
  </si>
  <si>
    <t>Longitudinal Damping Time/Diffusion Time</t>
  </si>
  <si>
    <t>S57</t>
  </si>
  <si>
    <t>X16</t>
  </si>
  <si>
    <t>1/&lt;1/sigx&gt;</t>
  </si>
  <si>
    <t>Sig'Z</t>
  </si>
  <si>
    <t>superperiods</t>
  </si>
  <si>
    <t xml:space="preserve">Rms </t>
  </si>
  <si>
    <t>Horizontal   Damping Time [ms]</t>
  </si>
  <si>
    <t>See Raubenheimer  p19-20</t>
  </si>
  <si>
    <t>Transverse Mode Coupling Instability</t>
  </si>
  <si>
    <t>Internal Diameter of chamber 36 mm from beginning to S64</t>
  </si>
  <si>
    <t>TITLE</t>
  </si>
  <si>
    <t>Dipole definition</t>
  </si>
  <si>
    <t>SextD</t>
  </si>
  <si>
    <t>S22</t>
  </si>
  <si>
    <t>nux/cell</t>
  </si>
  <si>
    <t>Energy [GeV]</t>
  </si>
  <si>
    <t>SS2D</t>
  </si>
  <si>
    <t>CH3</t>
  </si>
  <si>
    <t>CAV</t>
  </si>
  <si>
    <t>Cav</t>
  </si>
  <si>
    <t>ThinCavityPass</t>
  </si>
  <si>
    <t>f0</t>
  </si>
  <si>
    <t>BndMPoleSymplectic4RadPass</t>
  </si>
  <si>
    <t>cav</t>
  </si>
  <si>
    <t>symmetry</t>
  </si>
  <si>
    <t>xtune:</t>
  </si>
  <si>
    <t>QuadMPoleFringePass</t>
  </si>
  <si>
    <t>Zimmerman Tune Shift</t>
  </si>
  <si>
    <t>http://www-mucool.fnal.gov/mcnotes/public/pdf/muc0094/muc0094.pdf</t>
  </si>
</sst>
</file>

<file path=xl/styles.xml><?xml version="1.0" encoding="utf-8"?>
<styleSheet xmlns="http://schemas.openxmlformats.org/spreadsheetml/2006/main">
  <numFmts count="8">
    <numFmt numFmtId="164" formatCode="0.0000"/>
    <numFmt numFmtId="165" formatCode="0.000"/>
    <numFmt numFmtId="166" formatCode="0.0"/>
    <numFmt numFmtId="167" formatCode="0.00000"/>
    <numFmt numFmtId="168" formatCode="0.0E+00"/>
    <numFmt numFmtId="169" formatCode="#,##0.0000_€"/>
    <numFmt numFmtId="170" formatCode="\(0\)"/>
    <numFmt numFmtId="171" formatCode="0.0000E+00"/>
  </numFmts>
  <fonts count="43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Geneva"/>
      <family val="2"/>
    </font>
    <font>
      <u/>
      <sz val="10"/>
      <color indexed="12"/>
      <name val="Geneva"/>
      <family val="2"/>
    </font>
    <font>
      <i/>
      <sz val="9"/>
      <name val="Geneva"/>
      <family val="2"/>
    </font>
    <font>
      <sz val="12"/>
      <name val="Geneva"/>
      <family val="2"/>
    </font>
    <font>
      <i/>
      <sz val="12"/>
      <name val="Geneva"/>
      <family val="2"/>
    </font>
    <font>
      <sz val="12"/>
      <color indexed="0"/>
      <name val="Geneva"/>
      <family val="2"/>
    </font>
    <font>
      <sz val="12"/>
      <color indexed="8"/>
      <name val="Symbol"/>
      <family val="1"/>
    </font>
    <font>
      <i/>
      <sz val="12"/>
      <color indexed="0"/>
      <name val="Geneva"/>
      <family val="2"/>
    </font>
    <font>
      <sz val="12"/>
      <color indexed="10"/>
      <name val="Geneva"/>
      <family val="2"/>
    </font>
    <font>
      <i/>
      <sz val="12"/>
      <color indexed="10"/>
      <name val="Geneva"/>
      <family val="2"/>
    </font>
    <font>
      <sz val="12"/>
      <color indexed="11"/>
      <name val="Geneva"/>
      <family val="2"/>
    </font>
    <font>
      <i/>
      <sz val="12"/>
      <color indexed="11"/>
      <name val="Geneva"/>
      <family val="2"/>
    </font>
    <font>
      <sz val="12"/>
      <color indexed="56"/>
      <name val="Geneva"/>
      <family val="2"/>
    </font>
    <font>
      <i/>
      <sz val="12"/>
      <color indexed="56"/>
      <name val="Geneva"/>
      <family val="2"/>
    </font>
    <font>
      <b/>
      <sz val="12"/>
      <name val="Geneva"/>
      <family val="2"/>
    </font>
    <font>
      <sz val="12"/>
      <color indexed="8"/>
      <name val="Geneva"/>
      <family val="2"/>
    </font>
    <font>
      <sz val="12"/>
      <color indexed="50"/>
      <name val="Geneva"/>
      <family val="2"/>
    </font>
    <font>
      <i/>
      <sz val="12"/>
      <color indexed="50"/>
      <name val="Geneva"/>
      <family val="2"/>
    </font>
    <font>
      <sz val="12"/>
      <color indexed="61"/>
      <name val="Geneva"/>
      <family val="2"/>
    </font>
    <font>
      <i/>
      <sz val="12"/>
      <color indexed="61"/>
      <name val="Geneva"/>
      <family val="2"/>
    </font>
    <font>
      <sz val="12"/>
      <color indexed="14"/>
      <name val="Geneva"/>
      <family val="2"/>
    </font>
    <font>
      <i/>
      <sz val="12"/>
      <color indexed="14"/>
      <name val="Geneva"/>
      <family val="2"/>
    </font>
    <font>
      <b/>
      <sz val="9"/>
      <color indexed="81"/>
      <name val="Verdana"/>
      <family val="2"/>
    </font>
    <font>
      <b/>
      <sz val="8"/>
      <color indexed="81"/>
      <name val="Tahoma"/>
      <family val="2"/>
    </font>
    <font>
      <sz val="9"/>
      <color indexed="81"/>
      <name val="Verdana"/>
      <family val="2"/>
    </font>
    <font>
      <sz val="12"/>
      <color indexed="56"/>
      <name val="Helv"/>
    </font>
    <font>
      <sz val="8"/>
      <color indexed="81"/>
      <name val="Tahoma"/>
      <family val="2"/>
    </font>
    <font>
      <sz val="10"/>
      <color indexed="0"/>
      <name val="Arial"/>
      <family val="2"/>
    </font>
    <font>
      <sz val="10"/>
      <name val="Arial"/>
      <family val="2"/>
    </font>
    <font>
      <sz val="12"/>
      <color indexed="0"/>
      <name val="Symbol"/>
      <family val="1"/>
    </font>
    <font>
      <sz val="12"/>
      <name val="Symbol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u/>
      <sz val="12"/>
      <color indexed="12"/>
      <name val="Geneva"/>
      <family val="2"/>
    </font>
    <font>
      <b/>
      <sz val="12"/>
      <color indexed="8"/>
      <name val="Geneva"/>
      <family val="2"/>
    </font>
    <font>
      <sz val="10"/>
      <name val="Geneva"/>
      <family val="2"/>
    </font>
    <font>
      <sz val="8"/>
      <name val="Verdana"/>
      <family val="2"/>
    </font>
    <font>
      <b/>
      <sz val="12"/>
      <name val="Arial"/>
      <family val="2"/>
    </font>
    <font>
      <sz val="10"/>
      <name val="Verdana"/>
      <family val="2"/>
    </font>
    <font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mediumGray"/>
    </fill>
    <fill>
      <patternFill patternType="solid">
        <fgColor indexed="9"/>
        <bgColor indexed="8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41" fillId="0" borderId="0"/>
    <xf numFmtId="0" fontId="3" fillId="0" borderId="0"/>
    <xf numFmtId="0" fontId="1" fillId="0" borderId="0"/>
  </cellStyleXfs>
  <cellXfs count="564">
    <xf numFmtId="0" fontId="0" fillId="0" borderId="0" xfId="0"/>
    <xf numFmtId="0" fontId="6" fillId="2" borderId="0" xfId="3" applyFont="1" applyFill="1" applyBorder="1" applyAlignment="1" applyProtection="1">
      <alignment horizontal="left"/>
    </xf>
    <xf numFmtId="0" fontId="6" fillId="2" borderId="0" xfId="3" applyFont="1" applyFill="1" applyBorder="1" applyProtection="1"/>
    <xf numFmtId="165" fontId="6" fillId="2" borderId="0" xfId="3" applyNumberFormat="1" applyFont="1" applyFill="1" applyBorder="1" applyAlignment="1" applyProtection="1">
      <alignment horizontal="center"/>
    </xf>
    <xf numFmtId="0" fontId="7" fillId="2" borderId="0" xfId="3" applyFont="1" applyFill="1" applyBorder="1" applyProtection="1"/>
    <xf numFmtId="2" fontId="6" fillId="2" borderId="0" xfId="3" applyNumberFormat="1" applyFont="1" applyFill="1" applyBorder="1" applyAlignment="1" applyProtection="1">
      <alignment horizontal="center"/>
    </xf>
    <xf numFmtId="2" fontId="6" fillId="2" borderId="0" xfId="3" applyNumberFormat="1" applyFont="1" applyFill="1" applyBorder="1" applyProtection="1"/>
    <xf numFmtId="0" fontId="6" fillId="3" borderId="0" xfId="3" applyFont="1" applyFill="1" applyBorder="1" applyProtection="1"/>
    <xf numFmtId="0" fontId="8" fillId="3" borderId="0" xfId="3" applyFont="1" applyFill="1" applyBorder="1" applyAlignment="1" applyProtection="1">
      <alignment horizontal="center"/>
    </xf>
    <xf numFmtId="0" fontId="8" fillId="3" borderId="1" xfId="3" applyFont="1" applyFill="1" applyBorder="1" applyAlignment="1" applyProtection="1">
      <alignment horizontal="center"/>
    </xf>
    <xf numFmtId="0" fontId="8" fillId="3" borderId="2" xfId="3" applyFont="1" applyFill="1" applyBorder="1" applyAlignment="1" applyProtection="1">
      <alignment horizontal="center"/>
    </xf>
    <xf numFmtId="0" fontId="8" fillId="3" borderId="3" xfId="3" applyFont="1" applyFill="1" applyBorder="1" applyAlignment="1" applyProtection="1">
      <alignment horizontal="center"/>
    </xf>
    <xf numFmtId="0" fontId="8" fillId="3" borderId="0" xfId="3" applyFont="1" applyFill="1" applyBorder="1" applyAlignment="1" applyProtection="1">
      <alignment horizontal="center"/>
      <protection locked="0"/>
    </xf>
    <xf numFmtId="0" fontId="8" fillId="3" borderId="4" xfId="3" applyFont="1" applyFill="1" applyBorder="1" applyAlignment="1" applyProtection="1">
      <alignment horizontal="left"/>
      <protection locked="0"/>
    </xf>
    <xf numFmtId="0" fontId="8" fillId="3" borderId="5" xfId="3" applyFont="1" applyFill="1" applyBorder="1" applyAlignment="1" applyProtection="1">
      <alignment horizontal="left"/>
    </xf>
    <xf numFmtId="0" fontId="8" fillId="3" borderId="5" xfId="3" applyFont="1" applyFill="1" applyBorder="1" applyAlignment="1" applyProtection="1">
      <alignment horizontal="center"/>
      <protection locked="0"/>
    </xf>
    <xf numFmtId="0" fontId="8" fillId="3" borderId="6" xfId="3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>
      <alignment horizontal="left"/>
    </xf>
    <xf numFmtId="0" fontId="9" fillId="3" borderId="0" xfId="3" applyFont="1" applyFill="1" applyBorder="1" applyAlignment="1" applyProtection="1">
      <alignment horizontal="center"/>
    </xf>
    <xf numFmtId="49" fontId="8" fillId="3" borderId="0" xfId="3" applyNumberFormat="1" applyFont="1" applyFill="1" applyBorder="1" applyAlignment="1" applyProtection="1">
      <alignment horizontal="center"/>
    </xf>
    <xf numFmtId="0" fontId="8" fillId="3" borderId="7" xfId="3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/>
    <xf numFmtId="0" fontId="6" fillId="3" borderId="8" xfId="3" applyFont="1" applyFill="1" applyBorder="1" applyAlignment="1" applyProtection="1">
      <alignment horizontal="center"/>
      <protection locked="0"/>
    </xf>
    <xf numFmtId="0" fontId="8" fillId="3" borderId="1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>
      <alignment horizontal="left"/>
    </xf>
    <xf numFmtId="165" fontId="8" fillId="3" borderId="0" xfId="3" applyNumberFormat="1" applyFont="1" applyFill="1" applyBorder="1" applyAlignment="1" applyProtection="1">
      <alignment horizontal="left"/>
    </xf>
    <xf numFmtId="0" fontId="6" fillId="3" borderId="0" xfId="3" applyFont="1" applyFill="1" applyBorder="1" applyAlignment="1" applyProtection="1">
      <alignment horizontal="left"/>
      <protection locked="0"/>
    </xf>
    <xf numFmtId="165" fontId="8" fillId="3" borderId="0" xfId="3" applyNumberFormat="1" applyFont="1" applyFill="1" applyBorder="1" applyAlignment="1" applyProtection="1">
      <alignment horizontal="center"/>
      <protection locked="0"/>
    </xf>
    <xf numFmtId="2" fontId="8" fillId="3" borderId="0" xfId="3" applyNumberFormat="1" applyFont="1" applyFill="1" applyBorder="1" applyAlignment="1" applyProtection="1">
      <alignment horizontal="center"/>
    </xf>
    <xf numFmtId="0" fontId="6" fillId="3" borderId="0" xfId="3" applyFont="1" applyFill="1" applyBorder="1" applyAlignment="1" applyProtection="1">
      <alignment horizontal="center"/>
    </xf>
    <xf numFmtId="0" fontId="6" fillId="3" borderId="0" xfId="3" applyFont="1" applyFill="1" applyBorder="1" applyProtection="1">
      <protection locked="0"/>
    </xf>
    <xf numFmtId="165" fontId="8" fillId="3" borderId="0" xfId="3" applyNumberFormat="1" applyFont="1" applyFill="1" applyBorder="1" applyAlignment="1" applyProtection="1">
      <alignment horizontal="center"/>
    </xf>
    <xf numFmtId="11" fontId="8" fillId="3" borderId="0" xfId="3" applyNumberFormat="1" applyFont="1" applyFill="1" applyBorder="1" applyAlignment="1" applyProtection="1">
      <alignment horizontal="center"/>
    </xf>
    <xf numFmtId="0" fontId="8" fillId="3" borderId="0" xfId="3" applyNumberFormat="1" applyFont="1" applyFill="1" applyBorder="1" applyAlignment="1" applyProtection="1">
      <alignment horizontal="center"/>
    </xf>
    <xf numFmtId="2" fontId="10" fillId="3" borderId="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Protection="1"/>
    <xf numFmtId="0" fontId="6" fillId="3" borderId="7" xfId="3" applyFont="1" applyFill="1" applyBorder="1" applyAlignment="1" applyProtection="1">
      <alignment horizontal="center"/>
      <protection locked="0"/>
    </xf>
    <xf numFmtId="0" fontId="6" fillId="3" borderId="0" xfId="3" applyFont="1" applyFill="1" applyBorder="1" applyAlignment="1" applyProtection="1"/>
    <xf numFmtId="0" fontId="11" fillId="3" borderId="0" xfId="3" applyFont="1" applyFill="1" applyBorder="1" applyProtection="1">
      <protection locked="0"/>
    </xf>
    <xf numFmtId="2" fontId="11" fillId="3" borderId="7" xfId="3" applyNumberFormat="1" applyFont="1" applyFill="1" applyBorder="1" applyAlignment="1" applyProtection="1">
      <alignment horizontal="center"/>
      <protection locked="0"/>
    </xf>
    <xf numFmtId="0" fontId="11" fillId="3" borderId="0" xfId="3" applyFont="1" applyFill="1" applyBorder="1" applyAlignment="1" applyProtection="1">
      <alignment horizontal="left"/>
    </xf>
    <xf numFmtId="0" fontId="11" fillId="3" borderId="0" xfId="3" applyFont="1" applyFill="1" applyBorder="1" applyProtection="1"/>
    <xf numFmtId="0" fontId="11" fillId="3" borderId="0" xfId="3" applyNumberFormat="1" applyFont="1" applyFill="1" applyBorder="1" applyAlignment="1" applyProtection="1"/>
    <xf numFmtId="165" fontId="11" fillId="3" borderId="0" xfId="3" applyNumberFormat="1" applyFont="1" applyFill="1" applyBorder="1" applyAlignment="1" applyProtection="1">
      <alignment horizontal="center"/>
    </xf>
    <xf numFmtId="2" fontId="11" fillId="3" borderId="0" xfId="3" applyNumberFormat="1" applyFont="1" applyFill="1" applyBorder="1" applyAlignment="1" applyProtection="1">
      <alignment horizontal="center"/>
    </xf>
    <xf numFmtId="11" fontId="11" fillId="3" borderId="0" xfId="3" applyNumberFormat="1" applyFont="1" applyFill="1" applyBorder="1" applyAlignment="1" applyProtection="1">
      <alignment horizontal="center"/>
    </xf>
    <xf numFmtId="0" fontId="11" fillId="3" borderId="0" xfId="3" applyNumberFormat="1" applyFont="1" applyFill="1" applyBorder="1" applyAlignment="1" applyProtection="1">
      <alignment horizontal="center"/>
    </xf>
    <xf numFmtId="2" fontId="12" fillId="3" borderId="0" xfId="3" applyNumberFormat="1" applyFont="1" applyFill="1" applyBorder="1" applyAlignment="1" applyProtection="1">
      <alignment horizontal="center"/>
    </xf>
    <xf numFmtId="0" fontId="11" fillId="3" borderId="0" xfId="3" applyFont="1" applyFill="1" applyBorder="1" applyAlignment="1" applyProtection="1">
      <alignment horizontal="center"/>
    </xf>
    <xf numFmtId="2" fontId="11" fillId="3" borderId="0" xfId="3" applyNumberFormat="1" applyFont="1" applyFill="1" applyBorder="1" applyProtection="1"/>
    <xf numFmtId="0" fontId="13" fillId="3" borderId="0" xfId="3" applyFont="1" applyFill="1" applyBorder="1" applyProtection="1">
      <protection locked="0"/>
    </xf>
    <xf numFmtId="0" fontId="13" fillId="3" borderId="7" xfId="3" applyFont="1" applyFill="1" applyBorder="1" applyAlignment="1" applyProtection="1">
      <alignment horizontal="center"/>
      <protection locked="0"/>
    </xf>
    <xf numFmtId="0" fontId="13" fillId="3" borderId="0" xfId="3" applyFont="1" applyFill="1" applyBorder="1" applyAlignment="1" applyProtection="1">
      <alignment horizontal="left"/>
    </xf>
    <xf numFmtId="0" fontId="13" fillId="3" borderId="0" xfId="3" applyFont="1" applyFill="1" applyBorder="1" applyProtection="1"/>
    <xf numFmtId="165" fontId="13" fillId="3" borderId="0" xfId="3" applyNumberFormat="1" applyFont="1" applyFill="1" applyBorder="1" applyAlignment="1" applyProtection="1"/>
    <xf numFmtId="165" fontId="13" fillId="3" borderId="0" xfId="3" applyNumberFormat="1" applyFont="1" applyFill="1" applyBorder="1" applyAlignment="1" applyProtection="1">
      <alignment horizontal="center"/>
    </xf>
    <xf numFmtId="2" fontId="13" fillId="3" borderId="0" xfId="3" applyNumberFormat="1" applyFont="1" applyFill="1" applyBorder="1" applyAlignment="1" applyProtection="1">
      <alignment horizontal="center"/>
    </xf>
    <xf numFmtId="11" fontId="13" fillId="3" borderId="0" xfId="3" applyNumberFormat="1" applyFont="1" applyFill="1" applyBorder="1" applyAlignment="1" applyProtection="1">
      <alignment horizontal="center"/>
    </xf>
    <xf numFmtId="0" fontId="13" fillId="3" borderId="0" xfId="3" applyNumberFormat="1" applyFont="1" applyFill="1" applyBorder="1" applyAlignment="1" applyProtection="1">
      <alignment horizontal="center"/>
    </xf>
    <xf numFmtId="2" fontId="14" fillId="3" borderId="0" xfId="3" applyNumberFormat="1" applyFont="1" applyFill="1" applyBorder="1" applyAlignment="1" applyProtection="1">
      <alignment horizontal="center"/>
    </xf>
    <xf numFmtId="0" fontId="13" fillId="3" borderId="0" xfId="3" applyFont="1" applyFill="1" applyBorder="1" applyAlignment="1" applyProtection="1">
      <alignment horizontal="center"/>
    </xf>
    <xf numFmtId="2" fontId="13" fillId="3" borderId="0" xfId="3" applyNumberFormat="1" applyFont="1" applyFill="1" applyBorder="1" applyProtection="1"/>
    <xf numFmtId="0" fontId="15" fillId="3" borderId="0" xfId="3" applyFont="1" applyFill="1" applyBorder="1" applyProtection="1">
      <protection locked="0"/>
    </xf>
    <xf numFmtId="2" fontId="15" fillId="3" borderId="7" xfId="3" applyNumberFormat="1" applyFont="1" applyFill="1" applyBorder="1" applyAlignment="1" applyProtection="1">
      <alignment horizontal="center"/>
      <protection locked="0"/>
    </xf>
    <xf numFmtId="0" fontId="15" fillId="3" borderId="0" xfId="3" applyFont="1" applyFill="1" applyBorder="1" applyAlignment="1" applyProtection="1">
      <alignment horizontal="left"/>
    </xf>
    <xf numFmtId="165" fontId="15" fillId="3" borderId="8" xfId="3" applyNumberFormat="1" applyFont="1" applyFill="1" applyBorder="1" applyAlignment="1" applyProtection="1">
      <alignment horizontal="center"/>
      <protection locked="0"/>
    </xf>
    <xf numFmtId="165" fontId="15" fillId="3" borderId="9" xfId="3" applyNumberFormat="1" applyFont="1" applyFill="1" applyBorder="1" applyAlignment="1" applyProtection="1">
      <alignment horizontal="center"/>
      <protection locked="0"/>
    </xf>
    <xf numFmtId="0" fontId="15" fillId="3" borderId="0" xfId="3" applyFont="1" applyFill="1" applyBorder="1" applyProtection="1"/>
    <xf numFmtId="165" fontId="15" fillId="3" borderId="0" xfId="3" applyNumberFormat="1" applyFont="1" applyFill="1" applyBorder="1" applyAlignment="1" applyProtection="1">
      <alignment horizontal="center"/>
    </xf>
    <xf numFmtId="2" fontId="15" fillId="3" borderId="0" xfId="3" applyNumberFormat="1" applyFont="1" applyFill="1" applyBorder="1" applyAlignment="1" applyProtection="1">
      <alignment horizontal="center"/>
    </xf>
    <xf numFmtId="11" fontId="15" fillId="3" borderId="0" xfId="3" applyNumberFormat="1" applyFont="1" applyFill="1" applyBorder="1" applyAlignment="1" applyProtection="1">
      <alignment horizontal="center"/>
    </xf>
    <xf numFmtId="0" fontId="15" fillId="3" borderId="0" xfId="3" applyNumberFormat="1" applyFont="1" applyFill="1" applyBorder="1" applyAlignment="1" applyProtection="1">
      <alignment horizontal="center"/>
    </xf>
    <xf numFmtId="2" fontId="16" fillId="3" borderId="0" xfId="3" applyNumberFormat="1" applyFont="1" applyFill="1" applyBorder="1" applyAlignment="1" applyProtection="1">
      <alignment horizontal="center"/>
    </xf>
    <xf numFmtId="0" fontId="15" fillId="3" borderId="0" xfId="3" applyFont="1" applyFill="1" applyBorder="1" applyAlignment="1" applyProtection="1">
      <alignment horizontal="center"/>
    </xf>
    <xf numFmtId="2" fontId="15" fillId="3" borderId="0" xfId="3" applyNumberFormat="1" applyFont="1" applyFill="1" applyBorder="1" applyProtection="1"/>
    <xf numFmtId="0" fontId="15" fillId="3" borderId="7" xfId="3" applyFont="1" applyFill="1" applyBorder="1" applyAlignment="1" applyProtection="1">
      <alignment horizontal="center"/>
      <protection locked="0"/>
    </xf>
    <xf numFmtId="165" fontId="15" fillId="3" borderId="0" xfId="3" applyNumberFormat="1" applyFont="1" applyFill="1" applyBorder="1" applyAlignment="1" applyProtection="1"/>
    <xf numFmtId="0" fontId="6" fillId="3" borderId="10" xfId="3" applyFont="1" applyFill="1" applyBorder="1" applyProtection="1"/>
    <xf numFmtId="0" fontId="6" fillId="3" borderId="2" xfId="3" applyFont="1" applyFill="1" applyBorder="1" applyProtection="1"/>
    <xf numFmtId="165" fontId="8" fillId="3" borderId="2" xfId="3" applyNumberFormat="1" applyFont="1" applyFill="1" applyBorder="1" applyAlignment="1" applyProtection="1">
      <alignment horizontal="left"/>
    </xf>
    <xf numFmtId="165" fontId="8" fillId="3" borderId="2" xfId="3" applyNumberFormat="1" applyFont="1" applyFill="1" applyBorder="1" applyAlignment="1" applyProtection="1">
      <alignment horizontal="center"/>
    </xf>
    <xf numFmtId="0" fontId="6" fillId="3" borderId="3" xfId="3" applyFont="1" applyFill="1" applyBorder="1" applyProtection="1"/>
    <xf numFmtId="165" fontId="6" fillId="3" borderId="0" xfId="3" applyNumberFormat="1" applyFont="1" applyFill="1" applyBorder="1" applyAlignment="1" applyProtection="1">
      <alignment horizontal="center"/>
      <protection locked="0"/>
    </xf>
    <xf numFmtId="2" fontId="8" fillId="3" borderId="0" xfId="3" applyNumberFormat="1" applyFont="1" applyFill="1" applyBorder="1" applyAlignment="1" applyProtection="1">
      <alignment horizontal="center"/>
      <protection locked="0"/>
    </xf>
    <xf numFmtId="0" fontId="8" fillId="3" borderId="0" xfId="3" applyNumberFormat="1" applyFont="1" applyFill="1" applyBorder="1" applyAlignment="1" applyProtection="1">
      <alignment horizontal="center"/>
      <protection locked="0"/>
    </xf>
    <xf numFmtId="2" fontId="10" fillId="3" borderId="0" xfId="3" applyNumberFormat="1" applyFont="1" applyFill="1" applyBorder="1" applyAlignment="1" applyProtection="1">
      <alignment horizontal="center"/>
      <protection locked="0"/>
    </xf>
    <xf numFmtId="0" fontId="8" fillId="3" borderId="0" xfId="3" applyFont="1" applyFill="1" applyBorder="1" applyAlignment="1" applyProtection="1">
      <alignment horizontal="left"/>
      <protection locked="0"/>
    </xf>
    <xf numFmtId="2" fontId="6" fillId="3" borderId="0" xfId="3" applyNumberFormat="1" applyFont="1" applyFill="1" applyBorder="1" applyProtection="1">
      <protection locked="0"/>
    </xf>
    <xf numFmtId="0" fontId="6" fillId="2" borderId="0" xfId="3" applyFont="1" applyFill="1" applyBorder="1" applyProtection="1">
      <protection locked="0"/>
    </xf>
    <xf numFmtId="0" fontId="6" fillId="2" borderId="0" xfId="3" applyFont="1" applyFill="1" applyBorder="1" applyAlignment="1" applyProtection="1">
      <alignment horizontal="left"/>
      <protection locked="0"/>
    </xf>
    <xf numFmtId="165" fontId="6" fillId="2" borderId="0" xfId="3" applyNumberFormat="1" applyFont="1" applyFill="1" applyBorder="1" applyAlignment="1" applyProtection="1">
      <alignment horizontal="center"/>
      <protection locked="0"/>
    </xf>
    <xf numFmtId="0" fontId="7" fillId="2" borderId="0" xfId="3" applyFont="1" applyFill="1" applyBorder="1" applyProtection="1">
      <protection locked="0"/>
    </xf>
    <xf numFmtId="0" fontId="8" fillId="3" borderId="0" xfId="3" applyFont="1" applyFill="1" applyBorder="1" applyAlignment="1" applyProtection="1">
      <protection locked="0"/>
    </xf>
    <xf numFmtId="2" fontId="6" fillId="3" borderId="0" xfId="3" applyNumberFormat="1" applyFont="1" applyFill="1" applyBorder="1" applyAlignment="1" applyProtection="1">
      <alignment horizontal="center"/>
      <protection locked="0"/>
    </xf>
    <xf numFmtId="165" fontId="6" fillId="3" borderId="0" xfId="3" applyNumberFormat="1" applyFont="1" applyFill="1" applyBorder="1" applyProtection="1">
      <protection locked="0"/>
    </xf>
    <xf numFmtId="2" fontId="8" fillId="3" borderId="0" xfId="3" applyNumberFormat="1" applyFont="1" applyFill="1" applyBorder="1" applyAlignment="1" applyProtection="1">
      <protection locked="0"/>
    </xf>
    <xf numFmtId="11" fontId="8" fillId="3" borderId="0" xfId="3" applyNumberFormat="1" applyFont="1" applyFill="1" applyBorder="1" applyAlignment="1" applyProtection="1">
      <alignment horizontal="center"/>
      <protection locked="0"/>
    </xf>
    <xf numFmtId="11" fontId="8" fillId="3" borderId="0" xfId="3" applyNumberFormat="1" applyFont="1" applyFill="1" applyBorder="1" applyAlignment="1" applyProtection="1">
      <protection locked="0"/>
    </xf>
    <xf numFmtId="165" fontId="8" fillId="3" borderId="0" xfId="3" applyNumberFormat="1" applyFont="1" applyFill="1" applyBorder="1" applyAlignment="1" applyProtection="1">
      <protection locked="0"/>
    </xf>
    <xf numFmtId="167" fontId="6" fillId="3" borderId="0" xfId="3" applyNumberFormat="1" applyFont="1" applyFill="1" applyBorder="1" applyProtection="1"/>
    <xf numFmtId="165" fontId="6" fillId="3" borderId="0" xfId="3" applyNumberFormat="1" applyFont="1" applyFill="1" applyBorder="1" applyAlignment="1" applyProtection="1">
      <alignment horizontal="center"/>
    </xf>
    <xf numFmtId="165" fontId="6" fillId="3" borderId="0" xfId="3" applyNumberFormat="1" applyFont="1" applyFill="1" applyBorder="1" applyProtection="1"/>
    <xf numFmtId="0" fontId="7" fillId="3" borderId="0" xfId="3" applyFont="1" applyFill="1" applyBorder="1" applyProtection="1"/>
    <xf numFmtId="0" fontId="17" fillId="3" borderId="0" xfId="3" applyFont="1" applyFill="1" applyBorder="1" applyAlignment="1" applyProtection="1">
      <alignment horizontal="left"/>
    </xf>
    <xf numFmtId="2" fontId="8" fillId="3" borderId="0" xfId="3" applyNumberFormat="1" applyFont="1" applyFill="1" applyBorder="1" applyAlignment="1" applyProtection="1">
      <alignment horizontal="left"/>
    </xf>
    <xf numFmtId="2" fontId="18" fillId="3" borderId="0" xfId="3" applyNumberFormat="1" applyFont="1" applyFill="1" applyBorder="1" applyAlignment="1" applyProtection="1">
      <alignment horizontal="center"/>
    </xf>
    <xf numFmtId="166" fontId="6" fillId="3" borderId="0" xfId="3" applyNumberFormat="1" applyFont="1" applyFill="1" applyBorder="1" applyAlignment="1" applyProtection="1">
      <alignment horizontal="center"/>
    </xf>
    <xf numFmtId="0" fontId="17" fillId="3" borderId="0" xfId="3" applyFont="1" applyFill="1" applyBorder="1" applyAlignment="1" applyProtection="1"/>
    <xf numFmtId="0" fontId="6" fillId="3" borderId="8" xfId="3" applyFont="1" applyFill="1" applyBorder="1" applyAlignment="1" applyProtection="1">
      <alignment horizontal="center"/>
    </xf>
    <xf numFmtId="0" fontId="18" fillId="3" borderId="0" xfId="3" applyFont="1" applyFill="1" applyBorder="1" applyAlignment="1" applyProtection="1">
      <alignment horizontal="left"/>
    </xf>
    <xf numFmtId="11" fontId="18" fillId="3" borderId="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Alignment="1" applyProtection="1">
      <alignment horizontal="center"/>
    </xf>
    <xf numFmtId="168" fontId="8" fillId="3" borderId="0" xfId="3" applyNumberFormat="1" applyFont="1" applyFill="1" applyBorder="1" applyAlignment="1" applyProtection="1">
      <alignment horizontal="center"/>
    </xf>
    <xf numFmtId="168" fontId="6" fillId="3" borderId="8" xfId="3" applyNumberFormat="1" applyFont="1" applyFill="1" applyBorder="1" applyAlignment="1" applyProtection="1">
      <alignment horizontal="center"/>
    </xf>
    <xf numFmtId="0" fontId="6" fillId="3" borderId="8" xfId="3" applyNumberFormat="1" applyFont="1" applyFill="1" applyBorder="1" applyAlignment="1" applyProtection="1">
      <alignment horizontal="center"/>
    </xf>
    <xf numFmtId="166" fontId="6" fillId="3" borderId="8" xfId="3" applyNumberFormat="1" applyFont="1" applyFill="1" applyBorder="1" applyAlignment="1" applyProtection="1">
      <alignment horizontal="center"/>
    </xf>
    <xf numFmtId="166" fontId="8" fillId="3" borderId="0" xfId="3" applyNumberFormat="1" applyFont="1" applyFill="1" applyBorder="1" applyAlignment="1" applyProtection="1">
      <alignment horizontal="center"/>
    </xf>
    <xf numFmtId="168" fontId="6" fillId="3" borderId="0" xfId="3" applyNumberFormat="1" applyFont="1" applyFill="1" applyBorder="1" applyProtection="1"/>
    <xf numFmtId="0" fontId="19" fillId="3" borderId="0" xfId="3" applyFont="1" applyFill="1" applyBorder="1" applyProtection="1">
      <protection locked="0"/>
    </xf>
    <xf numFmtId="0" fontId="19" fillId="3" borderId="7" xfId="3" applyFont="1" applyFill="1" applyBorder="1" applyAlignment="1" applyProtection="1">
      <alignment horizontal="center"/>
      <protection locked="0"/>
    </xf>
    <xf numFmtId="0" fontId="19" fillId="3" borderId="0" xfId="3" applyFont="1" applyFill="1" applyBorder="1" applyAlignment="1" applyProtection="1">
      <alignment horizontal="left"/>
    </xf>
    <xf numFmtId="165" fontId="19" fillId="3" borderId="0" xfId="3" applyNumberFormat="1" applyFont="1" applyFill="1" applyBorder="1" applyAlignment="1" applyProtection="1">
      <alignment horizontal="center"/>
    </xf>
    <xf numFmtId="2" fontId="19" fillId="3" borderId="0" xfId="3" applyNumberFormat="1" applyFont="1" applyFill="1" applyBorder="1" applyAlignment="1" applyProtection="1">
      <alignment horizontal="center"/>
    </xf>
    <xf numFmtId="11" fontId="19" fillId="3" borderId="0" xfId="3" applyNumberFormat="1" applyFont="1" applyFill="1" applyBorder="1" applyAlignment="1" applyProtection="1">
      <alignment horizontal="center"/>
    </xf>
    <xf numFmtId="0" fontId="19" fillId="3" borderId="0" xfId="3" applyNumberFormat="1" applyFont="1" applyFill="1" applyBorder="1" applyAlignment="1" applyProtection="1">
      <alignment horizontal="center"/>
    </xf>
    <xf numFmtId="2" fontId="20" fillId="3" borderId="0" xfId="3" applyNumberFormat="1" applyFont="1" applyFill="1" applyBorder="1" applyAlignment="1" applyProtection="1">
      <alignment horizontal="center"/>
    </xf>
    <xf numFmtId="0" fontId="19" fillId="3" borderId="0" xfId="3" applyFont="1" applyFill="1" applyBorder="1" applyAlignment="1" applyProtection="1">
      <alignment horizontal="center"/>
    </xf>
    <xf numFmtId="2" fontId="19" fillId="3" borderId="0" xfId="3" applyNumberFormat="1" applyFont="1" applyFill="1" applyBorder="1" applyProtection="1"/>
    <xf numFmtId="0" fontId="19" fillId="3" borderId="0" xfId="3" applyFont="1" applyFill="1" applyBorder="1" applyProtection="1"/>
    <xf numFmtId="0" fontId="21" fillId="3" borderId="0" xfId="3" applyFont="1" applyFill="1" applyBorder="1" applyProtection="1">
      <protection locked="0"/>
    </xf>
    <xf numFmtId="0" fontId="21" fillId="3" borderId="7" xfId="3" applyFont="1" applyFill="1" applyBorder="1" applyAlignment="1" applyProtection="1">
      <alignment horizontal="center"/>
      <protection locked="0"/>
    </xf>
    <xf numFmtId="0" fontId="21" fillId="3" borderId="0" xfId="3" applyFont="1" applyFill="1" applyBorder="1" applyAlignment="1" applyProtection="1">
      <alignment horizontal="left"/>
    </xf>
    <xf numFmtId="165" fontId="21" fillId="3" borderId="0" xfId="3" applyNumberFormat="1" applyFont="1" applyFill="1" applyBorder="1" applyAlignment="1" applyProtection="1">
      <alignment horizontal="center"/>
    </xf>
    <xf numFmtId="2" fontId="21" fillId="3" borderId="0" xfId="3" applyNumberFormat="1" applyFont="1" applyFill="1" applyBorder="1" applyAlignment="1" applyProtection="1">
      <alignment horizontal="center"/>
    </xf>
    <xf numFmtId="11" fontId="21" fillId="3" borderId="0" xfId="3" applyNumberFormat="1" applyFont="1" applyFill="1" applyBorder="1" applyAlignment="1" applyProtection="1">
      <alignment horizontal="center"/>
    </xf>
    <xf numFmtId="0" fontId="21" fillId="3" borderId="0" xfId="3" applyNumberFormat="1" applyFont="1" applyFill="1" applyBorder="1" applyAlignment="1" applyProtection="1">
      <alignment horizontal="center"/>
    </xf>
    <xf numFmtId="2" fontId="22" fillId="3" borderId="0" xfId="3" applyNumberFormat="1" applyFont="1" applyFill="1" applyBorder="1" applyAlignment="1" applyProtection="1">
      <alignment horizontal="center"/>
    </xf>
    <xf numFmtId="0" fontId="21" fillId="3" borderId="0" xfId="3" applyFont="1" applyFill="1" applyBorder="1" applyAlignment="1" applyProtection="1">
      <alignment horizontal="center"/>
    </xf>
    <xf numFmtId="2" fontId="21" fillId="3" borderId="0" xfId="3" applyNumberFormat="1" applyFont="1" applyFill="1" applyBorder="1" applyProtection="1"/>
    <xf numFmtId="0" fontId="21" fillId="3" borderId="0" xfId="3" applyFont="1" applyFill="1" applyBorder="1" applyProtection="1"/>
    <xf numFmtId="0" fontId="23" fillId="3" borderId="0" xfId="3" applyFont="1" applyFill="1" applyBorder="1" applyProtection="1">
      <protection locked="0"/>
    </xf>
    <xf numFmtId="0" fontId="23" fillId="3" borderId="7" xfId="3" applyFont="1" applyFill="1" applyBorder="1" applyAlignment="1" applyProtection="1">
      <alignment horizontal="center"/>
      <protection locked="0"/>
    </xf>
    <xf numFmtId="0" fontId="23" fillId="3" borderId="0" xfId="3" applyFont="1" applyFill="1" applyBorder="1" applyAlignment="1" applyProtection="1">
      <alignment horizontal="left"/>
    </xf>
    <xf numFmtId="165" fontId="23" fillId="3" borderId="0" xfId="3" applyNumberFormat="1" applyFont="1" applyFill="1" applyBorder="1" applyAlignment="1" applyProtection="1">
      <alignment horizontal="center"/>
    </xf>
    <xf numFmtId="2" fontId="23" fillId="3" borderId="0" xfId="3" applyNumberFormat="1" applyFont="1" applyFill="1" applyBorder="1" applyAlignment="1" applyProtection="1">
      <alignment horizontal="center"/>
    </xf>
    <xf numFmtId="11" fontId="23" fillId="3" borderId="0" xfId="3" applyNumberFormat="1" applyFont="1" applyFill="1" applyBorder="1" applyAlignment="1" applyProtection="1">
      <alignment horizontal="center"/>
    </xf>
    <xf numFmtId="0" fontId="23" fillId="3" borderId="0" xfId="3" applyNumberFormat="1" applyFont="1" applyFill="1" applyBorder="1" applyAlignment="1" applyProtection="1">
      <alignment horizontal="center"/>
    </xf>
    <xf numFmtId="2" fontId="24" fillId="3" borderId="0" xfId="3" applyNumberFormat="1" applyFont="1" applyFill="1" applyBorder="1" applyAlignment="1" applyProtection="1">
      <alignment horizontal="center"/>
    </xf>
    <xf numFmtId="0" fontId="23" fillId="3" borderId="0" xfId="3" applyFont="1" applyFill="1" applyBorder="1" applyAlignment="1" applyProtection="1">
      <alignment horizontal="center"/>
    </xf>
    <xf numFmtId="2" fontId="23" fillId="3" borderId="0" xfId="3" applyNumberFormat="1" applyFont="1" applyFill="1" applyBorder="1" applyProtection="1"/>
    <xf numFmtId="0" fontId="23" fillId="3" borderId="0" xfId="3" applyFont="1" applyFill="1" applyBorder="1" applyProtection="1"/>
    <xf numFmtId="0" fontId="7" fillId="3" borderId="0" xfId="3" applyFont="1" applyFill="1" applyBorder="1" applyProtection="1">
      <protection locked="0"/>
    </xf>
    <xf numFmtId="0" fontId="6" fillId="4" borderId="0" xfId="5" applyFont="1" applyFill="1" applyBorder="1" applyAlignment="1" applyProtection="1">
      <alignment horizontal="center"/>
      <protection locked="0"/>
    </xf>
    <xf numFmtId="0" fontId="6" fillId="3" borderId="0" xfId="5" applyFont="1" applyFill="1" applyBorder="1" applyAlignment="1" applyProtection="1">
      <alignment horizontal="left"/>
      <protection locked="0"/>
    </xf>
    <xf numFmtId="0" fontId="6" fillId="3" borderId="0" xfId="5" applyFont="1" applyFill="1" applyBorder="1" applyAlignment="1" applyProtection="1">
      <alignment horizontal="center"/>
      <protection locked="0"/>
    </xf>
    <xf numFmtId="0" fontId="6" fillId="4" borderId="0" xfId="5" applyFont="1" applyFill="1" applyBorder="1" applyAlignment="1" applyProtection="1">
      <alignment horizontal="left"/>
      <protection locked="0"/>
    </xf>
    <xf numFmtId="0" fontId="6" fillId="3" borderId="0" xfId="5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>
      <alignment horizontal="center"/>
    </xf>
    <xf numFmtId="0" fontId="8" fillId="3" borderId="0" xfId="5" applyFont="1" applyFill="1" applyBorder="1" applyAlignment="1" applyProtection="1">
      <alignment horizontal="left"/>
      <protection locked="0"/>
    </xf>
    <xf numFmtId="0" fontId="8" fillId="3" borderId="0" xfId="5" applyFont="1" applyFill="1" applyBorder="1" applyAlignment="1" applyProtection="1">
      <alignment horizontal="center"/>
      <protection locked="0"/>
    </xf>
    <xf numFmtId="0" fontId="8" fillId="3" borderId="1" xfId="5" applyFont="1" applyFill="1" applyBorder="1" applyAlignment="1" applyProtection="1">
      <alignment horizontal="center"/>
      <protection locked="0"/>
    </xf>
    <xf numFmtId="0" fontId="6" fillId="5" borderId="0" xfId="5" applyFont="1" applyFill="1" applyBorder="1" applyAlignment="1" applyProtection="1">
      <alignment horizontal="left"/>
      <protection locked="0"/>
    </xf>
    <xf numFmtId="0" fontId="8" fillId="3" borderId="0" xfId="5" applyFont="1" applyFill="1" applyBorder="1" applyAlignment="1" applyProtection="1">
      <protection locked="0"/>
    </xf>
    <xf numFmtId="0" fontId="6" fillId="3" borderId="8" xfId="5" applyFont="1" applyFill="1" applyBorder="1" applyAlignment="1" applyProtection="1">
      <alignment horizontal="center"/>
      <protection locked="0"/>
    </xf>
    <xf numFmtId="0" fontId="6" fillId="3" borderId="0" xfId="5" applyFont="1" applyFill="1" applyBorder="1" applyProtection="1">
      <protection locked="0"/>
    </xf>
    <xf numFmtId="0" fontId="6" fillId="3" borderId="0" xfId="5" applyFont="1" applyFill="1" applyBorder="1" applyAlignment="1" applyProtection="1">
      <alignment horizontal="center"/>
    </xf>
    <xf numFmtId="165" fontId="6" fillId="5" borderId="0" xfId="5" applyNumberFormat="1" applyFont="1" applyFill="1" applyBorder="1" applyAlignment="1" applyProtection="1">
      <alignment horizontal="center"/>
      <protection locked="0"/>
    </xf>
    <xf numFmtId="165" fontId="8" fillId="5" borderId="0" xfId="5" applyNumberFormat="1" applyFont="1" applyFill="1" applyBorder="1" applyAlignment="1" applyProtection="1">
      <alignment horizontal="center"/>
      <protection locked="0"/>
    </xf>
    <xf numFmtId="165" fontId="8" fillId="3" borderId="0" xfId="5" applyNumberFormat="1" applyFont="1" applyFill="1" applyBorder="1" applyAlignment="1" applyProtection="1">
      <alignment horizontal="left"/>
      <protection locked="0"/>
    </xf>
    <xf numFmtId="165" fontId="8" fillId="3" borderId="0" xfId="5" applyNumberFormat="1" applyFont="1" applyFill="1" applyBorder="1" applyAlignment="1" applyProtection="1">
      <alignment horizontal="center"/>
      <protection locked="0"/>
    </xf>
    <xf numFmtId="165" fontId="8" fillId="3" borderId="0" xfId="5" applyNumberFormat="1" applyFont="1" applyFill="1" applyBorder="1" applyAlignment="1" applyProtection="1">
      <protection locked="0"/>
    </xf>
    <xf numFmtId="165" fontId="8" fillId="3" borderId="0" xfId="5" applyNumberFormat="1" applyFont="1" applyFill="1" applyBorder="1" applyAlignment="1" applyProtection="1">
      <alignment horizontal="left"/>
    </xf>
    <xf numFmtId="165" fontId="8" fillId="3" borderId="1" xfId="5" applyNumberFormat="1" applyFont="1" applyFill="1" applyBorder="1" applyAlignment="1" applyProtection="1">
      <alignment horizontal="center"/>
      <protection locked="0"/>
    </xf>
    <xf numFmtId="0" fontId="15" fillId="3" borderId="0" xfId="5" applyFont="1" applyFill="1" applyBorder="1" applyAlignment="1" applyProtection="1">
      <alignment horizontal="left"/>
      <protection locked="0"/>
    </xf>
    <xf numFmtId="165" fontId="15" fillId="3" borderId="8" xfId="5" applyNumberFormat="1" applyFont="1" applyFill="1" applyBorder="1" applyAlignment="1" applyProtection="1">
      <alignment horizontal="center"/>
      <protection locked="0"/>
    </xf>
    <xf numFmtId="165" fontId="15" fillId="3" borderId="9" xfId="5" applyNumberFormat="1" applyFont="1" applyFill="1" applyBorder="1" applyAlignment="1" applyProtection="1">
      <alignment horizontal="center"/>
      <protection locked="0"/>
    </xf>
    <xf numFmtId="166" fontId="15" fillId="3" borderId="8" xfId="5" applyNumberFormat="1" applyFont="1" applyFill="1" applyBorder="1" applyAlignment="1" applyProtection="1">
      <alignment horizontal="center"/>
      <protection locked="0"/>
    </xf>
    <xf numFmtId="0" fontId="15" fillId="3" borderId="1" xfId="5" applyFont="1" applyFill="1" applyBorder="1" applyProtection="1">
      <protection locked="0"/>
    </xf>
    <xf numFmtId="165" fontId="15" fillId="3" borderId="0" xfId="5" applyNumberFormat="1" applyFont="1" applyFill="1" applyBorder="1" applyAlignment="1" applyProtection="1">
      <alignment horizontal="center"/>
      <protection locked="0"/>
    </xf>
    <xf numFmtId="165" fontId="8" fillId="3" borderId="8" xfId="5" applyNumberFormat="1" applyFont="1" applyFill="1" applyBorder="1" applyAlignment="1" applyProtection="1">
      <alignment horizontal="center"/>
      <protection locked="0"/>
    </xf>
    <xf numFmtId="0" fontId="6" fillId="3" borderId="1" xfId="5" applyFont="1" applyFill="1" applyBorder="1" applyProtection="1">
      <protection locked="0"/>
    </xf>
    <xf numFmtId="11" fontId="6" fillId="3" borderId="0" xfId="5" applyNumberFormat="1" applyFont="1" applyFill="1" applyBorder="1" applyAlignment="1" applyProtection="1">
      <alignment horizontal="center"/>
      <protection locked="0"/>
    </xf>
    <xf numFmtId="11" fontId="8" fillId="3" borderId="0" xfId="5" applyNumberFormat="1" applyFont="1" applyFill="1" applyBorder="1" applyAlignment="1" applyProtection="1">
      <alignment horizontal="center"/>
      <protection locked="0"/>
    </xf>
    <xf numFmtId="0" fontId="13" fillId="3" borderId="0" xfId="5" applyFont="1" applyFill="1" applyBorder="1" applyAlignment="1" applyProtection="1">
      <alignment horizontal="left"/>
      <protection locked="0"/>
    </xf>
    <xf numFmtId="165" fontId="13" fillId="3" borderId="8" xfId="5" applyNumberFormat="1" applyFont="1" applyFill="1" applyBorder="1" applyAlignment="1" applyProtection="1">
      <alignment horizontal="center"/>
      <protection locked="0"/>
    </xf>
    <xf numFmtId="0" fontId="13" fillId="3" borderId="9" xfId="5" applyNumberFormat="1" applyFont="1" applyFill="1" applyBorder="1" applyAlignment="1" applyProtection="1">
      <alignment horizontal="center"/>
      <protection locked="0"/>
    </xf>
    <xf numFmtId="0" fontId="13" fillId="3" borderId="8" xfId="5" applyNumberFormat="1" applyFont="1" applyFill="1" applyBorder="1" applyAlignment="1" applyProtection="1">
      <alignment horizontal="center"/>
      <protection locked="0"/>
    </xf>
    <xf numFmtId="165" fontId="6" fillId="3" borderId="1" xfId="5" applyNumberFormat="1" applyFont="1" applyFill="1" applyBorder="1" applyAlignment="1" applyProtection="1">
      <alignment horizontal="center"/>
      <protection locked="0"/>
    </xf>
    <xf numFmtId="0" fontId="11" fillId="3" borderId="0" xfId="5" applyFont="1" applyFill="1" applyBorder="1" applyAlignment="1" applyProtection="1">
      <alignment horizontal="left"/>
      <protection locked="0"/>
    </xf>
    <xf numFmtId="165" fontId="11" fillId="3" borderId="8" xfId="5" applyNumberFormat="1" applyFont="1" applyFill="1" applyBorder="1" applyAlignment="1" applyProtection="1">
      <alignment horizontal="center"/>
      <protection locked="0"/>
    </xf>
    <xf numFmtId="165" fontId="11" fillId="3" borderId="9" xfId="5" applyNumberFormat="1" applyFont="1" applyFill="1" applyBorder="1" applyAlignment="1" applyProtection="1">
      <alignment horizontal="center"/>
      <protection locked="0"/>
    </xf>
    <xf numFmtId="0" fontId="11" fillId="3" borderId="8" xfId="5" applyNumberFormat="1" applyFont="1" applyFill="1" applyBorder="1" applyAlignment="1" applyProtection="1">
      <alignment horizontal="center"/>
      <protection locked="0"/>
    </xf>
    <xf numFmtId="0" fontId="11" fillId="3" borderId="11" xfId="5" applyNumberFormat="1" applyFont="1" applyFill="1" applyBorder="1" applyAlignment="1" applyProtection="1">
      <alignment horizontal="center"/>
      <protection locked="0"/>
    </xf>
    <xf numFmtId="0" fontId="6" fillId="5" borderId="0" xfId="5" applyFont="1" applyFill="1" applyBorder="1" applyAlignment="1" applyProtection="1">
      <alignment horizontal="center"/>
      <protection locked="0"/>
    </xf>
    <xf numFmtId="0" fontId="7" fillId="5" borderId="0" xfId="1" applyFont="1" applyFill="1" applyBorder="1" applyAlignment="1" applyProtection="1">
      <alignment horizontal="center"/>
      <protection locked="0"/>
    </xf>
    <xf numFmtId="0" fontId="7" fillId="3" borderId="0" xfId="1" applyFont="1" applyFill="1" applyBorder="1" applyAlignment="1" applyProtection="1">
      <alignment horizontal="left"/>
      <protection locked="0"/>
    </xf>
    <xf numFmtId="165" fontId="7" fillId="3" borderId="0" xfId="1" applyNumberFormat="1" applyFont="1" applyFill="1" applyBorder="1" applyAlignment="1" applyProtection="1">
      <alignment horizontal="center"/>
      <protection locked="0"/>
    </xf>
    <xf numFmtId="0" fontId="7" fillId="3" borderId="0" xfId="1" applyFont="1" applyFill="1" applyBorder="1" applyProtection="1">
      <protection locked="0"/>
    </xf>
    <xf numFmtId="0" fontId="7" fillId="3" borderId="0" xfId="1" applyFont="1" applyFill="1" applyBorder="1" applyAlignment="1" applyProtection="1">
      <alignment horizontal="center"/>
      <protection locked="0"/>
    </xf>
    <xf numFmtId="0" fontId="21" fillId="3" borderId="0" xfId="5" applyFont="1" applyFill="1" applyBorder="1" applyAlignment="1" applyProtection="1">
      <alignment horizontal="left"/>
      <protection locked="0"/>
    </xf>
    <xf numFmtId="2" fontId="21" fillId="3" borderId="0" xfId="5" applyNumberFormat="1" applyFont="1" applyFill="1" applyBorder="1" applyAlignment="1" applyProtection="1">
      <alignment horizontal="center"/>
      <protection locked="0"/>
    </xf>
    <xf numFmtId="0" fontId="15" fillId="5" borderId="0" xfId="5" applyFont="1" applyFill="1" applyBorder="1" applyAlignment="1" applyProtection="1">
      <alignment horizontal="center"/>
      <protection locked="0"/>
    </xf>
    <xf numFmtId="0" fontId="15" fillId="3" borderId="0" xfId="5" applyFont="1" applyFill="1" applyBorder="1" applyAlignment="1" applyProtection="1">
      <protection locked="0"/>
    </xf>
    <xf numFmtId="165" fontId="28" fillId="3" borderId="0" xfId="5" applyNumberFormat="1" applyFont="1" applyFill="1" applyBorder="1" applyAlignment="1" applyProtection="1">
      <alignment horizontal="center"/>
      <protection locked="0"/>
    </xf>
    <xf numFmtId="2" fontId="6" fillId="5" borderId="0" xfId="5" applyNumberFormat="1" applyFont="1" applyFill="1" applyBorder="1" applyAlignment="1" applyProtection="1">
      <alignment horizontal="center"/>
      <protection locked="0"/>
    </xf>
    <xf numFmtId="165" fontId="11" fillId="3" borderId="0" xfId="5" applyNumberFormat="1" applyFont="1" applyFill="1" applyBorder="1" applyAlignment="1" applyProtection="1">
      <alignment horizontal="center"/>
      <protection locked="0"/>
    </xf>
    <xf numFmtId="0" fontId="19" fillId="5" borderId="0" xfId="5" applyFont="1" applyFill="1" applyBorder="1" applyAlignment="1" applyProtection="1">
      <alignment horizontal="center"/>
      <protection locked="0"/>
    </xf>
    <xf numFmtId="0" fontId="19" fillId="3" borderId="0" xfId="5" applyFont="1" applyFill="1" applyBorder="1" applyAlignment="1" applyProtection="1">
      <protection locked="0"/>
    </xf>
    <xf numFmtId="165" fontId="6" fillId="3" borderId="0" xfId="5" applyNumberFormat="1" applyFont="1" applyFill="1" applyBorder="1" applyAlignment="1" applyProtection="1">
      <alignment horizontal="center"/>
      <protection locked="0"/>
    </xf>
    <xf numFmtId="0" fontId="6" fillId="3" borderId="2" xfId="5" applyFont="1" applyFill="1" applyBorder="1" applyProtection="1">
      <protection locked="0"/>
    </xf>
    <xf numFmtId="165" fontId="8" fillId="3" borderId="2" xfId="5" applyNumberFormat="1" applyFont="1" applyFill="1" applyBorder="1" applyAlignment="1" applyProtection="1">
      <alignment horizontal="left"/>
      <protection locked="0"/>
    </xf>
    <xf numFmtId="165" fontId="8" fillId="3" borderId="2" xfId="5" applyNumberFormat="1" applyFont="1" applyFill="1" applyBorder="1" applyAlignment="1" applyProtection="1">
      <alignment horizontal="center"/>
      <protection locked="0"/>
    </xf>
    <xf numFmtId="0" fontId="6" fillId="3" borderId="3" xfId="5" applyFont="1" applyFill="1" applyBorder="1" applyProtection="1">
      <protection locked="0"/>
    </xf>
    <xf numFmtId="0" fontId="21" fillId="5" borderId="0" xfId="5" applyFont="1" applyFill="1" applyBorder="1" applyAlignment="1" applyProtection="1">
      <alignment horizontal="center"/>
      <protection locked="0"/>
    </xf>
    <xf numFmtId="0" fontId="21" fillId="3" borderId="0" xfId="5" applyFont="1" applyFill="1" applyBorder="1" applyAlignment="1" applyProtection="1">
      <protection locked="0"/>
    </xf>
    <xf numFmtId="0" fontId="19" fillId="3" borderId="0" xfId="5" applyFont="1" applyFill="1" applyBorder="1" applyAlignment="1" applyProtection="1">
      <alignment horizontal="left"/>
      <protection locked="0"/>
    </xf>
    <xf numFmtId="2" fontId="11" fillId="5" borderId="0" xfId="5" applyNumberFormat="1" applyFont="1" applyFill="1" applyBorder="1" applyAlignment="1" applyProtection="1">
      <alignment horizontal="center"/>
      <protection locked="0"/>
    </xf>
    <xf numFmtId="0" fontId="11" fillId="3" borderId="0" xfId="5" applyFont="1" applyFill="1" applyBorder="1" applyAlignment="1" applyProtection="1">
      <protection locked="0"/>
    </xf>
    <xf numFmtId="2" fontId="15" fillId="5" borderId="0" xfId="5" applyNumberFormat="1" applyFont="1" applyFill="1" applyBorder="1" applyAlignment="1" applyProtection="1">
      <alignment horizontal="center"/>
      <protection locked="0"/>
    </xf>
    <xf numFmtId="0" fontId="3" fillId="0" borderId="0" xfId="5"/>
    <xf numFmtId="0" fontId="6" fillId="0" borderId="0" xfId="5" applyFont="1"/>
    <xf numFmtId="0" fontId="3" fillId="6" borderId="0" xfId="5" applyFill="1"/>
    <xf numFmtId="0" fontId="3" fillId="7" borderId="0" xfId="5" applyFill="1"/>
    <xf numFmtId="0" fontId="3" fillId="8" borderId="0" xfId="5" applyFill="1"/>
    <xf numFmtId="0" fontId="3" fillId="9" borderId="0" xfId="5" applyFill="1"/>
    <xf numFmtId="0" fontId="4" fillId="0" borderId="0" xfId="2" applyAlignment="1" applyProtection="1"/>
    <xf numFmtId="0" fontId="6" fillId="0" borderId="0" xfId="5" applyFont="1" applyAlignment="1">
      <alignment horizontal="left"/>
    </xf>
    <xf numFmtId="0" fontId="6" fillId="0" borderId="0" xfId="5" applyFont="1" applyAlignment="1">
      <alignment horizontal="center"/>
    </xf>
    <xf numFmtId="0" fontId="17" fillId="0" borderId="0" xfId="5" applyFont="1"/>
    <xf numFmtId="0" fontId="17" fillId="0" borderId="0" xfId="5" applyFont="1" applyAlignment="1">
      <alignment horizontal="center"/>
    </xf>
    <xf numFmtId="0" fontId="17" fillId="0" borderId="0" xfId="5" applyFont="1" applyAlignment="1">
      <alignment horizontal="left"/>
    </xf>
    <xf numFmtId="165" fontId="6" fillId="0" borderId="0" xfId="5" applyNumberFormat="1" applyFont="1" applyAlignment="1">
      <alignment horizontal="center"/>
    </xf>
    <xf numFmtId="167" fontId="6" fillId="0" borderId="0" xfId="5" applyNumberFormat="1" applyFont="1" applyAlignment="1">
      <alignment horizontal="center"/>
    </xf>
    <xf numFmtId="0" fontId="17" fillId="3" borderId="0" xfId="5" applyFont="1" applyFill="1" applyBorder="1" applyAlignment="1" applyProtection="1">
      <alignment horizontal="left"/>
      <protection locked="0"/>
    </xf>
    <xf numFmtId="164" fontId="6" fillId="3" borderId="0" xfId="3" applyNumberFormat="1" applyFont="1" applyFill="1" applyBorder="1" applyAlignment="1" applyProtection="1">
      <alignment horizontal="center"/>
    </xf>
    <xf numFmtId="164" fontId="6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center"/>
    </xf>
    <xf numFmtId="11" fontId="6" fillId="3" borderId="0" xfId="3" applyNumberFormat="1" applyFont="1" applyFill="1" applyBorder="1" applyAlignment="1" applyProtection="1">
      <alignment horizontal="center"/>
    </xf>
    <xf numFmtId="0" fontId="6" fillId="3" borderId="0" xfId="3" applyNumberFormat="1" applyFont="1" applyFill="1" applyBorder="1" applyAlignment="1" applyProtection="1">
      <alignment horizontal="center"/>
    </xf>
    <xf numFmtId="2" fontId="7" fillId="3" borderId="0" xfId="3" applyNumberFormat="1" applyFont="1" applyFill="1" applyBorder="1" applyAlignment="1" applyProtection="1">
      <alignment horizontal="center"/>
    </xf>
    <xf numFmtId="0" fontId="6" fillId="0" borderId="0" xfId="0" applyFont="1"/>
    <xf numFmtId="2" fontId="6" fillId="3" borderId="7" xfId="3" applyNumberFormat="1" applyFont="1" applyFill="1" applyBorder="1" applyAlignment="1" applyProtection="1">
      <alignment horizontal="center"/>
    </xf>
    <xf numFmtId="2" fontId="6" fillId="3" borderId="10" xfId="3" applyNumberFormat="1" applyFont="1" applyFill="1" applyBorder="1" applyAlignment="1" applyProtection="1">
      <alignment horizontal="center"/>
    </xf>
    <xf numFmtId="2" fontId="6" fillId="3" borderId="0" xfId="3" applyNumberFormat="1" applyFont="1" applyFill="1" applyBorder="1" applyAlignment="1" applyProtection="1">
      <alignment horizontal="right"/>
    </xf>
    <xf numFmtId="2" fontId="17" fillId="3" borderId="0" xfId="3" applyNumberFormat="1" applyFont="1" applyFill="1" applyBorder="1" applyAlignment="1" applyProtection="1">
      <alignment horizontal="right"/>
    </xf>
    <xf numFmtId="2" fontId="17" fillId="3" borderId="0" xfId="3" applyNumberFormat="1" applyFont="1" applyFill="1" applyBorder="1" applyAlignment="1" applyProtection="1">
      <alignment horizontal="center"/>
    </xf>
    <xf numFmtId="11" fontId="0" fillId="0" borderId="0" xfId="0" applyNumberFormat="1"/>
    <xf numFmtId="0" fontId="0" fillId="2" borderId="0" xfId="0" applyFill="1"/>
    <xf numFmtId="0" fontId="8" fillId="3" borderId="6" xfId="3" applyFont="1" applyFill="1" applyBorder="1" applyAlignment="1" applyProtection="1">
      <alignment horizontal="left"/>
    </xf>
    <xf numFmtId="0" fontId="8" fillId="3" borderId="7" xfId="3" applyFont="1" applyFill="1" applyBorder="1" applyAlignment="1" applyProtection="1">
      <alignment horizontal="left"/>
    </xf>
    <xf numFmtId="0" fontId="8" fillId="3" borderId="1" xfId="3" applyFont="1" applyFill="1" applyBorder="1" applyAlignment="1" applyProtection="1">
      <alignment horizontal="left"/>
    </xf>
    <xf numFmtId="0" fontId="8" fillId="3" borderId="10" xfId="3" applyFont="1" applyFill="1" applyBorder="1" applyAlignment="1" applyProtection="1">
      <alignment horizontal="left"/>
    </xf>
    <xf numFmtId="0" fontId="8" fillId="3" borderId="3" xfId="3" applyFont="1" applyFill="1" applyBorder="1" applyAlignment="1" applyProtection="1">
      <alignment horizontal="left"/>
    </xf>
    <xf numFmtId="0" fontId="6" fillId="2" borderId="0" xfId="3" quotePrefix="1" applyFont="1" applyFill="1" applyBorder="1" applyProtection="1"/>
    <xf numFmtId="164" fontId="6" fillId="3" borderId="0" xfId="3" applyNumberFormat="1" applyFont="1" applyFill="1" applyBorder="1" applyAlignment="1" applyProtection="1">
      <alignment horizontal="right"/>
    </xf>
    <xf numFmtId="165" fontId="6" fillId="10" borderId="0" xfId="0" applyNumberFormat="1" applyFont="1" applyFill="1" applyAlignment="1">
      <alignment horizontal="right"/>
    </xf>
    <xf numFmtId="165" fontId="6" fillId="3" borderId="0" xfId="0" applyNumberFormat="1" applyFont="1" applyFill="1" applyAlignment="1">
      <alignment horizontal="right"/>
    </xf>
    <xf numFmtId="0" fontId="6" fillId="3" borderId="0" xfId="3" applyFont="1" applyFill="1" applyBorder="1" applyAlignment="1" applyProtection="1">
      <alignment horizontal="right"/>
    </xf>
    <xf numFmtId="0" fontId="8" fillId="3" borderId="5" xfId="3" applyFont="1" applyFill="1" applyBorder="1" applyAlignment="1" applyProtection="1">
      <alignment horizontal="center"/>
    </xf>
    <xf numFmtId="2" fontId="6" fillId="11" borderId="13" xfId="3" applyNumberFormat="1" applyFont="1" applyFill="1" applyBorder="1" applyAlignment="1" applyProtection="1">
      <alignment horizontal="center"/>
    </xf>
    <xf numFmtId="0" fontId="8" fillId="11" borderId="14" xfId="3" applyFont="1" applyFill="1" applyBorder="1" applyAlignment="1" applyProtection="1">
      <alignment horizontal="left"/>
    </xf>
    <xf numFmtId="0" fontId="6" fillId="11" borderId="13" xfId="3" applyFont="1" applyFill="1" applyBorder="1" applyProtection="1"/>
    <xf numFmtId="0" fontId="8" fillId="11" borderId="13" xfId="3" applyFont="1" applyFill="1" applyBorder="1" applyAlignment="1" applyProtection="1">
      <alignment horizontal="center"/>
    </xf>
    <xf numFmtId="0" fontId="8" fillId="11" borderId="5" xfId="3" applyFont="1" applyFill="1" applyBorder="1" applyAlignment="1" applyProtection="1">
      <alignment horizontal="center"/>
    </xf>
    <xf numFmtId="0" fontId="2" fillId="3" borderId="0" xfId="3" applyFont="1" applyFill="1" applyBorder="1" applyProtection="1"/>
    <xf numFmtId="0" fontId="30" fillId="3" borderId="0" xfId="3" applyFont="1" applyFill="1" applyBorder="1" applyAlignment="1" applyProtection="1">
      <alignment horizontal="center"/>
    </xf>
    <xf numFmtId="0" fontId="0" fillId="3" borderId="0" xfId="0" applyFill="1" applyBorder="1"/>
    <xf numFmtId="0" fontId="2" fillId="3" borderId="0" xfId="0" applyFont="1" applyFill="1" applyBorder="1"/>
    <xf numFmtId="0" fontId="31" fillId="3" borderId="0" xfId="0" applyFont="1" applyFill="1" applyBorder="1"/>
    <xf numFmtId="0" fontId="6" fillId="3" borderId="0" xfId="0" applyFont="1" applyFill="1" applyBorder="1"/>
    <xf numFmtId="0" fontId="6" fillId="2" borderId="0" xfId="0" applyFont="1" applyFill="1" applyBorder="1"/>
    <xf numFmtId="2" fontId="8" fillId="3" borderId="0" xfId="3" applyNumberFormat="1" applyFont="1" applyFill="1" applyBorder="1" applyAlignment="1" applyProtection="1"/>
    <xf numFmtId="2" fontId="6" fillId="3" borderId="0" xfId="0" applyNumberFormat="1" applyFont="1" applyFill="1" applyBorder="1" applyAlignment="1"/>
    <xf numFmtId="0" fontId="32" fillId="3" borderId="0" xfId="3" applyFont="1" applyFill="1" applyBorder="1" applyAlignment="1" applyProtection="1">
      <alignment horizontal="center"/>
    </xf>
    <xf numFmtId="0" fontId="33" fillId="3" borderId="0" xfId="0" applyFont="1" applyFill="1" applyBorder="1" applyAlignment="1">
      <alignment horizontal="center"/>
    </xf>
    <xf numFmtId="11" fontId="31" fillId="3" borderId="0" xfId="3" applyNumberFormat="1" applyFont="1" applyFill="1" applyBorder="1" applyProtection="1"/>
    <xf numFmtId="0" fontId="2" fillId="3" borderId="0" xfId="0" applyFont="1" applyFill="1" applyBorder="1" applyAlignment="1">
      <alignment horizontal="center"/>
    </xf>
    <xf numFmtId="0" fontId="2" fillId="3" borderId="0" xfId="3" applyFont="1" applyFill="1" applyBorder="1" applyAlignment="1" applyProtection="1">
      <alignment horizontal="center"/>
    </xf>
    <xf numFmtId="11" fontId="2" fillId="0" borderId="0" xfId="3" applyNumberFormat="1" applyFont="1" applyFill="1" applyBorder="1" applyProtection="1"/>
    <xf numFmtId="0" fontId="2" fillId="0" borderId="0" xfId="0" applyFont="1" applyFill="1"/>
    <xf numFmtId="11" fontId="31" fillId="3" borderId="0" xfId="0" applyNumberFormat="1" applyFont="1" applyFill="1" applyBorder="1" applyAlignment="1"/>
    <xf numFmtId="0" fontId="2" fillId="3" borderId="0" xfId="0" applyFont="1" applyFill="1" applyBorder="1" applyAlignment="1"/>
    <xf numFmtId="11" fontId="2" fillId="3" borderId="0" xfId="0" applyNumberFormat="1" applyFont="1" applyFill="1" applyBorder="1" applyAlignment="1"/>
    <xf numFmtId="0" fontId="17" fillId="3" borderId="0" xfId="3" applyNumberFormat="1" applyFont="1" applyFill="1" applyBorder="1" applyAlignment="1" applyProtection="1">
      <alignment horizontal="center"/>
    </xf>
    <xf numFmtId="164" fontId="17" fillId="3" borderId="0" xfId="3" applyNumberFormat="1" applyFont="1" applyFill="1" applyBorder="1" applyAlignment="1" applyProtection="1">
      <alignment horizontal="center"/>
    </xf>
    <xf numFmtId="0" fontId="17" fillId="3" borderId="0" xfId="0" applyFont="1" applyFill="1" applyBorder="1"/>
    <xf numFmtId="0" fontId="17" fillId="3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right"/>
    </xf>
    <xf numFmtId="11" fontId="2" fillId="3" borderId="0" xfId="0" applyNumberFormat="1" applyFont="1" applyFill="1" applyBorder="1" applyAlignment="1">
      <alignment horizontal="center"/>
    </xf>
    <xf numFmtId="10" fontId="2" fillId="3" borderId="0" xfId="0" applyNumberFormat="1" applyFont="1" applyFill="1" applyBorder="1" applyAlignment="1"/>
    <xf numFmtId="10" fontId="17" fillId="3" borderId="0" xfId="0" applyNumberFormat="1" applyFont="1" applyFill="1" applyBorder="1" applyAlignment="1">
      <alignment horizontal="right"/>
    </xf>
    <xf numFmtId="0" fontId="31" fillId="3" borderId="0" xfId="3" applyFont="1" applyFill="1" applyBorder="1" applyProtection="1"/>
    <xf numFmtId="11" fontId="31" fillId="3" borderId="0" xfId="0" applyNumberFormat="1" applyFont="1" applyFill="1" applyBorder="1"/>
    <xf numFmtId="11" fontId="2" fillId="3" borderId="0" xfId="3" applyNumberFormat="1" applyFont="1" applyFill="1" applyBorder="1" applyProtection="1"/>
    <xf numFmtId="164" fontId="2" fillId="3" borderId="0" xfId="3" applyNumberFormat="1" applyFont="1" applyFill="1" applyBorder="1" applyProtection="1"/>
    <xf numFmtId="164" fontId="2" fillId="3" borderId="0" xfId="0" applyNumberFormat="1" applyFont="1" applyFill="1" applyBorder="1"/>
    <xf numFmtId="164" fontId="30" fillId="3" borderId="0" xfId="3" applyNumberFormat="1" applyFont="1" applyFill="1" applyBorder="1" applyAlignment="1" applyProtection="1">
      <alignment horizontal="center"/>
    </xf>
    <xf numFmtId="164" fontId="31" fillId="3" borderId="0" xfId="3" applyNumberFormat="1" applyFont="1" applyFill="1" applyBorder="1" applyProtection="1"/>
    <xf numFmtId="165" fontId="31" fillId="3" borderId="0" xfId="0" applyNumberFormat="1" applyFont="1" applyFill="1" applyBorder="1"/>
    <xf numFmtId="164" fontId="30" fillId="3" borderId="0" xfId="3" applyNumberFormat="1" applyFont="1" applyFill="1" applyBorder="1" applyAlignment="1" applyProtection="1"/>
    <xf numFmtId="164" fontId="31" fillId="3" borderId="0" xfId="0" applyNumberFormat="1" applyFont="1" applyFill="1" applyBorder="1" applyAlignment="1"/>
    <xf numFmtId="164" fontId="31" fillId="3" borderId="0" xfId="0" applyNumberFormat="1" applyFont="1" applyFill="1" applyBorder="1"/>
    <xf numFmtId="11" fontId="17" fillId="3" borderId="0" xfId="0" applyNumberFormat="1" applyFont="1" applyFill="1" applyBorder="1"/>
    <xf numFmtId="11" fontId="34" fillId="0" borderId="0" xfId="0" applyNumberFormat="1" applyFont="1"/>
    <xf numFmtId="0" fontId="2" fillId="3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0" fillId="3" borderId="7" xfId="3" applyFont="1" applyFill="1" applyBorder="1" applyAlignment="1" applyProtection="1">
      <alignment horizontal="center"/>
    </xf>
    <xf numFmtId="0" fontId="30" fillId="3" borderId="1" xfId="3" applyFont="1" applyFill="1" applyBorder="1" applyAlignment="1" applyProtection="1">
      <alignment horizontal="center"/>
    </xf>
    <xf numFmtId="0" fontId="30" fillId="3" borderId="10" xfId="3" applyFont="1" applyFill="1" applyBorder="1" applyAlignment="1" applyProtection="1">
      <alignment horizontal="center"/>
    </xf>
    <xf numFmtId="0" fontId="30" fillId="3" borderId="2" xfId="3" applyFont="1" applyFill="1" applyBorder="1" applyAlignment="1" applyProtection="1">
      <alignment horizontal="center"/>
    </xf>
    <xf numFmtId="0" fontId="30" fillId="3" borderId="3" xfId="3" applyFont="1" applyFill="1" applyBorder="1" applyAlignment="1" applyProtection="1">
      <alignment horizontal="center"/>
    </xf>
    <xf numFmtId="11" fontId="31" fillId="3" borderId="7" xfId="0" applyNumberFormat="1" applyFont="1" applyFill="1" applyBorder="1" applyAlignment="1"/>
    <xf numFmtId="11" fontId="31" fillId="3" borderId="10" xfId="0" applyNumberFormat="1" applyFont="1" applyFill="1" applyBorder="1" applyAlignment="1"/>
    <xf numFmtId="11" fontId="31" fillId="3" borderId="2" xfId="0" applyNumberFormat="1" applyFont="1" applyFill="1" applyBorder="1" applyAlignment="1"/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165" fontId="31" fillId="3" borderId="0" xfId="3" applyNumberFormat="1" applyFont="1" applyFill="1" applyBorder="1" applyProtection="1"/>
    <xf numFmtId="165" fontId="31" fillId="3" borderId="1" xfId="0" applyNumberFormat="1" applyFont="1" applyFill="1" applyBorder="1"/>
    <xf numFmtId="165" fontId="31" fillId="3" borderId="2" xfId="3" applyNumberFormat="1" applyFont="1" applyFill="1" applyBorder="1" applyProtection="1"/>
    <xf numFmtId="165" fontId="31" fillId="3" borderId="3" xfId="0" applyNumberFormat="1" applyFont="1" applyFill="1" applyBorder="1"/>
    <xf numFmtId="0" fontId="2" fillId="3" borderId="5" xfId="3" applyFont="1" applyFill="1" applyBorder="1" applyAlignment="1" applyProtection="1">
      <alignment horizontal="center"/>
    </xf>
    <xf numFmtId="0" fontId="30" fillId="3" borderId="6" xfId="3" applyFont="1" applyFill="1" applyBorder="1" applyAlignment="1" applyProtection="1">
      <alignment horizontal="center"/>
    </xf>
    <xf numFmtId="0" fontId="0" fillId="3" borderId="5" xfId="0" applyFill="1" applyBorder="1" applyAlignment="1">
      <alignment horizontal="center"/>
    </xf>
    <xf numFmtId="0" fontId="35" fillId="3" borderId="6" xfId="0" applyFont="1" applyFill="1" applyBorder="1" applyAlignment="1">
      <alignment horizontal="center"/>
    </xf>
    <xf numFmtId="0" fontId="17" fillId="3" borderId="0" xfId="3" applyFont="1" applyFill="1" applyBorder="1" applyProtection="1"/>
    <xf numFmtId="0" fontId="36" fillId="3" borderId="0" xfId="2" applyFont="1" applyFill="1" applyBorder="1" applyAlignment="1" applyProtection="1"/>
    <xf numFmtId="0" fontId="0" fillId="0" borderId="0" xfId="0" applyAlignment="1">
      <alignment horizontal="center"/>
    </xf>
    <xf numFmtId="0" fontId="6" fillId="11" borderId="13" xfId="3" applyFont="1" applyFill="1" applyBorder="1" applyAlignment="1" applyProtection="1">
      <alignment horizontal="left"/>
    </xf>
    <xf numFmtId="0" fontId="6" fillId="11" borderId="15" xfId="3" applyFont="1" applyFill="1" applyBorder="1" applyProtection="1"/>
    <xf numFmtId="0" fontId="6" fillId="11" borderId="14" xfId="3" applyFont="1" applyFill="1" applyBorder="1" applyProtection="1"/>
    <xf numFmtId="0" fontId="8" fillId="11" borderId="12" xfId="3" applyFont="1" applyFill="1" applyBorder="1" applyAlignment="1" applyProtection="1">
      <alignment horizontal="left"/>
    </xf>
    <xf numFmtId="0" fontId="8" fillId="11" borderId="6" xfId="3" applyFont="1" applyFill="1" applyBorder="1" applyAlignment="1" applyProtection="1">
      <alignment horizontal="center"/>
    </xf>
    <xf numFmtId="0" fontId="8" fillId="11" borderId="15" xfId="3" applyFont="1" applyFill="1" applyBorder="1" applyAlignment="1" applyProtection="1">
      <alignment horizontal="center"/>
    </xf>
    <xf numFmtId="0" fontId="8" fillId="11" borderId="5" xfId="3" applyFont="1" applyFill="1" applyBorder="1" applyAlignment="1" applyProtection="1">
      <alignment horizontal="left"/>
    </xf>
    <xf numFmtId="11" fontId="8" fillId="3" borderId="0" xfId="3" applyNumberFormat="1" applyFont="1" applyFill="1" applyBorder="1" applyAlignment="1" applyProtection="1">
      <alignment horizontal="left"/>
    </xf>
    <xf numFmtId="11" fontId="6" fillId="3" borderId="0" xfId="3" applyNumberFormat="1" applyFont="1" applyFill="1" applyBorder="1" applyAlignment="1" applyProtection="1">
      <alignment horizontal="center"/>
      <protection locked="0"/>
    </xf>
    <xf numFmtId="11" fontId="6" fillId="2" borderId="0" xfId="3" applyNumberFormat="1" applyFont="1" applyFill="1" applyBorder="1" applyAlignment="1" applyProtection="1">
      <alignment horizontal="center"/>
    </xf>
    <xf numFmtId="0" fontId="6" fillId="2" borderId="0" xfId="3" applyFont="1" applyFill="1" applyBorder="1" applyAlignment="1" applyProtection="1">
      <alignment horizontal="center"/>
    </xf>
    <xf numFmtId="11" fontId="6" fillId="2" borderId="0" xfId="3" applyNumberFormat="1" applyFont="1" applyFill="1" applyBorder="1" applyAlignment="1" applyProtection="1">
      <alignment horizontal="center"/>
      <protection locked="0"/>
    </xf>
    <xf numFmtId="0" fontId="6" fillId="2" borderId="0" xfId="3" applyFont="1" applyFill="1" applyBorder="1" applyAlignment="1" applyProtection="1">
      <alignment horizontal="center"/>
      <protection locked="0"/>
    </xf>
    <xf numFmtId="1" fontId="17" fillId="3" borderId="0" xfId="3" applyNumberFormat="1" applyFont="1" applyFill="1" applyBorder="1" applyAlignment="1" applyProtection="1">
      <alignment horizontal="center"/>
    </xf>
    <xf numFmtId="11" fontId="6" fillId="3" borderId="0" xfId="3" applyNumberFormat="1" applyFont="1" applyFill="1" applyBorder="1" applyAlignment="1" applyProtection="1">
      <alignment horizontal="left"/>
    </xf>
    <xf numFmtId="2" fontId="6" fillId="3" borderId="0" xfId="3" applyNumberFormat="1" applyFont="1" applyFill="1" applyBorder="1" applyAlignment="1" applyProtection="1">
      <alignment horizontal="left"/>
    </xf>
    <xf numFmtId="1" fontId="6" fillId="3" borderId="0" xfId="3" applyNumberFormat="1" applyFont="1" applyFill="1" applyBorder="1" applyAlignment="1" applyProtection="1">
      <alignment horizontal="center"/>
    </xf>
    <xf numFmtId="0" fontId="8" fillId="3" borderId="6" xfId="3" applyFont="1" applyFill="1" applyBorder="1" applyAlignment="1" applyProtection="1">
      <alignment horizontal="center"/>
    </xf>
    <xf numFmtId="2" fontId="8" fillId="3" borderId="1" xfId="3" applyNumberFormat="1" applyFont="1" applyFill="1" applyBorder="1" applyAlignment="1" applyProtection="1">
      <alignment horizontal="center"/>
    </xf>
    <xf numFmtId="166" fontId="8" fillId="3" borderId="1" xfId="3" applyNumberFormat="1" applyFont="1" applyFill="1" applyBorder="1" applyAlignment="1" applyProtection="1">
      <alignment horizontal="center"/>
    </xf>
    <xf numFmtId="0" fontId="37" fillId="3" borderId="5" xfId="3" applyFont="1" applyFill="1" applyBorder="1" applyAlignment="1" applyProtection="1">
      <alignment horizontal="center"/>
    </xf>
    <xf numFmtId="0" fontId="17" fillId="3" borderId="0" xfId="3" applyFont="1" applyFill="1" applyBorder="1" applyAlignment="1" applyProtection="1">
      <alignment horizontal="center"/>
    </xf>
    <xf numFmtId="167" fontId="18" fillId="3" borderId="0" xfId="3" applyNumberFormat="1" applyFont="1" applyFill="1" applyBorder="1" applyAlignment="1" applyProtection="1">
      <alignment horizontal="center"/>
    </xf>
    <xf numFmtId="2" fontId="6" fillId="3" borderId="8" xfId="3" applyNumberFormat="1" applyFont="1" applyFill="1" applyBorder="1" applyAlignment="1" applyProtection="1">
      <alignment horizontal="center"/>
    </xf>
    <xf numFmtId="0" fontId="37" fillId="3" borderId="0" xfId="3" applyFont="1" applyFill="1" applyBorder="1" applyAlignment="1" applyProtection="1">
      <alignment horizontal="center"/>
    </xf>
    <xf numFmtId="11" fontId="2" fillId="3" borderId="0" xfId="0" applyNumberFormat="1" applyFont="1" applyFill="1" applyBorder="1" applyAlignment="1">
      <alignment horizontal="right"/>
    </xf>
    <xf numFmtId="165" fontId="31" fillId="3" borderId="0" xfId="0" applyNumberFormat="1" applyFont="1" applyFill="1" applyBorder="1" applyAlignment="1">
      <alignment horizontal="center"/>
    </xf>
    <xf numFmtId="165" fontId="2" fillId="3" borderId="0" xfId="0" applyNumberFormat="1" applyFont="1" applyFill="1" applyBorder="1" applyAlignment="1">
      <alignment horizontal="center"/>
    </xf>
    <xf numFmtId="165" fontId="6" fillId="3" borderId="0" xfId="3" applyNumberFormat="1" applyFont="1" applyFill="1" applyBorder="1" applyAlignment="1" applyProtection="1"/>
    <xf numFmtId="11" fontId="8" fillId="3" borderId="12" xfId="3" applyNumberFormat="1" applyFont="1" applyFill="1" applyBorder="1" applyAlignment="1" applyProtection="1">
      <alignment horizontal="center"/>
    </xf>
    <xf numFmtId="11" fontId="8" fillId="3" borderId="7" xfId="3" applyNumberFormat="1" applyFont="1" applyFill="1" applyBorder="1" applyAlignment="1" applyProtection="1">
      <alignment horizontal="center"/>
    </xf>
    <xf numFmtId="11" fontId="6" fillId="3" borderId="7" xfId="3" applyNumberFormat="1" applyFont="1" applyFill="1" applyBorder="1" applyAlignment="1" applyProtection="1">
      <alignment horizontal="center"/>
    </xf>
    <xf numFmtId="11" fontId="8" fillId="3" borderId="10" xfId="3" applyNumberFormat="1" applyFont="1" applyFill="1" applyBorder="1" applyAlignment="1" applyProtection="1">
      <alignment horizontal="center"/>
    </xf>
    <xf numFmtId="11" fontId="6" fillId="3" borderId="7" xfId="3" applyNumberFormat="1" applyFont="1" applyFill="1" applyBorder="1" applyProtection="1"/>
    <xf numFmtId="11" fontId="6" fillId="3" borderId="10" xfId="3" applyNumberFormat="1" applyFont="1" applyFill="1" applyBorder="1" applyProtection="1"/>
    <xf numFmtId="169" fontId="8" fillId="3" borderId="2" xfId="3" applyNumberFormat="1" applyFont="1" applyFill="1" applyBorder="1" applyAlignment="1" applyProtection="1">
      <alignment horizontal="center"/>
    </xf>
    <xf numFmtId="164" fontId="8" fillId="3" borderId="2" xfId="3" applyNumberFormat="1" applyFont="1" applyFill="1" applyBorder="1" applyAlignment="1" applyProtection="1">
      <alignment horizontal="center"/>
    </xf>
    <xf numFmtId="0" fontId="37" fillId="3" borderId="6" xfId="3" applyFont="1" applyFill="1" applyBorder="1" applyAlignment="1" applyProtection="1">
      <alignment horizontal="center"/>
    </xf>
    <xf numFmtId="0" fontId="37" fillId="3" borderId="1" xfId="3" applyFont="1" applyFill="1" applyBorder="1" applyAlignment="1" applyProtection="1">
      <alignment horizontal="center"/>
    </xf>
    <xf numFmtId="166" fontId="8" fillId="3" borderId="1" xfId="3" applyNumberFormat="1" applyFont="1" applyFill="1" applyBorder="1" applyAlignment="1" applyProtection="1">
      <alignment horizontal="left"/>
    </xf>
    <xf numFmtId="0" fontId="0" fillId="3" borderId="0" xfId="0" applyFill="1"/>
    <xf numFmtId="0" fontId="6" fillId="2" borderId="0" xfId="0" applyFont="1" applyFill="1"/>
    <xf numFmtId="0" fontId="0" fillId="3" borderId="5" xfId="0" applyFill="1" applyBorder="1"/>
    <xf numFmtId="0" fontId="6" fillId="3" borderId="0" xfId="0" applyFont="1" applyFill="1"/>
    <xf numFmtId="2" fontId="6" fillId="3" borderId="0" xfId="0" applyNumberFormat="1" applyFont="1" applyFill="1"/>
    <xf numFmtId="0" fontId="6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166" fontId="6" fillId="3" borderId="0" xfId="0" applyNumberFormat="1" applyFont="1" applyFill="1"/>
    <xf numFmtId="11" fontId="8" fillId="3" borderId="13" xfId="3" applyNumberFormat="1" applyFont="1" applyFill="1" applyBorder="1" applyAlignment="1" applyProtection="1">
      <alignment horizontal="left"/>
    </xf>
    <xf numFmtId="2" fontId="6" fillId="3" borderId="15" xfId="3" applyNumberFormat="1" applyFont="1" applyFill="1" applyBorder="1" applyAlignment="1" applyProtection="1">
      <alignment horizontal="center"/>
    </xf>
    <xf numFmtId="166" fontId="8" fillId="3" borderId="0" xfId="3" applyNumberFormat="1" applyFont="1" applyFill="1" applyBorder="1" applyAlignment="1" applyProtection="1">
      <alignment horizontal="left"/>
    </xf>
    <xf numFmtId="0" fontId="6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2" fontId="6" fillId="3" borderId="0" xfId="0" applyNumberFormat="1" applyFont="1" applyFill="1" applyAlignment="1">
      <alignment horizontal="right"/>
    </xf>
    <xf numFmtId="0" fontId="0" fillId="3" borderId="0" xfId="0" applyFill="1" applyAlignment="1">
      <alignment horizontal="left"/>
    </xf>
    <xf numFmtId="2" fontId="6" fillId="3" borderId="0" xfId="0" applyNumberFormat="1" applyFont="1" applyFill="1" applyAlignment="1">
      <alignment horizontal="left"/>
    </xf>
    <xf numFmtId="166" fontId="8" fillId="3" borderId="13" xfId="3" applyNumberFormat="1" applyFont="1" applyFill="1" applyBorder="1" applyAlignment="1" applyProtection="1">
      <alignment horizontal="left"/>
    </xf>
    <xf numFmtId="164" fontId="8" fillId="3" borderId="15" xfId="3" applyNumberFormat="1" applyFont="1" applyFill="1" applyBorder="1" applyAlignment="1" applyProtection="1">
      <alignment horizontal="center"/>
    </xf>
    <xf numFmtId="166" fontId="8" fillId="3" borderId="16" xfId="3" applyNumberFormat="1" applyFont="1" applyFill="1" applyBorder="1" applyAlignment="1" applyProtection="1">
      <alignment horizontal="left"/>
    </xf>
    <xf numFmtId="0" fontId="6" fillId="0" borderId="0" xfId="0" applyFont="1" applyFill="1"/>
    <xf numFmtId="0" fontId="0" fillId="0" borderId="0" xfId="0" applyFill="1"/>
    <xf numFmtId="164" fontId="8" fillId="3" borderId="14" xfId="3" applyNumberFormat="1" applyFont="1" applyFill="1" applyBorder="1" applyAlignment="1" applyProtection="1">
      <alignment horizontal="center"/>
    </xf>
    <xf numFmtId="165" fontId="11" fillId="3" borderId="8" xfId="3" applyNumberFormat="1" applyFont="1" applyFill="1" applyBorder="1" applyAlignment="1" applyProtection="1">
      <protection locked="0"/>
    </xf>
    <xf numFmtId="165" fontId="11" fillId="3" borderId="9" xfId="3" applyNumberFormat="1" applyFont="1" applyFill="1" applyBorder="1" applyAlignment="1" applyProtection="1">
      <protection locked="0"/>
    </xf>
    <xf numFmtId="0" fontId="11" fillId="3" borderId="8" xfId="3" applyNumberFormat="1" applyFont="1" applyFill="1" applyBorder="1" applyAlignment="1" applyProtection="1">
      <protection locked="0"/>
    </xf>
    <xf numFmtId="165" fontId="6" fillId="3" borderId="8" xfId="3" applyNumberFormat="1" applyFont="1" applyFill="1" applyBorder="1" applyAlignment="1" applyProtection="1">
      <protection locked="0"/>
    </xf>
    <xf numFmtId="0" fontId="6" fillId="3" borderId="0" xfId="3" applyFont="1" applyFill="1" applyBorder="1" applyAlignment="1" applyProtection="1">
      <protection locked="0"/>
    </xf>
    <xf numFmtId="165" fontId="13" fillId="3" borderId="8" xfId="3" applyNumberFormat="1" applyFont="1" applyFill="1" applyBorder="1" applyAlignment="1" applyProtection="1">
      <protection locked="0"/>
    </xf>
    <xf numFmtId="0" fontId="13" fillId="3" borderId="8" xfId="3" applyNumberFormat="1" applyFont="1" applyFill="1" applyBorder="1" applyAlignment="1" applyProtection="1">
      <protection locked="0"/>
    </xf>
    <xf numFmtId="0" fontId="13" fillId="3" borderId="0" xfId="3" applyNumberFormat="1" applyFont="1" applyFill="1" applyBorder="1" applyAlignment="1" applyProtection="1">
      <protection locked="0"/>
    </xf>
    <xf numFmtId="0" fontId="19" fillId="3" borderId="0" xfId="3" applyFont="1" applyFill="1" applyBorder="1" applyAlignment="1" applyProtection="1">
      <protection locked="0"/>
    </xf>
    <xf numFmtId="165" fontId="15" fillId="3" borderId="8" xfId="3" applyNumberFormat="1" applyFont="1" applyFill="1" applyBorder="1" applyAlignment="1" applyProtection="1">
      <protection locked="0"/>
    </xf>
    <xf numFmtId="165" fontId="15" fillId="3" borderId="9" xfId="3" applyNumberFormat="1" applyFont="1" applyFill="1" applyBorder="1" applyAlignment="1" applyProtection="1">
      <protection locked="0"/>
    </xf>
    <xf numFmtId="166" fontId="15" fillId="3" borderId="8" xfId="3" applyNumberFormat="1" applyFont="1" applyFill="1" applyBorder="1" applyAlignment="1" applyProtection="1">
      <protection locked="0"/>
    </xf>
    <xf numFmtId="166" fontId="15" fillId="3" borderId="0" xfId="3" applyNumberFormat="1" applyFont="1" applyFill="1" applyBorder="1" applyAlignment="1" applyProtection="1">
      <protection locked="0"/>
    </xf>
    <xf numFmtId="165" fontId="15" fillId="3" borderId="0" xfId="3" applyNumberFormat="1" applyFont="1" applyFill="1" applyBorder="1" applyAlignment="1" applyProtection="1">
      <protection locked="0"/>
    </xf>
    <xf numFmtId="165" fontId="21" fillId="3" borderId="8" xfId="3" applyNumberFormat="1" applyFont="1" applyFill="1" applyBorder="1" applyAlignment="1" applyProtection="1">
      <protection locked="0"/>
    </xf>
    <xf numFmtId="165" fontId="21" fillId="3" borderId="0" xfId="3" applyNumberFormat="1" applyFont="1" applyFill="1" applyBorder="1" applyAlignment="1" applyProtection="1">
      <protection locked="0"/>
    </xf>
    <xf numFmtId="165" fontId="23" fillId="3" borderId="8" xfId="3" applyNumberFormat="1" applyFont="1" applyFill="1" applyBorder="1" applyAlignment="1" applyProtection="1">
      <protection locked="0"/>
    </xf>
    <xf numFmtId="165" fontId="6" fillId="3" borderId="0" xfId="3" applyNumberFormat="1" applyFont="1" applyFill="1" applyBorder="1" applyAlignment="1" applyProtection="1">
      <protection locked="0"/>
    </xf>
    <xf numFmtId="165" fontId="19" fillId="3" borderId="8" xfId="3" applyNumberFormat="1" applyFont="1" applyFill="1" applyBorder="1" applyAlignment="1" applyProtection="1">
      <protection locked="0"/>
    </xf>
    <xf numFmtId="0" fontId="19" fillId="3" borderId="8" xfId="3" applyFont="1" applyFill="1" applyBorder="1" applyAlignment="1" applyProtection="1">
      <protection locked="0"/>
    </xf>
    <xf numFmtId="0" fontId="19" fillId="3" borderId="8" xfId="3" applyNumberFormat="1" applyFont="1" applyFill="1" applyBorder="1" applyAlignment="1" applyProtection="1">
      <protection locked="0"/>
    </xf>
    <xf numFmtId="0" fontId="19" fillId="3" borderId="17" xfId="3" applyNumberFormat="1" applyFont="1" applyFill="1" applyBorder="1" applyAlignment="1" applyProtection="1">
      <protection locked="0"/>
    </xf>
    <xf numFmtId="165" fontId="19" fillId="3" borderId="17" xfId="3" applyNumberFormat="1" applyFont="1" applyFill="1" applyBorder="1" applyAlignment="1" applyProtection="1">
      <protection locked="0"/>
    </xf>
    <xf numFmtId="165" fontId="13" fillId="3" borderId="18" xfId="3" applyNumberFormat="1" applyFont="1" applyFill="1" applyBorder="1" applyAlignment="1" applyProtection="1">
      <protection locked="0"/>
    </xf>
    <xf numFmtId="0" fontId="6" fillId="3" borderId="1" xfId="3" applyFont="1" applyFill="1" applyBorder="1" applyProtection="1"/>
    <xf numFmtId="0" fontId="8" fillId="11" borderId="15" xfId="3" applyFont="1" applyFill="1" applyBorder="1" applyAlignment="1" applyProtection="1">
      <alignment horizontal="left"/>
    </xf>
    <xf numFmtId="0" fontId="8" fillId="3" borderId="2" xfId="3" applyFont="1" applyFill="1" applyBorder="1" applyAlignment="1" applyProtection="1">
      <alignment horizontal="left"/>
    </xf>
    <xf numFmtId="0" fontId="19" fillId="3" borderId="19" xfId="3" applyFont="1" applyFill="1" applyBorder="1" applyAlignment="1" applyProtection="1">
      <protection locked="0"/>
    </xf>
    <xf numFmtId="165" fontId="6" fillId="2" borderId="0" xfId="3" applyNumberFormat="1" applyFont="1" applyFill="1" applyBorder="1" applyAlignment="1" applyProtection="1"/>
    <xf numFmtId="2" fontId="6" fillId="2" borderId="0" xfId="3" applyNumberFormat="1" applyFont="1" applyFill="1" applyBorder="1" applyAlignment="1" applyProtection="1"/>
    <xf numFmtId="0" fontId="8" fillId="3" borderId="10" xfId="3" applyNumberFormat="1" applyFont="1" applyFill="1" applyBorder="1" applyAlignment="1" applyProtection="1"/>
    <xf numFmtId="0" fontId="8" fillId="3" borderId="3" xfId="3" applyNumberFormat="1" applyFont="1" applyFill="1" applyBorder="1" applyAlignment="1" applyProtection="1"/>
    <xf numFmtId="165" fontId="8" fillId="3" borderId="0" xfId="3" applyNumberFormat="1" applyFont="1" applyFill="1" applyBorder="1" applyAlignment="1" applyProtection="1"/>
    <xf numFmtId="2" fontId="6" fillId="3" borderId="0" xfId="3" applyNumberFormat="1" applyFont="1" applyFill="1" applyBorder="1" applyAlignment="1" applyProtection="1"/>
    <xf numFmtId="165" fontId="19" fillId="3" borderId="0" xfId="3" applyNumberFormat="1" applyFont="1" applyFill="1" applyBorder="1" applyAlignment="1" applyProtection="1"/>
    <xf numFmtId="2" fontId="19" fillId="3" borderId="0" xfId="3" applyNumberFormat="1" applyFont="1" applyFill="1" applyBorder="1" applyAlignment="1" applyProtection="1"/>
    <xf numFmtId="165" fontId="11" fillId="3" borderId="0" xfId="3" applyNumberFormat="1" applyFont="1" applyFill="1" applyBorder="1" applyAlignment="1" applyProtection="1"/>
    <xf numFmtId="2" fontId="11" fillId="3" borderId="0" xfId="3" applyNumberFormat="1" applyFont="1" applyFill="1" applyBorder="1" applyAlignment="1" applyProtection="1"/>
    <xf numFmtId="2" fontId="13" fillId="3" borderId="0" xfId="3" applyNumberFormat="1" applyFont="1" applyFill="1" applyBorder="1" applyAlignment="1" applyProtection="1"/>
    <xf numFmtId="165" fontId="21" fillId="3" borderId="0" xfId="3" applyNumberFormat="1" applyFont="1" applyFill="1" applyBorder="1" applyAlignment="1" applyProtection="1"/>
    <xf numFmtId="2" fontId="21" fillId="3" borderId="0" xfId="3" applyNumberFormat="1" applyFont="1" applyFill="1" applyBorder="1" applyAlignment="1" applyProtection="1"/>
    <xf numFmtId="2" fontId="15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>
      <protection locked="0"/>
    </xf>
    <xf numFmtId="2" fontId="6" fillId="3" borderId="0" xfId="3" applyNumberFormat="1" applyFont="1" applyFill="1" applyBorder="1" applyAlignment="1" applyProtection="1">
      <protection locked="0"/>
    </xf>
    <xf numFmtId="165" fontId="6" fillId="2" borderId="0" xfId="3" applyNumberFormat="1" applyFont="1" applyFill="1" applyBorder="1" applyAlignment="1" applyProtection="1">
      <protection locked="0"/>
    </xf>
    <xf numFmtId="0" fontId="6" fillId="2" borderId="0" xfId="3" applyFont="1" applyFill="1" applyBorder="1" applyAlignment="1" applyProtection="1">
      <protection locked="0"/>
    </xf>
    <xf numFmtId="0" fontId="6" fillId="2" borderId="0" xfId="3" applyFont="1" applyFill="1" applyBorder="1" applyAlignment="1" applyProtection="1"/>
    <xf numFmtId="165" fontId="23" fillId="3" borderId="0" xfId="3" applyNumberFormat="1" applyFont="1" applyFill="1" applyBorder="1" applyAlignment="1" applyProtection="1"/>
    <xf numFmtId="2" fontId="23" fillId="3" borderId="0" xfId="3" applyNumberFormat="1" applyFont="1" applyFill="1" applyBorder="1" applyAlignment="1" applyProtection="1"/>
    <xf numFmtId="0" fontId="13" fillId="3" borderId="0" xfId="3" applyNumberFormat="1" applyFont="1" applyFill="1" applyBorder="1" applyAlignment="1" applyProtection="1"/>
    <xf numFmtId="0" fontId="17" fillId="3" borderId="0" xfId="3" applyFont="1" applyFill="1" applyBorder="1" applyAlignment="1" applyProtection="1">
      <alignment horizontal="right"/>
    </xf>
    <xf numFmtId="165" fontId="31" fillId="3" borderId="0" xfId="0" applyNumberFormat="1" applyFont="1" applyFill="1" applyBorder="1" applyAlignment="1"/>
    <xf numFmtId="0" fontId="2" fillId="3" borderId="0" xfId="3" applyFont="1" applyFill="1" applyBorder="1" applyAlignment="1" applyProtection="1"/>
    <xf numFmtId="0" fontId="2" fillId="3" borderId="0" xfId="0" applyFont="1" applyFill="1" applyBorder="1" applyAlignment="1">
      <alignment horizontal="right"/>
    </xf>
    <xf numFmtId="2" fontId="6" fillId="2" borderId="0" xfId="3" applyNumberFormat="1" applyFont="1" applyFill="1" applyBorder="1" applyProtection="1">
      <protection locked="0"/>
    </xf>
    <xf numFmtId="0" fontId="8" fillId="3" borderId="7" xfId="3" applyNumberFormat="1" applyFont="1" applyFill="1" applyBorder="1" applyAlignment="1" applyProtection="1">
      <alignment horizontal="center"/>
    </xf>
    <xf numFmtId="0" fontId="8" fillId="3" borderId="1" xfId="3" applyNumberFormat="1" applyFont="1" applyFill="1" applyBorder="1" applyAlignment="1" applyProtection="1">
      <alignment horizontal="center"/>
    </xf>
    <xf numFmtId="0" fontId="8" fillId="3" borderId="2" xfId="3" applyNumberFormat="1" applyFont="1" applyFill="1" applyBorder="1" applyAlignment="1" applyProtection="1">
      <alignment horizontal="center"/>
    </xf>
    <xf numFmtId="0" fontId="8" fillId="3" borderId="10" xfId="3" applyNumberFormat="1" applyFont="1" applyFill="1" applyBorder="1" applyAlignment="1" applyProtection="1">
      <alignment horizontal="center"/>
    </xf>
    <xf numFmtId="0" fontId="8" fillId="3" borderId="3" xfId="3" applyNumberFormat="1" applyFont="1" applyFill="1" applyBorder="1" applyAlignment="1" applyProtection="1">
      <alignment horizontal="center"/>
    </xf>
    <xf numFmtId="0" fontId="9" fillId="3" borderId="2" xfId="3" applyNumberFormat="1" applyFont="1" applyFill="1" applyBorder="1" applyAlignment="1" applyProtection="1">
      <alignment horizontal="center"/>
    </xf>
    <xf numFmtId="0" fontId="8" fillId="3" borderId="2" xfId="3" applyNumberFormat="1" applyFont="1" applyFill="1" applyBorder="1" applyAlignment="1" applyProtection="1"/>
    <xf numFmtId="0" fontId="6" fillId="3" borderId="0" xfId="3" applyNumberFormat="1" applyFont="1" applyFill="1" applyBorder="1" applyProtection="1"/>
    <xf numFmtId="166" fontId="6" fillId="2" borderId="0" xfId="3" applyNumberFormat="1" applyFont="1" applyFill="1" applyBorder="1" applyProtection="1"/>
    <xf numFmtId="166" fontId="19" fillId="3" borderId="0" xfId="3" applyNumberFormat="1" applyFont="1" applyFill="1" applyBorder="1" applyProtection="1"/>
    <xf numFmtId="166" fontId="6" fillId="3" borderId="0" xfId="3" applyNumberFormat="1" applyFont="1" applyFill="1" applyBorder="1" applyProtection="1"/>
    <xf numFmtId="166" fontId="11" fillId="3" borderId="0" xfId="3" applyNumberFormat="1" applyFont="1" applyFill="1" applyBorder="1" applyAlignment="1" applyProtection="1"/>
    <xf numFmtId="166" fontId="21" fillId="3" borderId="0" xfId="3" applyNumberFormat="1" applyFont="1" applyFill="1" applyBorder="1" applyAlignment="1" applyProtection="1">
      <alignment horizontal="center"/>
    </xf>
    <xf numFmtId="166" fontId="15" fillId="3" borderId="0" xfId="3" applyNumberFormat="1" applyFont="1" applyFill="1" applyBorder="1" applyProtection="1"/>
    <xf numFmtId="166" fontId="15" fillId="3" borderId="0" xfId="3" applyNumberFormat="1" applyFont="1" applyFill="1" applyBorder="1" applyAlignment="1" applyProtection="1"/>
    <xf numFmtId="166" fontId="6" fillId="3" borderId="0" xfId="3" applyNumberFormat="1" applyFont="1" applyFill="1" applyBorder="1" applyProtection="1">
      <protection locked="0"/>
    </xf>
    <xf numFmtId="166" fontId="6" fillId="2" borderId="0" xfId="3" applyNumberFormat="1" applyFont="1" applyFill="1" applyBorder="1" applyProtection="1">
      <protection locked="0"/>
    </xf>
    <xf numFmtId="166" fontId="13" fillId="3" borderId="0" xfId="3" applyNumberFormat="1" applyFont="1" applyFill="1" applyBorder="1" applyAlignment="1" applyProtection="1"/>
    <xf numFmtId="166" fontId="23" fillId="3" borderId="0" xfId="3" applyNumberFormat="1" applyFont="1" applyFill="1" applyBorder="1" applyAlignment="1" applyProtection="1">
      <alignment horizontal="center"/>
    </xf>
    <xf numFmtId="0" fontId="19" fillId="3" borderId="0" xfId="3" applyNumberFormat="1" applyFont="1" applyFill="1" applyBorder="1" applyAlignment="1" applyProtection="1"/>
    <xf numFmtId="0" fontId="6" fillId="3" borderId="0" xfId="3" applyNumberFormat="1" applyFont="1" applyFill="1" applyBorder="1" applyAlignment="1" applyProtection="1">
      <alignment horizontal="right"/>
    </xf>
    <xf numFmtId="0" fontId="34" fillId="0" borderId="0" xfId="0" applyFont="1"/>
    <xf numFmtId="0" fontId="34" fillId="0" borderId="0" xfId="0" applyFont="1" applyAlignment="1">
      <alignment horizontal="center"/>
    </xf>
    <xf numFmtId="0" fontId="38" fillId="0" borderId="0" xfId="0" applyFont="1"/>
    <xf numFmtId="0" fontId="38" fillId="5" borderId="0" xfId="0" applyFont="1" applyFill="1"/>
    <xf numFmtId="0" fontId="17" fillId="3" borderId="0" xfId="3" applyFont="1" applyFill="1" applyBorder="1" applyProtection="1">
      <protection locked="0"/>
    </xf>
    <xf numFmtId="0" fontId="17" fillId="3" borderId="0" xfId="3" applyFont="1" applyFill="1" applyBorder="1" applyAlignment="1" applyProtection="1">
      <alignment horizontal="left"/>
      <protection locked="0"/>
    </xf>
    <xf numFmtId="165" fontId="6" fillId="3" borderId="0" xfId="3" applyNumberFormat="1" applyFont="1" applyFill="1" applyBorder="1" applyAlignment="1" applyProtection="1">
      <alignment horizontal="left"/>
      <protection locked="0"/>
    </xf>
    <xf numFmtId="0" fontId="13" fillId="3" borderId="0" xfId="3" applyFont="1" applyFill="1" applyBorder="1" applyAlignment="1" applyProtection="1">
      <alignment horizontal="center"/>
      <protection locked="0"/>
    </xf>
    <xf numFmtId="165" fontId="13" fillId="3" borderId="0" xfId="3" applyNumberFormat="1" applyFont="1" applyFill="1" applyBorder="1" applyAlignment="1" applyProtection="1">
      <protection locked="0"/>
    </xf>
    <xf numFmtId="0" fontId="6" fillId="4" borderId="0" xfId="5" applyNumberFormat="1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/>
    <xf numFmtId="0" fontId="6" fillId="5" borderId="0" xfId="5" applyNumberFormat="1" applyFont="1" applyFill="1" applyBorder="1" applyAlignment="1" applyProtection="1"/>
    <xf numFmtId="0" fontId="6" fillId="5" borderId="0" xfId="5" applyNumberFormat="1" applyFont="1" applyFill="1" applyBorder="1" applyAlignment="1" applyProtection="1">
      <protection locked="0"/>
    </xf>
    <xf numFmtId="0" fontId="6" fillId="3" borderId="0" xfId="5" applyNumberFormat="1" applyFont="1" applyFill="1" applyBorder="1" applyAlignment="1" applyProtection="1">
      <protection locked="0"/>
    </xf>
    <xf numFmtId="1" fontId="6" fillId="3" borderId="0" xfId="3" applyNumberFormat="1" applyFont="1" applyFill="1" applyBorder="1" applyAlignment="1" applyProtection="1">
      <alignment horizontal="left"/>
    </xf>
    <xf numFmtId="1" fontId="6" fillId="3" borderId="0" xfId="3" applyNumberFormat="1" applyFont="1" applyFill="1" applyBorder="1" applyAlignment="1" applyProtection="1">
      <alignment horizontal="center"/>
      <protection locked="0"/>
    </xf>
    <xf numFmtId="1" fontId="6" fillId="3" borderId="8" xfId="3" applyNumberFormat="1" applyFont="1" applyFill="1" applyBorder="1" applyAlignment="1" applyProtection="1">
      <alignment horizontal="center"/>
      <protection locked="0"/>
    </xf>
    <xf numFmtId="1" fontId="6" fillId="3" borderId="8" xfId="3" quotePrefix="1" applyNumberFormat="1" applyFont="1" applyFill="1" applyBorder="1" applyAlignment="1" applyProtection="1">
      <alignment horizontal="center"/>
      <protection locked="0"/>
    </xf>
    <xf numFmtId="170" fontId="6" fillId="3" borderId="0" xfId="3" applyNumberFormat="1" applyFont="1" applyFill="1" applyBorder="1" applyAlignment="1" applyProtection="1">
      <alignment horizontal="center"/>
    </xf>
    <xf numFmtId="0" fontId="15" fillId="3" borderId="0" xfId="3" applyNumberFormat="1" applyFont="1" applyFill="1" applyBorder="1" applyAlignment="1" applyProtection="1"/>
    <xf numFmtId="0" fontId="0" fillId="11" borderId="0" xfId="0" applyFill="1"/>
    <xf numFmtId="0" fontId="40" fillId="0" borderId="0" xfId="0" applyFont="1"/>
    <xf numFmtId="0" fontId="15" fillId="3" borderId="0" xfId="5" applyFont="1" applyFill="1" applyBorder="1" applyProtection="1">
      <protection locked="0"/>
    </xf>
    <xf numFmtId="0" fontId="11" fillId="3" borderId="0" xfId="5" applyNumberFormat="1" applyFont="1" applyFill="1" applyBorder="1" applyAlignment="1" applyProtection="1">
      <alignment horizontal="center"/>
      <protection locked="0"/>
    </xf>
    <xf numFmtId="165" fontId="6" fillId="3" borderId="0" xfId="5" applyNumberFormat="1" applyFont="1" applyFill="1" applyBorder="1" applyAlignment="1" applyProtection="1">
      <protection locked="0"/>
    </xf>
    <xf numFmtId="0" fontId="11" fillId="3" borderId="0" xfId="5" applyNumberFormat="1" applyFont="1" applyFill="1" applyBorder="1" applyAlignment="1" applyProtection="1">
      <protection locked="0"/>
    </xf>
    <xf numFmtId="0" fontId="8" fillId="5" borderId="0" xfId="5" applyFont="1" applyFill="1" applyBorder="1" applyAlignment="1" applyProtection="1">
      <protection locked="0"/>
    </xf>
    <xf numFmtId="165" fontId="8" fillId="5" borderId="0" xfId="5" applyNumberFormat="1" applyFont="1" applyFill="1" applyBorder="1" applyAlignment="1" applyProtection="1">
      <protection locked="0"/>
    </xf>
    <xf numFmtId="0" fontId="15" fillId="5" borderId="0" xfId="5" applyFont="1" applyFill="1" applyBorder="1" applyAlignment="1" applyProtection="1">
      <protection locked="0"/>
    </xf>
    <xf numFmtId="0" fontId="6" fillId="5" borderId="0" xfId="5" applyFont="1" applyFill="1" applyBorder="1" applyAlignment="1" applyProtection="1">
      <protection locked="0"/>
    </xf>
    <xf numFmtId="165" fontId="6" fillId="5" borderId="0" xfId="5" applyNumberFormat="1" applyFont="1" applyFill="1" applyBorder="1" applyAlignment="1" applyProtection="1">
      <protection locked="0"/>
    </xf>
    <xf numFmtId="0" fontId="11" fillId="5" borderId="0" xfId="5" applyNumberFormat="1" applyFont="1" applyFill="1" applyBorder="1" applyAlignment="1" applyProtection="1">
      <protection locked="0"/>
    </xf>
    <xf numFmtId="0" fontId="21" fillId="3" borderId="0" xfId="3" applyFont="1" applyFill="1" applyBorder="1" applyAlignment="1" applyProtection="1"/>
    <xf numFmtId="0" fontId="21" fillId="3" borderId="0" xfId="3" applyNumberFormat="1" applyFont="1" applyFill="1" applyBorder="1" applyAlignment="1" applyProtection="1"/>
    <xf numFmtId="11" fontId="0" fillId="3" borderId="0" xfId="0" applyNumberFormat="1" applyFill="1"/>
    <xf numFmtId="0" fontId="17" fillId="3" borderId="0" xfId="0" applyFont="1" applyFill="1"/>
    <xf numFmtId="0" fontId="15" fillId="3" borderId="0" xfId="3" applyFont="1" applyFill="1" applyBorder="1" applyAlignment="1" applyProtection="1">
      <protection locked="0"/>
    </xf>
    <xf numFmtId="0" fontId="23" fillId="3" borderId="0" xfId="3" applyFont="1" applyFill="1" applyBorder="1" applyAlignment="1" applyProtection="1"/>
    <xf numFmtId="0" fontId="11" fillId="3" borderId="19" xfId="3" applyNumberFormat="1" applyFont="1" applyFill="1" applyBorder="1" applyAlignment="1" applyProtection="1">
      <protection locked="0"/>
    </xf>
    <xf numFmtId="0" fontId="15" fillId="3" borderId="19" xfId="3" applyFont="1" applyFill="1" applyBorder="1" applyAlignment="1" applyProtection="1">
      <protection locked="0"/>
    </xf>
    <xf numFmtId="165" fontId="13" fillId="3" borderId="19" xfId="3" applyNumberFormat="1" applyFont="1" applyFill="1" applyBorder="1" applyAlignment="1" applyProtection="1">
      <protection locked="0"/>
    </xf>
    <xf numFmtId="165" fontId="15" fillId="3" borderId="7" xfId="3" applyNumberFormat="1" applyFont="1" applyFill="1" applyBorder="1" applyAlignment="1" applyProtection="1">
      <protection locked="0"/>
    </xf>
    <xf numFmtId="0" fontId="19" fillId="3" borderId="7" xfId="3" applyFont="1" applyFill="1" applyBorder="1" applyAlignment="1" applyProtection="1">
      <protection locked="0"/>
    </xf>
    <xf numFmtId="0" fontId="19" fillId="3" borderId="1" xfId="3" applyFont="1" applyFill="1" applyBorder="1" applyAlignment="1" applyProtection="1">
      <protection locked="0"/>
    </xf>
    <xf numFmtId="165" fontId="23" fillId="3" borderId="0" xfId="3" applyNumberFormat="1" applyFont="1" applyFill="1" applyBorder="1" applyAlignment="1" applyProtection="1">
      <protection locked="0"/>
    </xf>
    <xf numFmtId="0" fontId="23" fillId="3" borderId="1" xfId="3" applyFont="1" applyFill="1" applyBorder="1" applyAlignment="1" applyProtection="1"/>
    <xf numFmtId="0" fontId="8" fillId="3" borderId="3" xfId="3" applyFont="1" applyFill="1" applyBorder="1" applyAlignment="1" applyProtection="1">
      <alignment horizontal="center"/>
      <protection locked="0"/>
    </xf>
    <xf numFmtId="0" fontId="6" fillId="3" borderId="12" xfId="3" applyFont="1" applyFill="1" applyBorder="1" applyProtection="1">
      <protection locked="0"/>
    </xf>
    <xf numFmtId="0" fontId="6" fillId="3" borderId="5" xfId="3" applyFont="1" applyFill="1" applyBorder="1" applyProtection="1">
      <protection locked="0"/>
    </xf>
    <xf numFmtId="165" fontId="8" fillId="3" borderId="5" xfId="3" applyNumberFormat="1" applyFont="1" applyFill="1" applyBorder="1" applyAlignment="1" applyProtection="1">
      <alignment horizontal="center"/>
      <protection locked="0"/>
    </xf>
    <xf numFmtId="165" fontId="8" fillId="3" borderId="12" xfId="3" applyNumberFormat="1" applyFont="1" applyFill="1" applyBorder="1" applyAlignment="1" applyProtection="1">
      <alignment horizontal="center"/>
      <protection locked="0"/>
    </xf>
    <xf numFmtId="165" fontId="8" fillId="3" borderId="2" xfId="3" applyNumberFormat="1" applyFont="1" applyFill="1" applyBorder="1" applyAlignment="1" applyProtection="1">
      <alignment horizontal="center"/>
      <protection locked="0"/>
    </xf>
    <xf numFmtId="165" fontId="19" fillId="3" borderId="20" xfId="3" applyNumberFormat="1" applyFont="1" applyFill="1" applyBorder="1" applyAlignment="1" applyProtection="1">
      <protection locked="0"/>
    </xf>
    <xf numFmtId="2" fontId="8" fillId="3" borderId="12" xfId="3" applyNumberFormat="1" applyFont="1" applyFill="1" applyBorder="1" applyAlignment="1" applyProtection="1">
      <alignment horizontal="left"/>
    </xf>
    <xf numFmtId="2" fontId="8" fillId="3" borderId="7" xfId="3" applyNumberFormat="1" applyFont="1" applyFill="1" applyBorder="1" applyAlignment="1" applyProtection="1">
      <alignment horizontal="left"/>
    </xf>
    <xf numFmtId="2" fontId="8" fillId="3" borderId="7" xfId="3" applyNumberFormat="1" applyFont="1" applyFill="1" applyBorder="1" applyAlignment="1" applyProtection="1">
      <alignment horizontal="center"/>
    </xf>
    <xf numFmtId="2" fontId="6" fillId="3" borderId="7" xfId="3" applyNumberFormat="1" applyFont="1" applyFill="1" applyBorder="1" applyAlignment="1" applyProtection="1"/>
    <xf numFmtId="2" fontId="19" fillId="3" borderId="7" xfId="3" applyNumberFormat="1" applyFont="1" applyFill="1" applyBorder="1" applyAlignment="1" applyProtection="1"/>
    <xf numFmtId="2" fontId="11" fillId="3" borderId="7" xfId="3" applyNumberFormat="1" applyFont="1" applyFill="1" applyBorder="1" applyProtection="1"/>
    <xf numFmtId="2" fontId="13" fillId="3" borderId="7" xfId="3" applyNumberFormat="1" applyFont="1" applyFill="1" applyBorder="1" applyProtection="1"/>
    <xf numFmtId="2" fontId="21" fillId="3" borderId="7" xfId="3" applyNumberFormat="1" applyFont="1" applyFill="1" applyBorder="1" applyAlignment="1" applyProtection="1">
      <alignment horizontal="center"/>
    </xf>
    <xf numFmtId="2" fontId="15" fillId="3" borderId="7" xfId="3" applyNumberFormat="1" applyFont="1" applyFill="1" applyBorder="1" applyProtection="1"/>
    <xf numFmtId="2" fontId="15" fillId="3" borderId="7" xfId="3" applyNumberFormat="1" applyFont="1" applyFill="1" applyBorder="1" applyAlignment="1" applyProtection="1"/>
    <xf numFmtId="2" fontId="6" fillId="3" borderId="7" xfId="3" applyNumberFormat="1" applyFont="1" applyFill="1" applyBorder="1" applyProtection="1"/>
    <xf numFmtId="2" fontId="6" fillId="3" borderId="7" xfId="3" applyNumberFormat="1" applyFont="1" applyFill="1" applyBorder="1" applyProtection="1">
      <protection locked="0"/>
    </xf>
    <xf numFmtId="2" fontId="23" fillId="3" borderId="7" xfId="3" applyNumberFormat="1" applyFont="1" applyFill="1" applyBorder="1" applyAlignment="1" applyProtection="1">
      <alignment horizontal="center"/>
    </xf>
    <xf numFmtId="166" fontId="15" fillId="3" borderId="19" xfId="3" applyNumberFormat="1" applyFont="1" applyFill="1" applyBorder="1" applyAlignment="1" applyProtection="1">
      <protection locked="0"/>
    </xf>
    <xf numFmtId="0" fontId="11" fillId="3" borderId="19" xfId="3" applyFont="1" applyFill="1" applyBorder="1" applyProtection="1"/>
    <xf numFmtId="0" fontId="15" fillId="3" borderId="19" xfId="3" applyFont="1" applyFill="1" applyBorder="1" applyProtection="1"/>
    <xf numFmtId="0" fontId="13" fillId="3" borderId="19" xfId="3" applyFont="1" applyFill="1" applyBorder="1" applyProtection="1"/>
    <xf numFmtId="165" fontId="8" fillId="3" borderId="10" xfId="3" applyNumberFormat="1" applyFont="1" applyFill="1" applyBorder="1" applyAlignment="1" applyProtection="1">
      <alignment horizontal="center"/>
    </xf>
    <xf numFmtId="0" fontId="6" fillId="3" borderId="7" xfId="3" applyFont="1" applyFill="1" applyBorder="1" applyProtection="1"/>
    <xf numFmtId="0" fontId="11" fillId="3" borderId="21" xfId="3" applyFont="1" applyFill="1" applyBorder="1" applyProtection="1"/>
    <xf numFmtId="0" fontId="15" fillId="3" borderId="21" xfId="3" applyFont="1" applyFill="1" applyBorder="1" applyProtection="1"/>
    <xf numFmtId="0" fontId="6" fillId="3" borderId="7" xfId="3" applyFont="1" applyFill="1" applyBorder="1" applyProtection="1">
      <protection locked="0"/>
    </xf>
    <xf numFmtId="0" fontId="15" fillId="3" borderId="7" xfId="3" applyFont="1" applyFill="1" applyBorder="1" applyProtection="1"/>
    <xf numFmtId="0" fontId="21" fillId="3" borderId="7" xfId="3" applyFont="1" applyFill="1" applyBorder="1" applyProtection="1"/>
    <xf numFmtId="0" fontId="19" fillId="3" borderId="7" xfId="3" applyFont="1" applyFill="1" applyBorder="1" applyProtection="1"/>
    <xf numFmtId="0" fontId="13" fillId="3" borderId="21" xfId="3" applyFont="1" applyFill="1" applyBorder="1" applyProtection="1"/>
    <xf numFmtId="0" fontId="13" fillId="3" borderId="7" xfId="3" applyFont="1" applyFill="1" applyBorder="1" applyProtection="1"/>
    <xf numFmtId="165" fontId="23" fillId="3" borderId="7" xfId="3" applyNumberFormat="1" applyFont="1" applyFill="1" applyBorder="1" applyAlignment="1" applyProtection="1">
      <protection locked="0"/>
    </xf>
    <xf numFmtId="171" fontId="0" fillId="11" borderId="0" xfId="0" applyNumberFormat="1" applyFill="1"/>
    <xf numFmtId="11" fontId="0" fillId="11" borderId="0" xfId="0" applyNumberFormat="1" applyFill="1"/>
    <xf numFmtId="164" fontId="6" fillId="3" borderId="0" xfId="0" applyNumberFormat="1" applyFont="1" applyFill="1" applyAlignment="1">
      <alignment horizontal="right"/>
    </xf>
    <xf numFmtId="0" fontId="0" fillId="3" borderId="0" xfId="0" applyFill="1" applyAlignment="1">
      <alignment horizontal="center"/>
    </xf>
    <xf numFmtId="0" fontId="15" fillId="3" borderId="22" xfId="3" applyFont="1" applyFill="1" applyBorder="1" applyAlignment="1" applyProtection="1">
      <protection locked="0"/>
    </xf>
    <xf numFmtId="0" fontId="41" fillId="0" borderId="0" xfId="4"/>
    <xf numFmtId="171" fontId="0" fillId="0" borderId="0" xfId="0" applyNumberFormat="1" applyFill="1"/>
    <xf numFmtId="0" fontId="31" fillId="0" borderId="0" xfId="0" applyFont="1"/>
    <xf numFmtId="11" fontId="2" fillId="0" borderId="0" xfId="0" applyNumberFormat="1" applyFont="1"/>
    <xf numFmtId="0" fontId="2" fillId="0" borderId="0" xfId="0" applyFont="1"/>
    <xf numFmtId="0" fontId="8" fillId="3" borderId="12" xfId="3" applyFont="1" applyFill="1" applyBorder="1" applyAlignment="1" applyProtection="1">
      <alignment horizontal="left"/>
    </xf>
    <xf numFmtId="0" fontId="1" fillId="0" borderId="0" xfId="6"/>
    <xf numFmtId="0" fontId="4" fillId="0" borderId="0" xfId="2" applyAlignment="1" applyProtection="1">
      <alignment horizontal="left"/>
    </xf>
    <xf numFmtId="0" fontId="38" fillId="0" borderId="0" xfId="5" applyFont="1" applyAlignment="1">
      <alignment horizontal="left"/>
    </xf>
  </cellXfs>
  <cellStyles count="7">
    <cellStyle name="Hyperlink" xfId="2" builtinId="8"/>
    <cellStyle name="Normal" xfId="0" builtinId="0"/>
    <cellStyle name="Normal 2" xfId="6"/>
    <cellStyle name="Normal_ExcelOptics" xfId="3"/>
    <cellStyle name="Normal_fodo.xls" xfId="4"/>
    <cellStyle name="Normal_original.xls" xfId="5"/>
    <cellStyle name="RowLevel_2" xfId="1" builtinId="1" iLevel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4984731855546249"/>
          <c:y val="4.7703180212014133E-2"/>
          <c:w val="0.76911429829997346"/>
          <c:h val="0.87809187279152168"/>
        </c:manualLayout>
      </c:layout>
      <c:scatterChart>
        <c:scatterStyle val="smoothMarker"/>
        <c:ser>
          <c:idx val="0"/>
          <c:order val="0"/>
          <c:tx>
            <c:v>8 poles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none"/>
          </c:marker>
          <c:xVal>
            <c:numRef>
              <c:f>'quad table'!$R$31:$AC$31</c:f>
              <c:numCache>
                <c:formatCode>General</c:formatCode>
                <c:ptCount val="12"/>
                <c:pt idx="0">
                  <c:v>0</c:v>
                </c:pt>
                <c:pt idx="1">
                  <c:v>3.2000000000000002E-3</c:v>
                </c:pt>
                <c:pt idx="2">
                  <c:v>6.4000000000000003E-3</c:v>
                </c:pt>
                <c:pt idx="3">
                  <c:v>9.5999999999999992E-3</c:v>
                </c:pt>
                <c:pt idx="4">
                  <c:v>1.2800000000000001E-2</c:v>
                </c:pt>
                <c:pt idx="5">
                  <c:v>1.6E-2</c:v>
                </c:pt>
                <c:pt idx="6">
                  <c:v>1.9199999999999998E-2</c:v>
                </c:pt>
                <c:pt idx="7">
                  <c:v>2.24E-2</c:v>
                </c:pt>
                <c:pt idx="8">
                  <c:v>2.5600000000000001E-2</c:v>
                </c:pt>
                <c:pt idx="9">
                  <c:v>2.8800000000000003E-2</c:v>
                </c:pt>
                <c:pt idx="10">
                  <c:v>3.2000000000000001E-2</c:v>
                </c:pt>
                <c:pt idx="11">
                  <c:v>3.5200000000000002E-2</c:v>
                </c:pt>
              </c:numCache>
            </c:numRef>
          </c:xVal>
          <c:yVal>
            <c:numRef>
              <c:f>'quad table'!$R$32:$AC$32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12 poles</c:v>
          </c:tx>
          <c:spPr>
            <a:ln w="25400">
              <a:solidFill>
                <a:srgbClr val="DD2D32"/>
              </a:solidFill>
              <a:prstDash val="solid"/>
            </a:ln>
          </c:spPr>
          <c:marker>
            <c:symbol val="none"/>
          </c:marker>
          <c:xVal>
            <c:numRef>
              <c:f>'quad table'!$R$31:$AC$31</c:f>
              <c:numCache>
                <c:formatCode>General</c:formatCode>
                <c:ptCount val="12"/>
                <c:pt idx="0">
                  <c:v>0</c:v>
                </c:pt>
                <c:pt idx="1">
                  <c:v>3.2000000000000002E-3</c:v>
                </c:pt>
                <c:pt idx="2">
                  <c:v>6.4000000000000003E-3</c:v>
                </c:pt>
                <c:pt idx="3">
                  <c:v>9.5999999999999992E-3</c:v>
                </c:pt>
                <c:pt idx="4">
                  <c:v>1.2800000000000001E-2</c:v>
                </c:pt>
                <c:pt idx="5">
                  <c:v>1.6E-2</c:v>
                </c:pt>
                <c:pt idx="6">
                  <c:v>1.9199999999999998E-2</c:v>
                </c:pt>
                <c:pt idx="7">
                  <c:v>2.24E-2</c:v>
                </c:pt>
                <c:pt idx="8">
                  <c:v>2.5600000000000001E-2</c:v>
                </c:pt>
                <c:pt idx="9">
                  <c:v>2.8800000000000003E-2</c:v>
                </c:pt>
                <c:pt idx="10">
                  <c:v>3.2000000000000001E-2</c:v>
                </c:pt>
                <c:pt idx="11">
                  <c:v>3.5200000000000002E-2</c:v>
                </c:pt>
              </c:numCache>
            </c:numRef>
          </c:xVal>
          <c:yVal>
            <c:numRef>
              <c:f>'quad table'!$R$33:$AC$33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20 poles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none"/>
          </c:marker>
          <c:xVal>
            <c:numRef>
              <c:f>'quad table'!$R$31:$AC$31</c:f>
              <c:numCache>
                <c:formatCode>General</c:formatCode>
                <c:ptCount val="12"/>
                <c:pt idx="0">
                  <c:v>0</c:v>
                </c:pt>
                <c:pt idx="1">
                  <c:v>3.2000000000000002E-3</c:v>
                </c:pt>
                <c:pt idx="2">
                  <c:v>6.4000000000000003E-3</c:v>
                </c:pt>
                <c:pt idx="3">
                  <c:v>9.5999999999999992E-3</c:v>
                </c:pt>
                <c:pt idx="4">
                  <c:v>1.2800000000000001E-2</c:v>
                </c:pt>
                <c:pt idx="5">
                  <c:v>1.6E-2</c:v>
                </c:pt>
                <c:pt idx="6">
                  <c:v>1.9199999999999998E-2</c:v>
                </c:pt>
                <c:pt idx="7">
                  <c:v>2.24E-2</c:v>
                </c:pt>
                <c:pt idx="8">
                  <c:v>2.5600000000000001E-2</c:v>
                </c:pt>
                <c:pt idx="9">
                  <c:v>2.8800000000000003E-2</c:v>
                </c:pt>
                <c:pt idx="10">
                  <c:v>3.2000000000000001E-2</c:v>
                </c:pt>
                <c:pt idx="11">
                  <c:v>3.5200000000000002E-2</c:v>
                </c:pt>
              </c:numCache>
            </c:numRef>
          </c:xVal>
          <c:yVal>
            <c:numRef>
              <c:f>'quad table'!$R$34:$AC$34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Total</c:v>
          </c:tx>
          <c:spPr>
            <a:ln w="25400">
              <a:solidFill>
                <a:srgbClr val="4EE257"/>
              </a:solidFill>
              <a:prstDash val="solid"/>
            </a:ln>
          </c:spPr>
          <c:marker>
            <c:symbol val="none"/>
          </c:marker>
          <c:xVal>
            <c:numRef>
              <c:f>'quad table'!$R$31:$AC$31</c:f>
              <c:numCache>
                <c:formatCode>General</c:formatCode>
                <c:ptCount val="12"/>
                <c:pt idx="0">
                  <c:v>0</c:v>
                </c:pt>
                <c:pt idx="1">
                  <c:v>3.2000000000000002E-3</c:v>
                </c:pt>
                <c:pt idx="2">
                  <c:v>6.4000000000000003E-3</c:v>
                </c:pt>
                <c:pt idx="3">
                  <c:v>9.5999999999999992E-3</c:v>
                </c:pt>
                <c:pt idx="4">
                  <c:v>1.2800000000000001E-2</c:v>
                </c:pt>
                <c:pt idx="5">
                  <c:v>1.6E-2</c:v>
                </c:pt>
                <c:pt idx="6">
                  <c:v>1.9199999999999998E-2</c:v>
                </c:pt>
                <c:pt idx="7">
                  <c:v>2.24E-2</c:v>
                </c:pt>
                <c:pt idx="8">
                  <c:v>2.5600000000000001E-2</c:v>
                </c:pt>
                <c:pt idx="9">
                  <c:v>2.8800000000000003E-2</c:v>
                </c:pt>
                <c:pt idx="10">
                  <c:v>3.2000000000000001E-2</c:v>
                </c:pt>
                <c:pt idx="11">
                  <c:v>3.5200000000000002E-2</c:v>
                </c:pt>
              </c:numCache>
            </c:numRef>
          </c:xVal>
          <c:yVal>
            <c:numRef>
              <c:f>'quad table'!$R$35:$AC$35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axId val="70507520"/>
        <c:axId val="87307776"/>
      </c:scatterChart>
      <c:valAx>
        <c:axId val="7050752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x [m]</a:t>
                </a:r>
              </a:p>
            </c:rich>
          </c:tx>
          <c:layout>
            <c:manualLayout>
              <c:xMode val="edge"/>
              <c:yMode val="edge"/>
              <c:x val="0.50305890662749764"/>
              <c:y val="0.941696062072801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7307776"/>
        <c:crosses val="autoZero"/>
        <c:crossBetween val="midCat"/>
      </c:valAx>
      <c:valAx>
        <c:axId val="873077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DG/G</a:t>
                </a:r>
              </a:p>
            </c:rich>
          </c:tx>
          <c:layout>
            <c:manualLayout>
              <c:xMode val="edge"/>
              <c:yMode val="edge"/>
              <c:x val="2.1406727828746221E-2"/>
              <c:y val="0.452296886707025"/>
            </c:manualLayout>
          </c:layout>
          <c:spPr>
            <a:noFill/>
            <a:ln w="25400">
              <a:noFill/>
            </a:ln>
          </c:spPr>
        </c:title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705075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43119266055046"/>
          <c:y val="0.11208406304728546"/>
          <c:w val="0.14525993883792127"/>
          <c:h val="0.1208406304728549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 paperSize="0" orientation="landscape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8.0916090854671732E-2"/>
          <c:y val="4.2253557450034944E-2"/>
          <c:w val="0.88702356201064658"/>
          <c:h val="0.87852188198197667"/>
        </c:manualLayout>
      </c:layout>
      <c:scatterChart>
        <c:scatterStyle val="smoothMarker"/>
        <c:ser>
          <c:idx val="0"/>
          <c:order val="0"/>
          <c:tx>
            <c:v>6 poles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none"/>
          </c:marker>
          <c:xVal>
            <c:numRef>
              <c:f>'dip table'!$O$11:$Z$11</c:f>
              <c:numCache>
                <c:formatCode>General</c:formatCode>
                <c:ptCount val="12"/>
                <c:pt idx="0">
                  <c:v>-2.6000000000000002E-2</c:v>
                </c:pt>
                <c:pt idx="1">
                  <c:v>-2.0000000000000004E-2</c:v>
                </c:pt>
                <c:pt idx="2">
                  <c:v>-1.4999999999999999E-2</c:v>
                </c:pt>
                <c:pt idx="3">
                  <c:v>-1.0000000000000002E-2</c:v>
                </c:pt>
                <c:pt idx="4">
                  <c:v>-5.000000000000001E-3</c:v>
                </c:pt>
                <c:pt idx="5">
                  <c:v>0</c:v>
                </c:pt>
                <c:pt idx="6">
                  <c:v>5.000000000000001E-3</c:v>
                </c:pt>
                <c:pt idx="7">
                  <c:v>1.0000000000000002E-2</c:v>
                </c:pt>
                <c:pt idx="8">
                  <c:v>1.4999999999999999E-2</c:v>
                </c:pt>
                <c:pt idx="9">
                  <c:v>2.0000000000000004E-2</c:v>
                </c:pt>
                <c:pt idx="10">
                  <c:v>2.5000000000000001E-2</c:v>
                </c:pt>
                <c:pt idx="11">
                  <c:v>2.6000000000000002E-2</c:v>
                </c:pt>
              </c:numCache>
            </c:numRef>
          </c:xVal>
          <c:yVal>
            <c:numRef>
              <c:f>'dip table'!$O$13:$Z$13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10 poles</c:v>
          </c:tx>
          <c:spPr>
            <a:ln w="25400">
              <a:solidFill>
                <a:srgbClr val="DD2D32"/>
              </a:solidFill>
              <a:prstDash val="solid"/>
            </a:ln>
          </c:spPr>
          <c:marker>
            <c:symbol val="none"/>
          </c:marker>
          <c:xVal>
            <c:numRef>
              <c:f>'dip table'!$O$11:$Z$11</c:f>
              <c:numCache>
                <c:formatCode>General</c:formatCode>
                <c:ptCount val="12"/>
                <c:pt idx="0">
                  <c:v>-2.6000000000000002E-2</c:v>
                </c:pt>
                <c:pt idx="1">
                  <c:v>-2.0000000000000004E-2</c:v>
                </c:pt>
                <c:pt idx="2">
                  <c:v>-1.4999999999999999E-2</c:v>
                </c:pt>
                <c:pt idx="3">
                  <c:v>-1.0000000000000002E-2</c:v>
                </c:pt>
                <c:pt idx="4">
                  <c:v>-5.000000000000001E-3</c:v>
                </c:pt>
                <c:pt idx="5">
                  <c:v>0</c:v>
                </c:pt>
                <c:pt idx="6">
                  <c:v>5.000000000000001E-3</c:v>
                </c:pt>
                <c:pt idx="7">
                  <c:v>1.0000000000000002E-2</c:v>
                </c:pt>
                <c:pt idx="8">
                  <c:v>1.4999999999999999E-2</c:v>
                </c:pt>
                <c:pt idx="9">
                  <c:v>2.0000000000000004E-2</c:v>
                </c:pt>
                <c:pt idx="10">
                  <c:v>2.5000000000000001E-2</c:v>
                </c:pt>
                <c:pt idx="11">
                  <c:v>2.6000000000000002E-2</c:v>
                </c:pt>
              </c:numCache>
            </c:numRef>
          </c:xVal>
          <c:yVal>
            <c:numRef>
              <c:f>'dip table'!$O$14:$Z$14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14 poles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none"/>
          </c:marker>
          <c:xVal>
            <c:numRef>
              <c:f>'dip table'!$O$11:$Z$11</c:f>
              <c:numCache>
                <c:formatCode>General</c:formatCode>
                <c:ptCount val="12"/>
                <c:pt idx="0">
                  <c:v>-2.6000000000000002E-2</c:v>
                </c:pt>
                <c:pt idx="1">
                  <c:v>-2.0000000000000004E-2</c:v>
                </c:pt>
                <c:pt idx="2">
                  <c:v>-1.4999999999999999E-2</c:v>
                </c:pt>
                <c:pt idx="3">
                  <c:v>-1.0000000000000002E-2</c:v>
                </c:pt>
                <c:pt idx="4">
                  <c:v>-5.000000000000001E-3</c:v>
                </c:pt>
                <c:pt idx="5">
                  <c:v>0</c:v>
                </c:pt>
                <c:pt idx="6">
                  <c:v>5.000000000000001E-3</c:v>
                </c:pt>
                <c:pt idx="7">
                  <c:v>1.0000000000000002E-2</c:v>
                </c:pt>
                <c:pt idx="8">
                  <c:v>1.4999999999999999E-2</c:v>
                </c:pt>
                <c:pt idx="9">
                  <c:v>2.0000000000000004E-2</c:v>
                </c:pt>
                <c:pt idx="10">
                  <c:v>2.5000000000000001E-2</c:v>
                </c:pt>
                <c:pt idx="11">
                  <c:v>2.6000000000000002E-2</c:v>
                </c:pt>
              </c:numCache>
            </c:numRef>
          </c:xVal>
          <c:yVal>
            <c:numRef>
              <c:f>'dip table'!$O$15:$Z$15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Total</c:v>
          </c:tx>
          <c:spPr>
            <a:ln w="25400">
              <a:solidFill>
                <a:srgbClr val="4EE257"/>
              </a:solidFill>
              <a:prstDash val="solid"/>
            </a:ln>
          </c:spPr>
          <c:marker>
            <c:symbol val="none"/>
          </c:marker>
          <c:xVal>
            <c:numRef>
              <c:f>'dip table'!$O$11:$Z$11</c:f>
              <c:numCache>
                <c:formatCode>General</c:formatCode>
                <c:ptCount val="12"/>
                <c:pt idx="0">
                  <c:v>-2.6000000000000002E-2</c:v>
                </c:pt>
                <c:pt idx="1">
                  <c:v>-2.0000000000000004E-2</c:v>
                </c:pt>
                <c:pt idx="2">
                  <c:v>-1.4999999999999999E-2</c:v>
                </c:pt>
                <c:pt idx="3">
                  <c:v>-1.0000000000000002E-2</c:v>
                </c:pt>
                <c:pt idx="4">
                  <c:v>-5.000000000000001E-3</c:v>
                </c:pt>
                <c:pt idx="5">
                  <c:v>0</c:v>
                </c:pt>
                <c:pt idx="6">
                  <c:v>5.000000000000001E-3</c:v>
                </c:pt>
                <c:pt idx="7">
                  <c:v>1.0000000000000002E-2</c:v>
                </c:pt>
                <c:pt idx="8">
                  <c:v>1.4999999999999999E-2</c:v>
                </c:pt>
                <c:pt idx="9">
                  <c:v>2.0000000000000004E-2</c:v>
                </c:pt>
                <c:pt idx="10">
                  <c:v>2.5000000000000001E-2</c:v>
                </c:pt>
                <c:pt idx="11">
                  <c:v>2.6000000000000002E-2</c:v>
                </c:pt>
              </c:numCache>
            </c:numRef>
          </c:xVal>
          <c:yVal>
            <c:numRef>
              <c:f>'dip table'!$O$16:$Z$16</c:f>
              <c:numCache>
                <c:formatCode>0.00E+00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axId val="88711168"/>
        <c:axId val="88713088"/>
      </c:scatterChart>
      <c:valAx>
        <c:axId val="887111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t>x [m]</a:t>
                </a:r>
              </a:p>
            </c:rich>
          </c:tx>
          <c:layout>
            <c:manualLayout>
              <c:xMode val="edge"/>
              <c:yMode val="edge"/>
              <c:x val="0.49313009156298232"/>
              <c:y val="0.936620457654062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8713088"/>
        <c:crosses val="autoZero"/>
        <c:crossBetween val="midCat"/>
      </c:valAx>
      <c:valAx>
        <c:axId val="887130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t>DG/G</a:t>
                </a:r>
              </a:p>
            </c:rich>
          </c:tx>
          <c:layout>
            <c:manualLayout>
              <c:xMode val="edge"/>
              <c:yMode val="edge"/>
              <c:x val="2.7480916030534406E-2"/>
              <c:y val="0.44718346826365085"/>
            </c:manualLayout>
          </c:layout>
          <c:spPr>
            <a:noFill/>
            <a:ln w="25400">
              <a:noFill/>
            </a:ln>
          </c:spPr>
        </c:title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871116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5770992366412232"/>
          <c:y val="0.698943661971831"/>
          <c:w val="0.72213740458015274"/>
          <c:h val="0.82042253521126629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Optical Functions</a:t>
            </a:r>
          </a:p>
        </c:rich>
      </c:tx>
      <c:layout>
        <c:manualLayout>
          <c:xMode val="edge"/>
          <c:yMode val="edge"/>
          <c:x val="0.35524256651017216"/>
          <c:y val="2.013422818791951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8857589984350542E-2"/>
          <c:y val="0.17897091722595077"/>
          <c:w val="0.83255086071987483"/>
          <c:h val="0.72035794183445157"/>
        </c:manualLayout>
      </c:layout>
      <c:scatterChart>
        <c:scatterStyle val="smoothMarker"/>
        <c:ser>
          <c:idx val="1"/>
          <c:order val="0"/>
          <c:tx>
            <c:v>BetaX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Table!$V$24:$V$93</c:f>
              <c:numCache>
                <c:formatCode>0.00</c:formatCode>
                <c:ptCount val="70"/>
                <c:pt idx="0">
                  <c:v>35.11760478118476</c:v>
                </c:pt>
                <c:pt idx="1">
                  <c:v>35.382945273842516</c:v>
                </c:pt>
                <c:pt idx="2">
                  <c:v>35.382945273842516</c:v>
                </c:pt>
                <c:pt idx="3">
                  <c:v>35.400251358252653</c:v>
                </c:pt>
                <c:pt idx="4">
                  <c:v>36.26555606045617</c:v>
                </c:pt>
                <c:pt idx="5">
                  <c:v>37.537202948058322</c:v>
                </c:pt>
                <c:pt idx="6">
                  <c:v>37.537202948058322</c:v>
                </c:pt>
                <c:pt idx="7">
                  <c:v>38.826066271423315</c:v>
                </c:pt>
                <c:pt idx="8">
                  <c:v>28.150038421763924</c:v>
                </c:pt>
                <c:pt idx="9">
                  <c:v>25.956235375215204</c:v>
                </c:pt>
                <c:pt idx="10">
                  <c:v>25.956235375215204</c:v>
                </c:pt>
                <c:pt idx="11">
                  <c:v>19.969736199938733</c:v>
                </c:pt>
                <c:pt idx="12">
                  <c:v>19.969736199938733</c:v>
                </c:pt>
                <c:pt idx="13">
                  <c:v>19.969736199938733</c:v>
                </c:pt>
                <c:pt idx="14">
                  <c:v>13.935457594572245</c:v>
                </c:pt>
                <c:pt idx="15">
                  <c:v>8.1683208643882512</c:v>
                </c:pt>
                <c:pt idx="16">
                  <c:v>2.9475349925778005</c:v>
                </c:pt>
                <c:pt idx="17">
                  <c:v>2.9475349925778005</c:v>
                </c:pt>
                <c:pt idx="18">
                  <c:v>0.78053618853563012</c:v>
                </c:pt>
                <c:pt idx="19">
                  <c:v>1.8004749781334874</c:v>
                </c:pt>
                <c:pt idx="20">
                  <c:v>1.8004749781334874</c:v>
                </c:pt>
                <c:pt idx="21">
                  <c:v>1.8004749781334874</c:v>
                </c:pt>
                <c:pt idx="22">
                  <c:v>2.6280573103836824</c:v>
                </c:pt>
                <c:pt idx="23">
                  <c:v>2.6280573103836824</c:v>
                </c:pt>
                <c:pt idx="24">
                  <c:v>6.9692972300555702</c:v>
                </c:pt>
                <c:pt idx="25">
                  <c:v>6.9692972300555702</c:v>
                </c:pt>
                <c:pt idx="26">
                  <c:v>7.6055833544714906</c:v>
                </c:pt>
                <c:pt idx="27">
                  <c:v>11.596352672630935</c:v>
                </c:pt>
                <c:pt idx="28">
                  <c:v>16.630623658695882</c:v>
                </c:pt>
                <c:pt idx="29">
                  <c:v>16.630623658695882</c:v>
                </c:pt>
                <c:pt idx="30">
                  <c:v>24.151132886327296</c:v>
                </c:pt>
                <c:pt idx="31">
                  <c:v>29.453680278042739</c:v>
                </c:pt>
                <c:pt idx="32">
                  <c:v>29.39302033841853</c:v>
                </c:pt>
                <c:pt idx="33">
                  <c:v>29.39302033841853</c:v>
                </c:pt>
                <c:pt idx="34">
                  <c:v>29.183168272332001</c:v>
                </c:pt>
                <c:pt idx="35">
                  <c:v>29.183168272332001</c:v>
                </c:pt>
                <c:pt idx="36">
                  <c:v>29.183168272332001</c:v>
                </c:pt>
                <c:pt idx="37">
                  <c:v>28.930297042250363</c:v>
                </c:pt>
                <c:pt idx="38">
                  <c:v>23.243796891367403</c:v>
                </c:pt>
                <c:pt idx="39">
                  <c:v>15.6442460159126</c:v>
                </c:pt>
                <c:pt idx="40">
                  <c:v>15.6442460159126</c:v>
                </c:pt>
                <c:pt idx="41">
                  <c:v>10.620267679337751</c:v>
                </c:pt>
                <c:pt idx="42">
                  <c:v>6.6217003802142207</c:v>
                </c:pt>
                <c:pt idx="43">
                  <c:v>5.9709681586410674</c:v>
                </c:pt>
                <c:pt idx="44">
                  <c:v>5.9709681586410674</c:v>
                </c:pt>
                <c:pt idx="45">
                  <c:v>1.7857781593911923</c:v>
                </c:pt>
                <c:pt idx="46">
                  <c:v>1.7857781593911923</c:v>
                </c:pt>
                <c:pt idx="47">
                  <c:v>1.1088226026120787</c:v>
                </c:pt>
                <c:pt idx="48">
                  <c:v>1.1088226026120787</c:v>
                </c:pt>
                <c:pt idx="49">
                  <c:v>1.1088226026120787</c:v>
                </c:pt>
                <c:pt idx="50">
                  <c:v>1.0622150282552028</c:v>
                </c:pt>
                <c:pt idx="51">
                  <c:v>4.8566512064864122</c:v>
                </c:pt>
                <c:pt idx="52">
                  <c:v>4.8566512064864122</c:v>
                </c:pt>
                <c:pt idx="53">
                  <c:v>12.373761192034564</c:v>
                </c:pt>
                <c:pt idx="54">
                  <c:v>20.794946488652126</c:v>
                </c:pt>
                <c:pt idx="55">
                  <c:v>30.511994351741816</c:v>
                </c:pt>
                <c:pt idx="56">
                  <c:v>30.511994351741816</c:v>
                </c:pt>
                <c:pt idx="57">
                  <c:v>30.511994351741816</c:v>
                </c:pt>
                <c:pt idx="58">
                  <c:v>40.008470291184985</c:v>
                </c:pt>
                <c:pt idx="59">
                  <c:v>40.008470291184985</c:v>
                </c:pt>
                <c:pt idx="60">
                  <c:v>43.853806132116617</c:v>
                </c:pt>
                <c:pt idx="61">
                  <c:v>47.407937988783758</c:v>
                </c:pt>
                <c:pt idx="62">
                  <c:v>37.332154177648384</c:v>
                </c:pt>
                <c:pt idx="63">
                  <c:v>37.332154177648384</c:v>
                </c:pt>
                <c:pt idx="64">
                  <c:v>28.585187323819547</c:v>
                </c:pt>
                <c:pt idx="65">
                  <c:v>20.685418261833895</c:v>
                </c:pt>
                <c:pt idx="66">
                  <c:v>19.425925814441388</c:v>
                </c:pt>
                <c:pt idx="67">
                  <c:v>19.425925814441388</c:v>
                </c:pt>
                <c:pt idx="68">
                  <c:v>0.49214266803128126</c:v>
                </c:pt>
                <c:pt idx="69">
                  <c:v>0.49214266803128126</c:v>
                </c:pt>
              </c:numCache>
            </c:numRef>
          </c:yVal>
        </c:ser>
        <c:ser>
          <c:idx val="3"/>
          <c:order val="2"/>
          <c:tx>
            <c:v>BetaZ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Table!$Z$24:$Z$93</c:f>
              <c:numCache>
                <c:formatCode>0.00</c:formatCode>
                <c:ptCount val="70"/>
                <c:pt idx="0">
                  <c:v>2.5242585406279678</c:v>
                </c:pt>
                <c:pt idx="1">
                  <c:v>6.2156880846404849</c:v>
                </c:pt>
                <c:pt idx="2">
                  <c:v>6.2156880846404849</c:v>
                </c:pt>
                <c:pt idx="3">
                  <c:v>6.456451153416241</c:v>
                </c:pt>
                <c:pt idx="4">
                  <c:v>7.4692928846458289</c:v>
                </c:pt>
                <c:pt idx="5">
                  <c:v>8.1932170767622825</c:v>
                </c:pt>
                <c:pt idx="6">
                  <c:v>8.1932170767622825</c:v>
                </c:pt>
                <c:pt idx="7">
                  <c:v>8.9720310264894678</c:v>
                </c:pt>
                <c:pt idx="8">
                  <c:v>16.359811686084296</c:v>
                </c:pt>
                <c:pt idx="9">
                  <c:v>17.844565097943619</c:v>
                </c:pt>
                <c:pt idx="10">
                  <c:v>17.844565097943619</c:v>
                </c:pt>
                <c:pt idx="11">
                  <c:v>22.640224190843682</c:v>
                </c:pt>
                <c:pt idx="12">
                  <c:v>22.640224190843682</c:v>
                </c:pt>
                <c:pt idx="13">
                  <c:v>22.640224190843682</c:v>
                </c:pt>
                <c:pt idx="14">
                  <c:v>29.026799734608026</c:v>
                </c:pt>
                <c:pt idx="15">
                  <c:v>34.824471822370818</c:v>
                </c:pt>
                <c:pt idx="16">
                  <c:v>34.927126692788789</c:v>
                </c:pt>
                <c:pt idx="17">
                  <c:v>34.927126692788789</c:v>
                </c:pt>
                <c:pt idx="18">
                  <c:v>34.93966550392183</c:v>
                </c:pt>
                <c:pt idx="19">
                  <c:v>35.01883343533548</c:v>
                </c:pt>
                <c:pt idx="20">
                  <c:v>35.01883343533548</c:v>
                </c:pt>
                <c:pt idx="21">
                  <c:v>35.01883343533548</c:v>
                </c:pt>
                <c:pt idx="22">
                  <c:v>35.031572777467012</c:v>
                </c:pt>
                <c:pt idx="23">
                  <c:v>35.031572777467012</c:v>
                </c:pt>
                <c:pt idx="24">
                  <c:v>35.041453508317836</c:v>
                </c:pt>
                <c:pt idx="25">
                  <c:v>35.041453508317836</c:v>
                </c:pt>
                <c:pt idx="26">
                  <c:v>35.045757994968405</c:v>
                </c:pt>
                <c:pt idx="27">
                  <c:v>31.102493124413733</c:v>
                </c:pt>
                <c:pt idx="28">
                  <c:v>25.307887964934899</c:v>
                </c:pt>
                <c:pt idx="29">
                  <c:v>25.307887964934899</c:v>
                </c:pt>
                <c:pt idx="30">
                  <c:v>18.964230979466009</c:v>
                </c:pt>
                <c:pt idx="31">
                  <c:v>15.537349831988926</c:v>
                </c:pt>
                <c:pt idx="32">
                  <c:v>15.529806641183281</c:v>
                </c:pt>
                <c:pt idx="33">
                  <c:v>15.529806641183281</c:v>
                </c:pt>
                <c:pt idx="34">
                  <c:v>15.514955469174863</c:v>
                </c:pt>
                <c:pt idx="35">
                  <c:v>15.514955469174863</c:v>
                </c:pt>
                <c:pt idx="36">
                  <c:v>15.514955469174863</c:v>
                </c:pt>
                <c:pt idx="37">
                  <c:v>15.523537432458056</c:v>
                </c:pt>
                <c:pt idx="38">
                  <c:v>18.930730714517328</c:v>
                </c:pt>
                <c:pt idx="39">
                  <c:v>25.249661375100327</c:v>
                </c:pt>
                <c:pt idx="40">
                  <c:v>25.249661375100327</c:v>
                </c:pt>
                <c:pt idx="41">
                  <c:v>31.020524002997426</c:v>
                </c:pt>
                <c:pt idx="42">
                  <c:v>34.94128343455705</c:v>
                </c:pt>
                <c:pt idx="43">
                  <c:v>34.934080813941478</c:v>
                </c:pt>
                <c:pt idx="44">
                  <c:v>34.934080813941478</c:v>
                </c:pt>
                <c:pt idx="45">
                  <c:v>34.898192000799789</c:v>
                </c:pt>
                <c:pt idx="46">
                  <c:v>34.898192000799789</c:v>
                </c:pt>
                <c:pt idx="47">
                  <c:v>34.877597313542694</c:v>
                </c:pt>
                <c:pt idx="48">
                  <c:v>34.877597313542694</c:v>
                </c:pt>
                <c:pt idx="49">
                  <c:v>34.877597313542694</c:v>
                </c:pt>
                <c:pt idx="50">
                  <c:v>34.770012281175973</c:v>
                </c:pt>
                <c:pt idx="51">
                  <c:v>34.729430161516746</c:v>
                </c:pt>
                <c:pt idx="52">
                  <c:v>34.729430161516746</c:v>
                </c:pt>
                <c:pt idx="53">
                  <c:v>34.599965585953882</c:v>
                </c:pt>
                <c:pt idx="54">
                  <c:v>27.96201452608625</c:v>
                </c:pt>
                <c:pt idx="55">
                  <c:v>20.472543260779744</c:v>
                </c:pt>
                <c:pt idx="56">
                  <c:v>20.472543260779744</c:v>
                </c:pt>
                <c:pt idx="57">
                  <c:v>20.472543260779744</c:v>
                </c:pt>
                <c:pt idx="58">
                  <c:v>15.141711569532507</c:v>
                </c:pt>
                <c:pt idx="59">
                  <c:v>15.141711569532507</c:v>
                </c:pt>
                <c:pt idx="60">
                  <c:v>13.372867015474119</c:v>
                </c:pt>
                <c:pt idx="61">
                  <c:v>7.0312412414827881</c:v>
                </c:pt>
                <c:pt idx="62">
                  <c:v>6.950660550104474</c:v>
                </c:pt>
                <c:pt idx="63">
                  <c:v>6.950660550104474</c:v>
                </c:pt>
                <c:pt idx="64">
                  <c:v>6.9036718378117055</c:v>
                </c:pt>
                <c:pt idx="65">
                  <c:v>6.3689295779958925</c:v>
                </c:pt>
                <c:pt idx="66">
                  <c:v>6.1422174041867006</c:v>
                </c:pt>
                <c:pt idx="67">
                  <c:v>6.1422174041867006</c:v>
                </c:pt>
                <c:pt idx="68">
                  <c:v>2.7340833225245489</c:v>
                </c:pt>
                <c:pt idx="69">
                  <c:v>2.7340833225245489</c:v>
                </c:pt>
              </c:numCache>
            </c:numRef>
          </c:yVal>
        </c:ser>
        <c:axId val="87503616"/>
        <c:axId val="87505152"/>
      </c:scatterChart>
      <c:scatterChart>
        <c:scatterStyle val="lineMarker"/>
        <c:ser>
          <c:idx val="2"/>
          <c:order val="1"/>
          <c:tx>
            <c:v>Dispersion</c:v>
          </c:tx>
          <c:spPr>
            <a:ln w="127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Table!$R$24:$R$93</c:f>
              <c:numCache>
                <c:formatCode>0.000</c:formatCode>
                <c:ptCount val="70"/>
                <c:pt idx="0">
                  <c:v>0</c:v>
                </c:pt>
                <c:pt idx="1">
                  <c:v>3.0525600000000002</c:v>
                </c:pt>
                <c:pt idx="2">
                  <c:v>3.0525600000000002</c:v>
                </c:pt>
                <c:pt idx="3">
                  <c:v>3.1505350000000001</c:v>
                </c:pt>
                <c:pt idx="4">
                  <c:v>3.5885850000000001</c:v>
                </c:pt>
                <c:pt idx="5">
                  <c:v>3.9195600000000002</c:v>
                </c:pt>
                <c:pt idx="6">
                  <c:v>3.9195600000000002</c:v>
                </c:pt>
                <c:pt idx="7">
                  <c:v>4.2478550000000004</c:v>
                </c:pt>
                <c:pt idx="8">
                  <c:v>5.1912650000000005</c:v>
                </c:pt>
                <c:pt idx="9">
                  <c:v>5.2865600000000006</c:v>
                </c:pt>
                <c:pt idx="10">
                  <c:v>5.2865600000000006</c:v>
                </c:pt>
                <c:pt idx="11">
                  <c:v>5.569560000000001</c:v>
                </c:pt>
                <c:pt idx="12">
                  <c:v>5.569560000000001</c:v>
                </c:pt>
                <c:pt idx="13">
                  <c:v>5.569560000000001</c:v>
                </c:pt>
                <c:pt idx="14">
                  <c:v>5.9027250000000011</c:v>
                </c:pt>
                <c:pt idx="15">
                  <c:v>6.436395000000001</c:v>
                </c:pt>
                <c:pt idx="16">
                  <c:v>7.4918150000000008</c:v>
                </c:pt>
                <c:pt idx="17">
                  <c:v>7.4918150000000008</c:v>
                </c:pt>
                <c:pt idx="18">
                  <c:v>8.5704594988031513</c:v>
                </c:pt>
                <c:pt idx="19">
                  <c:v>9.6491039976063018</c:v>
                </c:pt>
                <c:pt idx="20">
                  <c:v>9.6491039976063018</c:v>
                </c:pt>
                <c:pt idx="21">
                  <c:v>9.6491039976063018</c:v>
                </c:pt>
                <c:pt idx="22">
                  <c:v>9.9418145976063013</c:v>
                </c:pt>
                <c:pt idx="23">
                  <c:v>9.9418145976063013</c:v>
                </c:pt>
                <c:pt idx="24">
                  <c:v>10.896564597606302</c:v>
                </c:pt>
                <c:pt idx="25">
                  <c:v>10.896564597606302</c:v>
                </c:pt>
                <c:pt idx="26">
                  <c:v>11.002509597606302</c:v>
                </c:pt>
                <c:pt idx="27">
                  <c:v>11.424619597606302</c:v>
                </c:pt>
                <c:pt idx="28">
                  <c:v>11.763564597606303</c:v>
                </c:pt>
                <c:pt idx="29">
                  <c:v>11.763564597606303</c:v>
                </c:pt>
                <c:pt idx="30">
                  <c:v>12.183754597606303</c:v>
                </c:pt>
                <c:pt idx="31">
                  <c:v>12.703374597606302</c:v>
                </c:pt>
                <c:pt idx="32">
                  <c:v>12.810564597606302</c:v>
                </c:pt>
                <c:pt idx="33">
                  <c:v>12.810564597606302</c:v>
                </c:pt>
                <c:pt idx="34">
                  <c:v>13.193564597606301</c:v>
                </c:pt>
                <c:pt idx="35">
                  <c:v>13.193564597606301</c:v>
                </c:pt>
                <c:pt idx="36">
                  <c:v>13.193564597606301</c:v>
                </c:pt>
                <c:pt idx="37">
                  <c:v>13.683754597606301</c:v>
                </c:pt>
                <c:pt idx="38">
                  <c:v>14.203374597606301</c:v>
                </c:pt>
                <c:pt idx="39">
                  <c:v>14.6235645976063</c:v>
                </c:pt>
                <c:pt idx="40">
                  <c:v>14.6235645976063</c:v>
                </c:pt>
                <c:pt idx="41">
                  <c:v>14.962509597606301</c:v>
                </c:pt>
                <c:pt idx="42">
                  <c:v>15.384619597606301</c:v>
                </c:pt>
                <c:pt idx="43">
                  <c:v>15.490564597606301</c:v>
                </c:pt>
                <c:pt idx="44">
                  <c:v>15.490564597606301</c:v>
                </c:pt>
                <c:pt idx="45">
                  <c:v>16.445314597606302</c:v>
                </c:pt>
                <c:pt idx="46">
                  <c:v>16.445314597606302</c:v>
                </c:pt>
                <c:pt idx="47">
                  <c:v>16.738025197606301</c:v>
                </c:pt>
                <c:pt idx="48">
                  <c:v>16.738025197606301</c:v>
                </c:pt>
                <c:pt idx="49">
                  <c:v>16.738025197606301</c:v>
                </c:pt>
                <c:pt idx="50">
                  <c:v>17.816669696409452</c:v>
                </c:pt>
                <c:pt idx="51">
                  <c:v>18.895314195212602</c:v>
                </c:pt>
                <c:pt idx="52">
                  <c:v>18.895314195212602</c:v>
                </c:pt>
                <c:pt idx="53">
                  <c:v>19.958064195212604</c:v>
                </c:pt>
                <c:pt idx="54">
                  <c:v>20.477074195212605</c:v>
                </c:pt>
                <c:pt idx="55">
                  <c:v>20.817569195212606</c:v>
                </c:pt>
                <c:pt idx="56">
                  <c:v>20.817569195212606</c:v>
                </c:pt>
                <c:pt idx="57">
                  <c:v>20.817569195212606</c:v>
                </c:pt>
                <c:pt idx="58">
                  <c:v>21.100569195212607</c:v>
                </c:pt>
                <c:pt idx="59">
                  <c:v>21.100569195212607</c:v>
                </c:pt>
                <c:pt idx="60">
                  <c:v>21.205409195212606</c:v>
                </c:pt>
                <c:pt idx="61">
                  <c:v>22.129729195212608</c:v>
                </c:pt>
                <c:pt idx="62">
                  <c:v>22.467569195212608</c:v>
                </c:pt>
                <c:pt idx="63">
                  <c:v>22.467569195212608</c:v>
                </c:pt>
                <c:pt idx="64">
                  <c:v>22.800464195212609</c:v>
                </c:pt>
                <c:pt idx="65">
                  <c:v>23.234674195212609</c:v>
                </c:pt>
                <c:pt idx="66">
                  <c:v>23.334569195212609</c:v>
                </c:pt>
                <c:pt idx="67">
                  <c:v>23.334569195212609</c:v>
                </c:pt>
                <c:pt idx="68">
                  <c:v>26.387129195212609</c:v>
                </c:pt>
                <c:pt idx="69">
                  <c:v>26.387129195212609</c:v>
                </c:pt>
              </c:numCache>
            </c:numRef>
          </c:xVal>
          <c:yVal>
            <c:numRef>
              <c:f>Table!$AD$24:$AD$93</c:f>
              <c:numCache>
                <c:formatCode>0.000</c:formatCode>
                <c:ptCount val="70"/>
                <c:pt idx="0">
                  <c:v>0.13486265405961981</c:v>
                </c:pt>
                <c:pt idx="1">
                  <c:v>0.13486265405961981</c:v>
                </c:pt>
                <c:pt idx="2" formatCode="0.00">
                  <c:v>0.13486265405961981</c:v>
                </c:pt>
                <c:pt idx="3">
                  <c:v>0.13486265405961981</c:v>
                </c:pt>
                <c:pt idx="4">
                  <c:v>0.13634041938920313</c:v>
                </c:pt>
                <c:pt idx="5">
                  <c:v>0.13857758253634445</c:v>
                </c:pt>
                <c:pt idx="6">
                  <c:v>0.13857758253634445</c:v>
                </c:pt>
                <c:pt idx="7">
                  <c:v>0.14079663072847604</c:v>
                </c:pt>
                <c:pt idx="8">
                  <c:v>0.11946052606218201</c:v>
                </c:pt>
                <c:pt idx="9">
                  <c:v>0.11465101529342415</c:v>
                </c:pt>
                <c:pt idx="10" formatCode="0.00">
                  <c:v>0.11465101529342415</c:v>
                </c:pt>
                <c:pt idx="11">
                  <c:v>0.10036808809306243</c:v>
                </c:pt>
                <c:pt idx="12">
                  <c:v>0.10036808809306243</c:v>
                </c:pt>
                <c:pt idx="13" formatCode="0.00">
                  <c:v>0.10036808809306243</c:v>
                </c:pt>
                <c:pt idx="14">
                  <c:v>8.3553348019887466E-2</c:v>
                </c:pt>
                <c:pt idx="15">
                  <c:v>6.3278134112872447E-2</c:v>
                </c:pt>
                <c:pt idx="16">
                  <c:v>3.517788033160503E-2</c:v>
                </c:pt>
                <c:pt idx="17">
                  <c:v>3.517788033160503E-2</c:v>
                </c:pt>
                <c:pt idx="18">
                  <c:v>3.1403742229718257E-2</c:v>
                </c:pt>
                <c:pt idx="19">
                  <c:v>7.7346673405582364E-2</c:v>
                </c:pt>
                <c:pt idx="20">
                  <c:v>7.7346673405582364E-2</c:v>
                </c:pt>
                <c:pt idx="21">
                  <c:v>7.7346673405582364E-2</c:v>
                </c:pt>
                <c:pt idx="22">
                  <c:v>9.7430617096935762E-2</c:v>
                </c:pt>
                <c:pt idx="23">
                  <c:v>9.7430617096935762E-2</c:v>
                </c:pt>
                <c:pt idx="24">
                  <c:v>0.16581842199196928</c:v>
                </c:pt>
                <c:pt idx="25" formatCode="0.00">
                  <c:v>0.16581842199196928</c:v>
                </c:pt>
                <c:pt idx="26">
                  <c:v>0.17340715829948886</c:v>
                </c:pt>
                <c:pt idx="27">
                  <c:v>0.21454343833471068</c:v>
                </c:pt>
                <c:pt idx="28">
                  <c:v>0.25697482089215068</c:v>
                </c:pt>
                <c:pt idx="29">
                  <c:v>0.25697482089215068</c:v>
                </c:pt>
                <c:pt idx="30">
                  <c:v>0.30957699126436661</c:v>
                </c:pt>
                <c:pt idx="31">
                  <c:v>0.34165228333280029</c:v>
                </c:pt>
                <c:pt idx="32">
                  <c:v>0.34124291264858531</c:v>
                </c:pt>
                <c:pt idx="33" formatCode="0.00">
                  <c:v>0.34124291264858531</c:v>
                </c:pt>
                <c:pt idx="34">
                  <c:v>0.33978019250627411</c:v>
                </c:pt>
                <c:pt idx="35">
                  <c:v>0.33978019250627411</c:v>
                </c:pt>
                <c:pt idx="36" formatCode="0.00">
                  <c:v>0.33978019250627411</c:v>
                </c:pt>
                <c:pt idx="37">
                  <c:v>0.33790810167974794</c:v>
                </c:pt>
                <c:pt idx="38">
                  <c:v>0.30236890005244371</c:v>
                </c:pt>
                <c:pt idx="39">
                  <c:v>0.24746886742021901</c:v>
                </c:pt>
                <c:pt idx="40">
                  <c:v>0.24746886742021901</c:v>
                </c:pt>
                <c:pt idx="41">
                  <c:v>0.20318392118035275</c:v>
                </c:pt>
                <c:pt idx="42">
                  <c:v>0.15901871590125924</c:v>
                </c:pt>
                <c:pt idx="43">
                  <c:v>0.15047401655459466</c:v>
                </c:pt>
                <c:pt idx="44" formatCode="0.00">
                  <c:v>0.15047401655459466</c:v>
                </c:pt>
                <c:pt idx="45">
                  <c:v>7.347131042190326E-2</c:v>
                </c:pt>
                <c:pt idx="46">
                  <c:v>7.347131042190326E-2</c:v>
                </c:pt>
                <c:pt idx="47">
                  <c:v>5.0739719485952954E-2</c:v>
                </c:pt>
                <c:pt idx="48">
                  <c:v>5.0739719485952954E-2</c:v>
                </c:pt>
                <c:pt idx="49">
                  <c:v>5.0739719485952954E-2</c:v>
                </c:pt>
                <c:pt idx="50">
                  <c:v>-4.9547285621182116E-3</c:v>
                </c:pt>
                <c:pt idx="51">
                  <c:v>-1.0854642380753142E-2</c:v>
                </c:pt>
                <c:pt idx="52">
                  <c:v>-1.0854642380753142E-2</c:v>
                </c:pt>
                <c:pt idx="53">
                  <c:v>7.8513635857854723E-3</c:v>
                </c:pt>
                <c:pt idx="54">
                  <c:v>1.8117459534993923E-2</c:v>
                </c:pt>
                <c:pt idx="55">
                  <c:v>2.5823011662433667E-2</c:v>
                </c:pt>
                <c:pt idx="56">
                  <c:v>2.5823011662433667E-2</c:v>
                </c:pt>
                <c:pt idx="57" formatCode="0.00">
                  <c:v>2.5823011662433667E-2</c:v>
                </c:pt>
                <c:pt idx="58">
                  <c:v>3.2227426564459975E-2</c:v>
                </c:pt>
                <c:pt idx="59" formatCode="0.00">
                  <c:v>3.2227426564459975E-2</c:v>
                </c:pt>
                <c:pt idx="60">
                  <c:v>3.4600002035585199E-2</c:v>
                </c:pt>
                <c:pt idx="61">
                  <c:v>4.243122145338963E-2</c:v>
                </c:pt>
                <c:pt idx="62">
                  <c:v>4.0190540914654509E-2</c:v>
                </c:pt>
                <c:pt idx="63">
                  <c:v>4.0190540914654509E-2</c:v>
                </c:pt>
                <c:pt idx="64">
                  <c:v>3.7982657455199659E-2</c:v>
                </c:pt>
                <c:pt idx="65">
                  <c:v>3.6551996868814891E-2</c:v>
                </c:pt>
                <c:pt idx="66">
                  <c:v>3.6551996868814884E-2</c:v>
                </c:pt>
                <c:pt idx="67" formatCode="0.00">
                  <c:v>3.6551996868814884E-2</c:v>
                </c:pt>
                <c:pt idx="68">
                  <c:v>3.6551996868814725E-2</c:v>
                </c:pt>
                <c:pt idx="69">
                  <c:v>3.6551996868814725E-2</c:v>
                </c:pt>
              </c:numCache>
            </c:numRef>
          </c:yVal>
        </c:ser>
        <c:axId val="87519232"/>
        <c:axId val="87520768"/>
      </c:scatterChart>
      <c:valAx>
        <c:axId val="87503616"/>
        <c:scaling>
          <c:orientation val="minMax"/>
        </c:scaling>
        <c:axPos val="b"/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05152"/>
        <c:crosses val="autoZero"/>
        <c:crossBetween val="midCat"/>
      </c:valAx>
      <c:valAx>
        <c:axId val="875051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03616"/>
        <c:crosses val="autoZero"/>
        <c:crossBetween val="midCat"/>
      </c:valAx>
      <c:valAx>
        <c:axId val="87519232"/>
        <c:scaling>
          <c:orientation val="minMax"/>
        </c:scaling>
        <c:delete val="1"/>
        <c:axPos val="b"/>
        <c:numFmt formatCode="0.000" sourceLinked="1"/>
        <c:tickLblPos val="none"/>
        <c:crossAx val="87520768"/>
        <c:crosses val="autoZero"/>
        <c:crossBetween val="midCat"/>
      </c:valAx>
      <c:valAx>
        <c:axId val="87520768"/>
        <c:scaling>
          <c:orientation val="minMax"/>
        </c:scaling>
        <c:axPos val="r"/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519232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0203442879499232"/>
          <c:y val="9.8434004474273223E-2"/>
          <c:w val="0.3802816901408459"/>
          <c:h val="5.3691275167785157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Horizontal Emittance [nm]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Table!$EH$328:$ES$328</c:f>
            </c:numRef>
          </c:val>
        </c:ser>
        <c:marker val="1"/>
        <c:axId val="89458176"/>
        <c:axId val="89459712"/>
      </c:lineChart>
      <c:catAx>
        <c:axId val="894581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459712"/>
        <c:crosses val="autoZero"/>
        <c:auto val="1"/>
        <c:lblAlgn val="ctr"/>
        <c:lblOffset val="100"/>
        <c:tickMarkSkip val="1"/>
      </c:catAx>
      <c:valAx>
        <c:axId val="8945971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4581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Relative Energy Spread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Table!$EH$327:$ES$327</c:f>
            </c:numRef>
          </c:val>
        </c:ser>
        <c:marker val="1"/>
        <c:axId val="89508096"/>
        <c:axId val="89509888"/>
      </c:lineChart>
      <c:catAx>
        <c:axId val="895080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09888"/>
        <c:crosses val="autoZero"/>
        <c:auto val="1"/>
        <c:lblAlgn val="ctr"/>
        <c:lblOffset val="100"/>
        <c:tickMarkSkip val="1"/>
      </c:catAx>
      <c:valAx>
        <c:axId val="895098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08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Relative Energy Spread</a:t>
            </a:r>
          </a:p>
        </c:rich>
      </c:tx>
      <c:spPr>
        <a:noFill/>
        <a:ln w="25400">
          <a:noFill/>
        </a:ln>
      </c:spPr>
    </c:title>
    <c:plotArea>
      <c:layout/>
      <c:lineChart>
        <c:grouping val="stacked"/>
        <c:ser>
          <c:idx val="0"/>
          <c:order val="0"/>
          <c:val>
            <c:numRef>
              <c:f>Table!$EH$327:$ES$327</c:f>
            </c:numRef>
          </c:val>
        </c:ser>
        <c:marker val="1"/>
        <c:axId val="89516672"/>
        <c:axId val="88764800"/>
      </c:lineChart>
      <c:catAx>
        <c:axId val="8951667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64800"/>
        <c:crosses val="autoZero"/>
        <c:auto val="1"/>
        <c:lblAlgn val="ctr"/>
        <c:lblOffset val="100"/>
        <c:tickMarkSkip val="1"/>
      </c:catAx>
      <c:valAx>
        <c:axId val="887648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516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4699331848552383"/>
          <c:y val="5.4054172944320515E-2"/>
          <c:w val="0.7728285077951017"/>
          <c:h val="0.8603622526971006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Tracking!$C$125:$C$175</c:f>
              <c:numCache>
                <c:formatCode>0.00E+00</c:formatCode>
                <c:ptCount val="51"/>
                <c:pt idx="0">
                  <c:v>9.9999999999999995E-7</c:v>
                </c:pt>
                <c:pt idx="1">
                  <c:v>1.6207472837287697E-4</c:v>
                </c:pt>
                <c:pt idx="2">
                  <c:v>2.6313405372125254E-4</c:v>
                </c:pt>
                <c:pt idx="3">
                  <c:v>6.5225529923946331E-5</c:v>
                </c:pt>
                <c:pt idx="4">
                  <c:v>3.6894190381636525E-5</c:v>
                </c:pt>
                <c:pt idx="5">
                  <c:v>2.4541201190165959E-4</c:v>
                </c:pt>
                <c:pt idx="6">
                  <c:v>1.9681919494122808E-4</c:v>
                </c:pt>
                <c:pt idx="7">
                  <c:v>5.9866266800964633E-6</c:v>
                </c:pt>
                <c:pt idx="8">
                  <c:v>1.2544840950458655E-4</c:v>
                </c:pt>
                <c:pt idx="9">
                  <c:v>2.7165374190119316E-4</c:v>
                </c:pt>
                <c:pt idx="10">
                  <c:v>9.8775809464310714E-5</c:v>
                </c:pt>
                <c:pt idx="11">
                  <c:v>1.5874599369677558E-5</c:v>
                </c:pt>
                <c:pt idx="12">
                  <c:v>2.1976474429585886E-4</c:v>
                </c:pt>
                <c:pt idx="13">
                  <c:v>2.2715468029096533E-4</c:v>
                </c:pt>
                <c:pt idx="14">
                  <c:v>2.057606115344663E-5</c:v>
                </c:pt>
                <c:pt idx="15">
                  <c:v>8.961585765363114E-5</c:v>
                </c:pt>
                <c:pt idx="16">
                  <c:v>2.7035814837718473E-4</c:v>
                </c:pt>
                <c:pt idx="17">
                  <c:v>1.3507584232791498E-4</c:v>
                </c:pt>
                <c:pt idx="18">
                  <c:v>3.7239642083342684E-6</c:v>
                </c:pt>
                <c:pt idx="19">
                  <c:v>1.8804545982925794E-4</c:v>
                </c:pt>
                <c:pt idx="20">
                  <c:v>2.5088355719800494E-4</c:v>
                </c:pt>
                <c:pt idx="21">
                  <c:v>4.36858182270304E-5</c:v>
                </c:pt>
                <c:pt idx="22">
                  <c:v>5.7206225696108471E-5</c:v>
                </c:pt>
                <c:pt idx="23">
                  <c:v>2.5934043913448636E-4</c:v>
                </c:pt>
                <c:pt idx="24">
                  <c:v>1.7146518331140554E-4</c:v>
                </c:pt>
                <c:pt idx="25">
                  <c:v>1.3441882377945423E-6</c:v>
                </c:pt>
                <c:pt idx="26">
                  <c:v>1.5255433463398117E-4</c:v>
                </c:pt>
                <c:pt idx="27">
                  <c:v>2.6629260946495328E-4</c:v>
                </c:pt>
                <c:pt idx="28">
                  <c:v>7.3604995408575467E-5</c:v>
                </c:pt>
                <c:pt idx="29">
                  <c:v>3.0607194042551701E-5</c:v>
                </c:pt>
                <c:pt idx="30">
                  <c:v>2.3939351841519713E-4</c:v>
                </c:pt>
                <c:pt idx="31">
                  <c:v>2.0528860035231222E-4</c:v>
                </c:pt>
                <c:pt idx="32">
                  <c:v>8.9120912618566368E-6</c:v>
                </c:pt>
                <c:pt idx="33">
                  <c:v>1.1587569532443553E-4</c:v>
                </c:pt>
                <c:pt idx="34">
                  <c:v>2.72271989901023E-4</c:v>
                </c:pt>
                <c:pt idx="35">
                  <c:v>1.0812548189982836E-4</c:v>
                </c:pt>
                <c:pt idx="36">
                  <c:v>1.1785273881628719E-5</c:v>
                </c:pt>
                <c:pt idx="37">
                  <c:v>2.1195572720357809E-4</c:v>
                </c:pt>
                <c:pt idx="38">
                  <c:v>2.3408864898454983E-4</c:v>
                </c:pt>
                <c:pt idx="39">
                  <c:v>2.5865590026384027E-5</c:v>
                </c:pt>
                <c:pt idx="40">
                  <c:v>8.0692091184017618E-5</c:v>
                </c:pt>
                <c:pt idx="41">
                  <c:v>2.683916368948256E-4</c:v>
                </c:pt>
                <c:pt idx="42">
                  <c:v>1.4470937413507738E-4</c:v>
                </c:pt>
                <c:pt idx="43">
                  <c:v>2.1357061551972339E-6</c:v>
                </c:pt>
                <c:pt idx="44">
                  <c:v>1.7901136071104331E-4</c:v>
                </c:pt>
                <c:pt idx="45">
                  <c:v>2.5578092948825562E-4</c:v>
                </c:pt>
                <c:pt idx="46">
                  <c:v>5.0947399857667002E-5</c:v>
                </c:pt>
                <c:pt idx="47">
                  <c:v>4.9587925311481108E-5</c:v>
                </c:pt>
                <c:pt idx="48">
                  <c:v>2.5493060995235327E-4</c:v>
                </c:pt>
                <c:pt idx="49">
                  <c:v>1.8067849151582935E-4</c:v>
                </c:pt>
                <c:pt idx="50">
                  <c:v>2.3749872725926335E-6</c:v>
                </c:pt>
              </c:numCache>
            </c:numRef>
          </c:xVal>
          <c:yVal>
            <c:numRef>
              <c:f>Tracking!$D$125:$D$175</c:f>
              <c:numCache>
                <c:formatCode>0.00E+00</c:formatCode>
                <c:ptCount val="51"/>
                <c:pt idx="0">
                  <c:v>0</c:v>
                </c:pt>
                <c:pt idx="1">
                  <c:v>3.8154688387148111E-6</c:v>
                </c:pt>
                <c:pt idx="2">
                  <c:v>-1.4111948535008739E-6</c:v>
                </c:pt>
                <c:pt idx="3">
                  <c:v>-3.2896412968823836E-6</c:v>
                </c:pt>
                <c:pt idx="4">
                  <c:v>2.619218652927771E-6</c:v>
                </c:pt>
                <c:pt idx="5">
                  <c:v>2.3298362284289991E-6</c:v>
                </c:pt>
                <c:pt idx="6">
                  <c:v>-3.4862197448571827E-6</c:v>
                </c:pt>
                <c:pt idx="7">
                  <c:v>-1.0371190141789291E-6</c:v>
                </c:pt>
                <c:pt idx="8">
                  <c:v>3.8653931804945712E-6</c:v>
                </c:pt>
                <c:pt idx="9">
                  <c:v>-3.8868344967744073E-7</c:v>
                </c:pt>
                <c:pt idx="10">
                  <c:v>-3.7204755985283571E-6</c:v>
                </c:pt>
                <c:pt idx="11">
                  <c:v>1.7583248401324042E-6</c:v>
                </c:pt>
                <c:pt idx="12">
                  <c:v>3.0771529147302699E-6</c:v>
                </c:pt>
                <c:pt idx="13">
                  <c:v>-2.9012778691609102E-6</c:v>
                </c:pt>
                <c:pt idx="14">
                  <c:v>-1.9989422942419655E-6</c:v>
                </c:pt>
                <c:pt idx="15">
                  <c:v>3.6328927390195296E-6</c:v>
                </c:pt>
                <c:pt idx="16">
                  <c:v>6.6245118679947371E-7</c:v>
                </c:pt>
                <c:pt idx="17">
                  <c:v>-3.8798593618064797E-6</c:v>
                </c:pt>
                <c:pt idx="18">
                  <c:v>7.6970546864905207E-7</c:v>
                </c:pt>
                <c:pt idx="19">
                  <c:v>3.598500525433074E-6</c:v>
                </c:pt>
                <c:pt idx="20">
                  <c:v>-2.1031977615405051E-6</c:v>
                </c:pt>
                <c:pt idx="21">
                  <c:v>-2.8155253631593872E-6</c:v>
                </c:pt>
                <c:pt idx="22">
                  <c:v>3.1354611188950098E-6</c:v>
                </c:pt>
                <c:pt idx="23">
                  <c:v>1.6648060859380654E-6</c:v>
                </c:pt>
                <c:pt idx="24">
                  <c:v>-3.7556154772437238E-6</c:v>
                </c:pt>
                <c:pt idx="25">
                  <c:v>-2.747880885874311E-7</c:v>
                </c:pt>
                <c:pt idx="26">
                  <c:v>3.8560438654778022E-6</c:v>
                </c:pt>
                <c:pt idx="27">
                  <c:v>-1.1504137796519214E-6</c:v>
                </c:pt>
                <c:pt idx="28">
                  <c:v>-3.427287622352851E-6</c:v>
                </c:pt>
                <c:pt idx="29">
                  <c:v>2.4097679825509715E-6</c:v>
                </c:pt>
                <c:pt idx="30">
                  <c:v>2.54464899747998E-6</c:v>
                </c:pt>
                <c:pt idx="31">
                  <c:v>-3.3562907424327475E-6</c:v>
                </c:pt>
                <c:pt idx="32">
                  <c:v>-1.2993367650109689E-6</c:v>
                </c:pt>
                <c:pt idx="33">
                  <c:v>3.8314354673874399E-6</c:v>
                </c:pt>
                <c:pt idx="34">
                  <c:v>-1.12940000840183E-7</c:v>
                </c:pt>
                <c:pt idx="35">
                  <c:v>-3.7893249742558273E-6</c:v>
                </c:pt>
                <c:pt idx="36">
                  <c:v>1.5088937077918833E-6</c:v>
                </c:pt>
                <c:pt idx="37">
                  <c:v>3.2374309680198221E-6</c:v>
                </c:pt>
                <c:pt idx="38">
                  <c:v>-2.7106913287006733E-6</c:v>
                </c:pt>
                <c:pt idx="39">
                  <c:v>-2.2295374013999741E-6</c:v>
                </c:pt>
                <c:pt idx="40">
                  <c:v>3.5270265346452707E-6</c:v>
                </c:pt>
                <c:pt idx="41">
                  <c:v>9.3285187175463627E-7</c:v>
                </c:pt>
                <c:pt idx="42">
                  <c:v>-3.8747507739470605E-6</c:v>
                </c:pt>
                <c:pt idx="43">
                  <c:v>4.9843630369201241E-7</c:v>
                </c:pt>
                <c:pt idx="44">
                  <c:v>3.6925734257954457E-6</c:v>
                </c:pt>
                <c:pt idx="45">
                  <c:v>-1.8658807627096083E-6</c:v>
                </c:pt>
                <c:pt idx="46">
                  <c:v>-2.9976977626536361E-6</c:v>
                </c:pt>
                <c:pt idx="47">
                  <c:v>2.9655288923645774E-6</c:v>
                </c:pt>
                <c:pt idx="48">
                  <c:v>1.9099607150470457E-6</c:v>
                </c:pt>
                <c:pt idx="49">
                  <c:v>-3.6767764589033653E-6</c:v>
                </c:pt>
                <c:pt idx="50">
                  <c:v>-5.4819988245776688E-7</c:v>
                </c:pt>
              </c:numCache>
            </c:numRef>
          </c:yVal>
        </c:ser>
        <c:axId val="89804160"/>
        <c:axId val="89847296"/>
      </c:scatterChart>
      <c:valAx>
        <c:axId val="8980416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847296"/>
        <c:crosses val="autoZero"/>
        <c:crossBetween val="midCat"/>
      </c:valAx>
      <c:valAx>
        <c:axId val="8984729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8041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4699331848552383"/>
          <c:y val="5.4054172944320515E-2"/>
          <c:w val="0.7728285077951017"/>
          <c:h val="0.8603622526971006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Tracking!$E$125:$E$175</c:f>
              <c:numCache>
                <c:formatCode>0.00E+00</c:formatCode>
                <c:ptCount val="51"/>
                <c:pt idx="0">
                  <c:v>9.9999999999999995E-7</c:v>
                </c:pt>
                <c:pt idx="1">
                  <c:v>8.0689431766336262E-7</c:v>
                </c:pt>
                <c:pt idx="2">
                  <c:v>3.0194393480814555E-7</c:v>
                </c:pt>
                <c:pt idx="3">
                  <c:v>-3.1945460027898462E-7</c:v>
                </c:pt>
                <c:pt idx="4">
                  <c:v>-8.1713263315478869E-7</c:v>
                </c:pt>
                <c:pt idx="5">
                  <c:v>-9.9940270037201196E-7</c:v>
                </c:pt>
                <c:pt idx="6">
                  <c:v>-7.9575222355986928E-7</c:v>
                </c:pt>
                <c:pt idx="7">
                  <c:v>-2.850452515694692E-7</c:v>
                </c:pt>
                <c:pt idx="8">
                  <c:v>3.3563650514622042E-7</c:v>
                </c:pt>
                <c:pt idx="9">
                  <c:v>8.2710607889524036E-7</c:v>
                </c:pt>
                <c:pt idx="10">
                  <c:v>9.9917333331045413E-7</c:v>
                </c:pt>
                <c:pt idx="11">
                  <c:v>7.8538983268636614E-7</c:v>
                </c:pt>
                <c:pt idx="12">
                  <c:v>2.6816005888794261E-7</c:v>
                </c:pt>
                <c:pt idx="13">
                  <c:v>-3.5294310995415946E-7</c:v>
                </c:pt>
                <c:pt idx="14">
                  <c:v>-8.3746190353913372E-7</c:v>
                </c:pt>
                <c:pt idx="15">
                  <c:v>-9.9842454354939153E-7</c:v>
                </c:pt>
                <c:pt idx="16">
                  <c:v>-7.7378668119794628E-7</c:v>
                </c:pt>
                <c:pt idx="17">
                  <c:v>-2.5031332819548962E-7</c:v>
                </c:pt>
                <c:pt idx="18">
                  <c:v>3.6940963763638742E-7</c:v>
                </c:pt>
                <c:pt idx="19">
                  <c:v>8.4654368702600798E-7</c:v>
                </c:pt>
                <c:pt idx="20">
                  <c:v>9.9698464327057984E-7</c:v>
                </c:pt>
                <c:pt idx="21">
                  <c:v>7.6246089785388739E-7</c:v>
                </c:pt>
                <c:pt idx="22">
                  <c:v>2.3367975431369727E-7</c:v>
                </c:pt>
                <c:pt idx="23">
                  <c:v>-3.856894969594144E-7</c:v>
                </c:pt>
                <c:pt idx="24">
                  <c:v>-8.5629321267118828E-7</c:v>
                </c:pt>
                <c:pt idx="25">
                  <c:v>-9.9601300202984078E-7</c:v>
                </c:pt>
                <c:pt idx="26">
                  <c:v>-7.5106412198291691E-7</c:v>
                </c:pt>
                <c:pt idx="27">
                  <c:v>-2.1579585875020305E-7</c:v>
                </c:pt>
                <c:pt idx="28">
                  <c:v>4.0267899802236852E-7</c:v>
                </c:pt>
                <c:pt idx="29">
                  <c:v>8.652918263442164E-7</c:v>
                </c:pt>
                <c:pt idx="30">
                  <c:v>9.938622274990731E-7</c:v>
                </c:pt>
                <c:pt idx="31">
                  <c:v>7.3862501270485307E-7</c:v>
                </c:pt>
                <c:pt idx="32">
                  <c:v>1.9840927388509426E-7</c:v>
                </c:pt>
                <c:pt idx="33">
                  <c:v>-4.1828985458466319E-7</c:v>
                </c:pt>
                <c:pt idx="34">
                  <c:v>-8.7383969830396668E-7</c:v>
                </c:pt>
                <c:pt idx="35">
                  <c:v>-9.9195923884257346E-7</c:v>
                </c:pt>
                <c:pt idx="36">
                  <c:v>-7.2705417373968389E-7</c:v>
                </c:pt>
                <c:pt idx="37">
                  <c:v>-1.8123751402673668E-7</c:v>
                </c:pt>
                <c:pt idx="38">
                  <c:v>4.3491185976819365E-7</c:v>
                </c:pt>
                <c:pt idx="39">
                  <c:v>8.8285537003646651E-7</c:v>
                </c:pt>
                <c:pt idx="40">
                  <c:v>9.8971801036139119E-7</c:v>
                </c:pt>
                <c:pt idx="41">
                  <c:v>7.1430574165835282E-7</c:v>
                </c:pt>
                <c:pt idx="42">
                  <c:v>1.6300046812695189E-7</c:v>
                </c:pt>
                <c:pt idx="43">
                  <c:v>-4.508293293752389E-7</c:v>
                </c:pt>
                <c:pt idx="44">
                  <c:v>-8.9059425975011186E-7</c:v>
                </c:pt>
                <c:pt idx="45">
                  <c:v>-9.8662779093775718E-7</c:v>
                </c:pt>
                <c:pt idx="46">
                  <c:v>-7.0171311874590551E-7</c:v>
                </c:pt>
                <c:pt idx="47">
                  <c:v>-1.46038184876384E-7</c:v>
                </c:pt>
                <c:pt idx="48">
                  <c:v>4.6636590299970325E-7</c:v>
                </c:pt>
                <c:pt idx="49">
                  <c:v>8.9886800989383721E-7</c:v>
                </c:pt>
                <c:pt idx="50">
                  <c:v>9.8408384771840103E-7</c:v>
                </c:pt>
              </c:numCache>
            </c:numRef>
          </c:xVal>
          <c:yVal>
            <c:numRef>
              <c:f>Tracking!$F$125:$F$175</c:f>
              <c:numCache>
                <c:formatCode>0.00E+00</c:formatCode>
                <c:ptCount val="51"/>
                <c:pt idx="0">
                  <c:v>0</c:v>
                </c:pt>
                <c:pt idx="1">
                  <c:v>2.3569126787837037E-7</c:v>
                </c:pt>
                <c:pt idx="2">
                  <c:v>3.8055994556678074E-7</c:v>
                </c:pt>
                <c:pt idx="3">
                  <c:v>3.7817472725703818E-7</c:v>
                </c:pt>
                <c:pt idx="4">
                  <c:v>2.2997154037252786E-7</c:v>
                </c:pt>
                <c:pt idx="5">
                  <c:v>-7.0745128748301528E-9</c:v>
                </c:pt>
                <c:pt idx="6">
                  <c:v>-2.4155677644533107E-7</c:v>
                </c:pt>
                <c:pt idx="7">
                  <c:v>-3.8247269628269819E-7</c:v>
                </c:pt>
                <c:pt idx="8">
                  <c:v>-3.759351572081489E-7</c:v>
                </c:pt>
                <c:pt idx="9">
                  <c:v>-2.2414852109886528E-7</c:v>
                </c:pt>
                <c:pt idx="10">
                  <c:v>1.4338114823000489E-8</c:v>
                </c:pt>
                <c:pt idx="11">
                  <c:v>2.4701655387579643E-7</c:v>
                </c:pt>
                <c:pt idx="12">
                  <c:v>3.8456604583000368E-7</c:v>
                </c:pt>
                <c:pt idx="13">
                  <c:v>3.7349477584514719E-7</c:v>
                </c:pt>
                <c:pt idx="14">
                  <c:v>2.1808292676031594E-7</c:v>
                </c:pt>
                <c:pt idx="15">
                  <c:v>-2.1287218566025777E-8</c:v>
                </c:pt>
                <c:pt idx="16">
                  <c:v>-2.5270962009533164E-7</c:v>
                </c:pt>
                <c:pt idx="17">
                  <c:v>-3.863975670630808E-7</c:v>
                </c:pt>
                <c:pt idx="18">
                  <c:v>-3.708007337960491E-7</c:v>
                </c:pt>
                <c:pt idx="19">
                  <c:v>-2.1225496836027025E-7</c:v>
                </c:pt>
                <c:pt idx="20">
                  <c:v>2.8542044786389173E-8</c:v>
                </c:pt>
                <c:pt idx="21">
                  <c:v>2.5814402213569271E-7</c:v>
                </c:pt>
                <c:pt idx="22">
                  <c:v>3.8802888052004602E-7</c:v>
                </c:pt>
                <c:pt idx="23">
                  <c:v>3.6828743995293313E-7</c:v>
                </c:pt>
                <c:pt idx="24">
                  <c:v>2.0603139089879625E-7</c:v>
                </c:pt>
                <c:pt idx="25">
                  <c:v>-3.5589584885879178E-8</c:v>
                </c:pt>
                <c:pt idx="26">
                  <c:v>-2.6347260258903685E-7</c:v>
                </c:pt>
                <c:pt idx="27">
                  <c:v>-3.8980081853357169E-7</c:v>
                </c:pt>
                <c:pt idx="28">
                  <c:v>-3.6530673619453848E-7</c:v>
                </c:pt>
                <c:pt idx="29">
                  <c:v>-1.9996680864545986E-7</c:v>
                </c:pt>
                <c:pt idx="30">
                  <c:v>4.2634243039513152E-8</c:v>
                </c:pt>
                <c:pt idx="31">
                  <c:v>2.6893459188147557E-7</c:v>
                </c:pt>
                <c:pt idx="32">
                  <c:v>3.9109658253505059E-7</c:v>
                </c:pt>
                <c:pt idx="33">
                  <c:v>3.624775030526532E-7</c:v>
                </c:pt>
                <c:pt idx="34">
                  <c:v>1.9380171004065561E-7</c:v>
                </c:pt>
                <c:pt idx="35">
                  <c:v>-4.9849952195317391E-8</c:v>
                </c:pt>
                <c:pt idx="36">
                  <c:v>-2.7398131397341854E-7</c:v>
                </c:pt>
                <c:pt idx="37">
                  <c:v>-3.9257331054818296E-7</c:v>
                </c:pt>
                <c:pt idx="38">
                  <c:v>-3.5944769966999308E-7</c:v>
                </c:pt>
                <c:pt idx="39">
                  <c:v>-1.8741096932426126E-7</c:v>
                </c:pt>
                <c:pt idx="40">
                  <c:v>5.6742184036709176E-8</c:v>
                </c:pt>
                <c:pt idx="41">
                  <c:v>2.792574366987009E-7</c:v>
                </c:pt>
                <c:pt idx="42">
                  <c:v>3.9378134475747359E-7</c:v>
                </c:pt>
                <c:pt idx="43">
                  <c:v>3.5617370343210574E-7</c:v>
                </c:pt>
                <c:pt idx="44">
                  <c:v>1.8126265615882773E-7</c:v>
                </c:pt>
                <c:pt idx="45">
                  <c:v>-6.3931639227146622E-8</c:v>
                </c:pt>
                <c:pt idx="46">
                  <c:v>-2.842597633947566E-7</c:v>
                </c:pt>
                <c:pt idx="47">
                  <c:v>-3.9479069791681125E-7</c:v>
                </c:pt>
                <c:pt idx="48">
                  <c:v>-3.5308109605900774E-7</c:v>
                </c:pt>
                <c:pt idx="49">
                  <c:v>-1.7472928923226254E-7</c:v>
                </c:pt>
                <c:pt idx="50">
                  <c:v>7.0895590975587028E-8</c:v>
                </c:pt>
              </c:numCache>
            </c:numRef>
          </c:yVal>
        </c:ser>
        <c:axId val="89690112"/>
        <c:axId val="89692032"/>
      </c:scatterChart>
      <c:valAx>
        <c:axId val="89690112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692032"/>
        <c:crosses val="autoZero"/>
        <c:crossBetween val="midCat"/>
      </c:valAx>
      <c:valAx>
        <c:axId val="8969203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E+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690112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5819238132720842"/>
          <c:y val="6.596314566904278E-2"/>
          <c:w val="0.68361707644972103"/>
          <c:h val="0.7836421705482286"/>
        </c:manualLayout>
      </c:layout>
      <c:scatterChart>
        <c:scatterStyle val="lineMarker"/>
        <c:ser>
          <c:idx val="0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Tracking!$D$107:$D$117</c:f>
              <c:numCache>
                <c:formatCode>0.00E+00</c:formatCode>
                <c:ptCount val="11"/>
                <c:pt idx="0">
                  <c:v>2.8475746174345522E-14</c:v>
                </c:pt>
                <c:pt idx="1">
                  <c:v>1.1390298469738212E-6</c:v>
                </c:pt>
                <c:pt idx="2">
                  <c:v>2.2780596939476419E-6</c:v>
                </c:pt>
                <c:pt idx="3">
                  <c:v>3.4170895409214622E-6</c:v>
                </c:pt>
                <c:pt idx="4">
                  <c:v>4.5561193878952846E-6</c:v>
                </c:pt>
                <c:pt idx="5">
                  <c:v>5.6951492348691062E-6</c:v>
                </c:pt>
                <c:pt idx="6">
                  <c:v>6.8341790818429278E-6</c:v>
                </c:pt>
                <c:pt idx="7">
                  <c:v>7.9732089288167485E-6</c:v>
                </c:pt>
                <c:pt idx="8">
                  <c:v>9.1122387757905675E-6</c:v>
                </c:pt>
                <c:pt idx="9">
                  <c:v>1.0251268622764388E-5</c:v>
                </c:pt>
                <c:pt idx="10">
                  <c:v>1.1390298469738209E-5</c:v>
                </c:pt>
              </c:numCache>
            </c:numRef>
          </c:xVal>
          <c:yVal>
            <c:numRef>
              <c:f>Tracking!$E$107:$E$117</c:f>
              <c:numCache>
                <c:formatCode>0.000</c:formatCode>
                <c:ptCount val="11"/>
                <c:pt idx="0">
                  <c:v>36.468997254023073</c:v>
                </c:pt>
                <c:pt idx="1">
                  <c:v>36.458841226147008</c:v>
                </c:pt>
                <c:pt idx="2">
                  <c:v>36.447286673408939</c:v>
                </c:pt>
                <c:pt idx="3">
                  <c:v>36.434846886477835</c:v>
                </c:pt>
                <c:pt idx="4">
                  <c:v>36.421888929719771</c:v>
                </c:pt>
                <c:pt idx="5">
                  <c:v>36.408725964736277</c:v>
                </c:pt>
                <c:pt idx="6">
                  <c:v>36.395647148590662</c:v>
                </c:pt>
                <c:pt idx="7">
                  <c:v>36.382902944949251</c:v>
                </c:pt>
                <c:pt idx="8">
                  <c:v>36.370734523259102</c:v>
                </c:pt>
                <c:pt idx="9">
                  <c:v>36.358994867169038</c:v>
                </c:pt>
                <c:pt idx="10">
                  <c:v>36.348365338243767</c:v>
                </c:pt>
              </c:numCache>
            </c:numRef>
          </c:yVal>
          <c:smooth val="1"/>
        </c:ser>
        <c:axId val="90020096"/>
        <c:axId val="90026368"/>
      </c:scatterChart>
      <c:scatterChart>
        <c:scatterStyle val="lineMarker"/>
        <c:ser>
          <c:idx val="1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Tracking!$H$107:$H$117</c:f>
              <c:numCache>
                <c:formatCode>0.00E+00</c:formatCode>
                <c:ptCount val="11"/>
                <c:pt idx="0">
                  <c:v>3.9615593407132796E-13</c:v>
                </c:pt>
                <c:pt idx="1">
                  <c:v>9.9038983517832008E-7</c:v>
                </c:pt>
                <c:pt idx="2">
                  <c:v>1.9807796703566406E-6</c:v>
                </c:pt>
                <c:pt idx="3">
                  <c:v>2.9711695055349596E-6</c:v>
                </c:pt>
                <c:pt idx="4">
                  <c:v>3.9615593407132803E-6</c:v>
                </c:pt>
                <c:pt idx="5">
                  <c:v>4.9519491758916023E-6</c:v>
                </c:pt>
                <c:pt idx="6">
                  <c:v>5.9423390110699217E-6</c:v>
                </c:pt>
                <c:pt idx="7">
                  <c:v>6.932728846248242E-6</c:v>
                </c:pt>
                <c:pt idx="8">
                  <c:v>7.9231186814265623E-6</c:v>
                </c:pt>
                <c:pt idx="9">
                  <c:v>8.91350851660488E-6</c:v>
                </c:pt>
                <c:pt idx="10">
                  <c:v>9.9038983517832012E-6</c:v>
                </c:pt>
              </c:numCache>
            </c:numRef>
          </c:xVal>
          <c:yVal>
            <c:numRef>
              <c:f>Tracking!$J$107:$J$117</c:f>
              <c:numCache>
                <c:formatCode>0.000</c:formatCode>
                <c:ptCount val="11"/>
                <c:pt idx="0">
                  <c:v>14.38424757531598</c:v>
                </c:pt>
                <c:pt idx="1">
                  <c:v>14.379356574956955</c:v>
                </c:pt>
                <c:pt idx="2">
                  <c:v>14.374623180640125</c:v>
                </c:pt>
                <c:pt idx="3">
                  <c:v>14.370044443656138</c:v>
                </c:pt>
                <c:pt idx="4">
                  <c:v>14.365617714946611</c:v>
                </c:pt>
                <c:pt idx="5">
                  <c:v>14.361340573222378</c:v>
                </c:pt>
                <c:pt idx="6">
                  <c:v>14.357210702337293</c:v>
                </c:pt>
                <c:pt idx="7">
                  <c:v>14.353225965354245</c:v>
                </c:pt>
                <c:pt idx="8">
                  <c:v>14.349384463129873</c:v>
                </c:pt>
                <c:pt idx="9">
                  <c:v>14.345684436538788</c:v>
                </c:pt>
                <c:pt idx="10">
                  <c:v>14.342124227742698</c:v>
                </c:pt>
              </c:numCache>
            </c:numRef>
          </c:yVal>
          <c:smooth val="1"/>
        </c:ser>
        <c:axId val="90028288"/>
        <c:axId val="90038272"/>
      </c:scatterChart>
      <c:valAx>
        <c:axId val="9002009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6368"/>
        <c:crosses val="autoZero"/>
        <c:crossBetween val="midCat"/>
      </c:valAx>
      <c:valAx>
        <c:axId val="900263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3.2015065913371069E-2"/>
              <c:y val="0.39314039570911213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0096"/>
        <c:crosses val="autoZero"/>
        <c:crossBetween val="midCat"/>
      </c:valAx>
      <c:valAx>
        <c:axId val="90028288"/>
        <c:scaling>
          <c:orientation val="minMax"/>
        </c:scaling>
        <c:delete val="1"/>
        <c:axPos val="b"/>
        <c:numFmt formatCode="0.00E+00" sourceLinked="1"/>
        <c:tickLblPos val="none"/>
        <c:crossAx val="90038272"/>
        <c:crosses val="autoZero"/>
        <c:crossBetween val="midCat"/>
      </c:valAx>
      <c:valAx>
        <c:axId val="90038272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220516926909569"/>
              <c:y val="0.39314039570911213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28288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9133709981167448"/>
          <c:y val="0.14248021108179451"/>
          <c:w val="0.19397363465160078"/>
          <c:h val="9.4986807387863081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 paperSize="0" orientation="landscape" horizontalDpi="-4" verticalDpi="-4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0084061198084071"/>
          <c:y val="8.0645288314781238E-2"/>
          <c:w val="0.75350346174572647"/>
          <c:h val="0.81935612927817769"/>
        </c:manualLayout>
      </c:layout>
      <c:scatterChart>
        <c:scatterStyle val="lineMarker"/>
        <c:ser>
          <c:idx val="0"/>
          <c:order val="0"/>
          <c:spPr>
            <a:ln w="25400">
              <a:solidFill>
                <a:srgbClr val="4600A5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Tracking!$E$51:$E$57</c:f>
              <c:numCache>
                <c:formatCode>0.0000</c:formatCode>
                <c:ptCount val="7"/>
                <c:pt idx="0">
                  <c:v>-9.1718749999999988E-2</c:v>
                </c:pt>
                <c:pt idx="1">
                  <c:v>-7.0734534283422218E-2</c:v>
                </c:pt>
                <c:pt idx="2">
                  <c:v>-3.2895828012412975E-2</c:v>
                </c:pt>
                <c:pt idx="3">
                  <c:v>8.5186103505364979E-19</c:v>
                </c:pt>
                <c:pt idx="4">
                  <c:v>2.2229281636426023E-2</c:v>
                </c:pt>
                <c:pt idx="5">
                  <c:v>3.69474120475866E-2</c:v>
                </c:pt>
                <c:pt idx="6">
                  <c:v>4.7343750000000004E-2</c:v>
                </c:pt>
              </c:numCache>
            </c:numRef>
          </c:xVal>
          <c:yVal>
            <c:numRef>
              <c:f>Tracking!$F$51:$F$57</c:f>
              <c:numCache>
                <c:formatCode>0.0000</c:formatCode>
                <c:ptCount val="7"/>
                <c:pt idx="0">
                  <c:v>1.1236908484864998E-17</c:v>
                </c:pt>
                <c:pt idx="1">
                  <c:v>5.3623284081980999E-3</c:v>
                </c:pt>
                <c:pt idx="2">
                  <c:v>9.9752255301695254E-3</c:v>
                </c:pt>
                <c:pt idx="3">
                  <c:v>1.3906249999999998E-2</c:v>
                </c:pt>
                <c:pt idx="4">
                  <c:v>1.3058785911827825E-2</c:v>
                </c:pt>
                <c:pt idx="5">
                  <c:v>5.4262700861967108E-3</c:v>
                </c:pt>
                <c:pt idx="6">
                  <c:v>0</c:v>
                </c:pt>
              </c:numCache>
            </c:numRef>
          </c:yVal>
        </c:ser>
        <c:axId val="89922560"/>
        <c:axId val="89928832"/>
      </c:scatterChart>
      <c:valAx>
        <c:axId val="8992256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28832"/>
        <c:crosses val="autoZero"/>
        <c:crossBetween val="midCat"/>
      </c:valAx>
      <c:valAx>
        <c:axId val="89928832"/>
        <c:scaling>
          <c:orientation val="minMax"/>
        </c:scaling>
        <c:axPos val="r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22560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724036605406824"/>
          <c:y val="4.7318611987381923E-2"/>
          <c:w val="0.72939195752120811"/>
          <c:h val="0.86435331230283963"/>
        </c:manualLayout>
      </c:layout>
      <c:scatterChart>
        <c:scatterStyle val="lineMarker"/>
        <c:ser>
          <c:idx val="2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yVal>
          <c:smooth val="1"/>
        </c:ser>
        <c:axId val="89978368"/>
        <c:axId val="89980288"/>
      </c:scatterChart>
      <c:scatterChart>
        <c:scatterStyle val="lineMarker"/>
        <c:ser>
          <c:idx val="3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048000"/>
        <c:axId val="90049536"/>
      </c:scatterChart>
      <c:valAx>
        <c:axId val="899783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80288"/>
        <c:crosses val="autoZero"/>
        <c:crossBetween val="midCat"/>
      </c:valAx>
      <c:valAx>
        <c:axId val="899802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1.9713261648745557E-2"/>
              <c:y val="0.4164037854889595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89978368"/>
        <c:crosses val="autoZero"/>
        <c:crossBetween val="midCat"/>
      </c:valAx>
      <c:valAx>
        <c:axId val="90048000"/>
        <c:scaling>
          <c:orientation val="minMax"/>
        </c:scaling>
        <c:delete val="1"/>
        <c:axPos val="b"/>
        <c:numFmt formatCode="0.00%" sourceLinked="1"/>
        <c:tickLblPos val="none"/>
        <c:crossAx val="90049536"/>
        <c:crosses val="autoZero"/>
        <c:crossBetween val="midCat"/>
      </c:valAx>
      <c:valAx>
        <c:axId val="9004953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190133491378202"/>
              <c:y val="0.4164037854889595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04800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770628133848899"/>
          <c:y val="8.2018927444794915E-2"/>
          <c:w val="0.17025127235439674"/>
          <c:h val="0.1041009463722400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Tune diagram</a:t>
            </a:r>
          </a:p>
        </c:rich>
      </c:tx>
      <c:layout>
        <c:manualLayout>
          <c:xMode val="edge"/>
          <c:yMode val="edge"/>
          <c:x val="0.41176545445188323"/>
          <c:y val="3.208556149732626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438527807709145"/>
          <c:y val="0.18449197860962571"/>
          <c:w val="0.8003578994643693"/>
          <c:h val="0.63636363636363746"/>
        </c:manualLayout>
      </c:layout>
      <c:scatterChart>
        <c:scatterStyle val="smoothMarker"/>
        <c:ser>
          <c:idx val="0"/>
          <c:order val="0"/>
          <c:tx>
            <c:v>Tune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dPt>
            <c:idx val="5"/>
            <c:marker>
              <c:symbol val="x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</c:dPt>
          <c:x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061824"/>
        <c:axId val="90104960"/>
      </c:scatterChart>
      <c:valAx>
        <c:axId val="9006182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Horizontal</a:t>
                </a:r>
              </a:p>
            </c:rich>
          </c:tx>
          <c:layout>
            <c:manualLayout>
              <c:xMode val="edge"/>
              <c:yMode val="edge"/>
              <c:x val="0.49019701414328559"/>
              <c:y val="0.901069518716577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104960"/>
        <c:crosses val="autoZero"/>
        <c:crossBetween val="midCat"/>
        <c:majorUnit val="0.5"/>
        <c:minorUnit val="0.1"/>
      </c:valAx>
      <c:valAx>
        <c:axId val="901049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Vertical</a:t>
                </a:r>
              </a:p>
            </c:rich>
          </c:tx>
          <c:layout>
            <c:manualLayout>
              <c:xMode val="edge"/>
              <c:yMode val="edge"/>
              <c:x val="2.8520499108734367E-2"/>
              <c:y val="0.4385026737967921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061824"/>
        <c:crosses val="autoZero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/>
      <c:scatterChart>
        <c:scatterStyle val="lineMarker"/>
        <c:ser>
          <c:idx val="0"/>
          <c:order val="0"/>
          <c:tx>
            <c:v>Longitudinal Phase Space</c:v>
          </c:tx>
          <c:spPr>
            <a:ln w="28575">
              <a:noFill/>
            </a:ln>
          </c:spPr>
          <c:xVal>
            <c:numRef>
              <c:f>Tracking!$G$125:$G$175</c:f>
              <c:numCache>
                <c:formatCode>0.00E+00</c:formatCode>
                <c:ptCount val="5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</c:numCache>
            </c:numRef>
          </c:xVal>
          <c:yVal>
            <c:numRef>
              <c:f>Tracking!$H$125:$H$200</c:f>
              <c:numCache>
                <c:formatCode>0.00E+00</c:formatCode>
                <c:ptCount val="76"/>
                <c:pt idx="0">
                  <c:v>1E-3</c:v>
                </c:pt>
                <c:pt idx="1">
                  <c:v>1.0091848570801421E-3</c:v>
                </c:pt>
                <c:pt idx="2">
                  <c:v>1.019623828546562E-3</c:v>
                </c:pt>
                <c:pt idx="3">
                  <c:v>1.0295996182688315E-3</c:v>
                </c:pt>
                <c:pt idx="4">
                  <c:v>1.0384926371337065E-3</c:v>
                </c:pt>
                <c:pt idx="5">
                  <c:v>1.0482481091457448E-3</c:v>
                </c:pt>
                <c:pt idx="6">
                  <c:v>1.0587684712393239E-3</c:v>
                </c:pt>
                <c:pt idx="7">
                  <c:v>1.0681435056508165E-3</c:v>
                </c:pt>
                <c:pt idx="8">
                  <c:v>1.0771768885532982E-3</c:v>
                </c:pt>
                <c:pt idx="9">
                  <c:v>1.0874814602420525E-3</c:v>
                </c:pt>
                <c:pt idx="10">
                  <c:v>1.0976584751507467E-3</c:v>
                </c:pt>
                <c:pt idx="11">
                  <c:v>1.1066114954695211E-3</c:v>
                </c:pt>
                <c:pt idx="12">
                  <c:v>1.116143666039664E-3</c:v>
                </c:pt>
                <c:pt idx="13">
                  <c:v>1.1266864413920111E-3</c:v>
                </c:pt>
                <c:pt idx="14">
                  <c:v>1.1362764738026472E-3</c:v>
                </c:pt>
                <c:pt idx="15">
                  <c:v>1.1452081460830064E-3</c:v>
                </c:pt>
                <c:pt idx="16">
                  <c:v>1.1553351547633724E-3</c:v>
                </c:pt>
                <c:pt idx="17">
                  <c:v>1.1656795690616988E-3</c:v>
                </c:pt>
                <c:pt idx="18">
                  <c:v>1.1747482122203439E-3</c:v>
                </c:pt>
                <c:pt idx="19">
                  <c:v>1.1840704230133162E-3</c:v>
                </c:pt>
                <c:pt idx="20">
                  <c:v>1.1945749968317544E-3</c:v>
                </c:pt>
                <c:pt idx="21">
                  <c:v>1.2043891401491086E-3</c:v>
                </c:pt>
                <c:pt idx="22">
                  <c:v>1.2132762802128973E-3</c:v>
                </c:pt>
                <c:pt idx="23">
                  <c:v>1.2231955612452858E-3</c:v>
                </c:pt>
                <c:pt idx="24">
                  <c:v>1.2336612938034649E-3</c:v>
                </c:pt>
                <c:pt idx="25">
                  <c:v>1.2428927503762316E-3</c:v>
                </c:pt>
                <c:pt idx="26">
                  <c:v>1.2520336792526787E-3</c:v>
                </c:pt>
                <c:pt idx="27">
                  <c:v>1.2624422310662069E-3</c:v>
                </c:pt>
                <c:pt idx="28">
                  <c:v>1.2724732116553888E-3</c:v>
                </c:pt>
                <c:pt idx="29">
                  <c:v>1.2813762502606335E-3</c:v>
                </c:pt>
                <c:pt idx="30">
                  <c:v>1.2910728452593088E-3</c:v>
                </c:pt>
                <c:pt idx="31">
                  <c:v>1.3016049253496726E-3</c:v>
                </c:pt>
                <c:pt idx="32">
                  <c:v>1.311034496368731E-3</c:v>
                </c:pt>
                <c:pt idx="33">
                  <c:v>1.3200360532767798E-3</c:v>
                </c:pt>
                <c:pt idx="34">
                  <c:v>1.3302978033654861E-3</c:v>
                </c:pt>
                <c:pt idx="35">
                  <c:v>1.3405224901736437E-3</c:v>
                </c:pt>
                <c:pt idx="36">
                  <c:v>1.3495006973881772E-3</c:v>
                </c:pt>
                <c:pt idx="37">
                  <c:v>1.3589759268832153E-3</c:v>
                </c:pt>
                <c:pt idx="38">
                  <c:v>1.3695145186060388E-3</c:v>
                </c:pt>
                <c:pt idx="39">
                  <c:v>1.3791630418072058E-3</c:v>
                </c:pt>
                <c:pt idx="40">
                  <c:v>1.3880773123795649E-3</c:v>
                </c:pt>
                <c:pt idx="41">
                  <c:v>1.3981522331678229E-3</c:v>
                </c:pt>
                <c:pt idx="42">
                  <c:v>1.4085333096633282E-3</c:v>
                </c:pt>
                <c:pt idx="43">
                  <c:v>1.4176404697722254E-3</c:v>
                </c:pt>
                <c:pt idx="44">
                  <c:v>1.4269118361683476E-3</c:v>
                </c:pt>
                <c:pt idx="45">
                  <c:v>1.4373966313008064E-3</c:v>
                </c:pt>
                <c:pt idx="46">
                  <c:v>1.447268944122324E-3</c:v>
                </c:pt>
                <c:pt idx="47">
                  <c:v>1.4561543759204485E-3</c:v>
                </c:pt>
                <c:pt idx="48">
                  <c:v>1.4660161157674743E-3</c:v>
                </c:pt>
                <c:pt idx="49">
                  <c:v>1.4765048155015229E-3</c:v>
                </c:pt>
                <c:pt idx="50">
                  <c:v>1.4857853080811362E-3</c:v>
                </c:pt>
              </c:numCache>
            </c:numRef>
          </c:yVal>
        </c:ser>
        <c:axId val="90067712"/>
        <c:axId val="90069248"/>
      </c:scatterChart>
      <c:valAx>
        <c:axId val="90067712"/>
        <c:scaling>
          <c:orientation val="minMax"/>
        </c:scaling>
        <c:axPos val="b"/>
        <c:numFmt formatCode="0.00E+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069248"/>
        <c:crosses val="autoZero"/>
        <c:crossBetween val="midCat"/>
      </c:valAx>
      <c:valAx>
        <c:axId val="90069248"/>
        <c:scaling>
          <c:orientation val="minMax"/>
        </c:scaling>
        <c:axPos val="l"/>
        <c:majorGridlines/>
        <c:numFmt formatCode="0.00E+00" sourceLinked="1"/>
        <c:tickLblPos val="nextTo"/>
        <c:crossAx val="900677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layout/>
    </c:title>
    <c:plotArea>
      <c:layout/>
      <c:scatterChart>
        <c:scatterStyle val="lineMarker"/>
        <c:ser>
          <c:idx val="0"/>
          <c:order val="0"/>
          <c:tx>
            <c:v>delta(n)</c:v>
          </c:tx>
          <c:spPr>
            <a:ln w="28575">
              <a:noFill/>
            </a:ln>
          </c:spPr>
          <c:xVal>
            <c:numRef>
              <c:f>Tracking!$I$125:$I$175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Tracking!$G$126:$G$175</c:f>
              <c:numCache>
                <c:formatCode>0.00E+00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</c:ser>
        <c:axId val="90141440"/>
        <c:axId val="90142976"/>
      </c:scatterChart>
      <c:valAx>
        <c:axId val="90141440"/>
        <c:scaling>
          <c:orientation val="minMax"/>
        </c:scaling>
        <c:axPos val="b"/>
        <c:numFmt formatCode="General" sourceLinked="1"/>
        <c:tickLblPos val="nextTo"/>
        <c:crossAx val="90142976"/>
        <c:crosses val="autoZero"/>
        <c:crossBetween val="midCat"/>
      </c:valAx>
      <c:valAx>
        <c:axId val="90142976"/>
        <c:scaling>
          <c:orientation val="minMax"/>
        </c:scaling>
        <c:axPos val="l"/>
        <c:majorGridlines/>
        <c:numFmt formatCode="0.00E+00" sourceLinked="1"/>
        <c:tickLblPos val="nextTo"/>
        <c:crossAx val="90141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724036605406824"/>
          <c:y val="4.7318611987382013E-2"/>
          <c:w val="0.72939195752120856"/>
          <c:h val="0.86435331230283963"/>
        </c:manualLayout>
      </c:layout>
      <c:scatterChart>
        <c:scatterStyle val="lineMarker"/>
        <c:ser>
          <c:idx val="2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yVal>
          <c:smooth val="1"/>
        </c:ser>
        <c:axId val="90408064"/>
        <c:axId val="90409984"/>
      </c:scatterChart>
      <c:scatterChart>
        <c:scatterStyle val="lineMarker"/>
        <c:ser>
          <c:idx val="3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Tracking!$C$71:$C$81</c:f>
              <c:numCache>
                <c:formatCode>0.00%</c:formatCode>
                <c:ptCount val="11"/>
                <c:pt idx="0">
                  <c:v>-0.05</c:v>
                </c:pt>
                <c:pt idx="1">
                  <c:v>-4.0000000000000008E-2</c:v>
                </c:pt>
                <c:pt idx="2">
                  <c:v>-0.03</c:v>
                </c:pt>
                <c:pt idx="3">
                  <c:v>-2.0000000000000004E-2</c:v>
                </c:pt>
                <c:pt idx="4">
                  <c:v>-1.0000000000000002E-2</c:v>
                </c:pt>
                <c:pt idx="5">
                  <c:v>0</c:v>
                </c:pt>
                <c:pt idx="6">
                  <c:v>1.0000000000000002E-2</c:v>
                </c:pt>
                <c:pt idx="7">
                  <c:v>2.0000000000000004E-2</c:v>
                </c:pt>
                <c:pt idx="8">
                  <c:v>0.03</c:v>
                </c:pt>
                <c:pt idx="9">
                  <c:v>4.0000000000000008E-2</c:v>
                </c:pt>
                <c:pt idx="10">
                  <c:v>0.05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412160"/>
        <c:axId val="90413696"/>
      </c:scatterChart>
      <c:valAx>
        <c:axId val="904080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09984"/>
        <c:crosses val="autoZero"/>
        <c:crossBetween val="midCat"/>
      </c:valAx>
      <c:valAx>
        <c:axId val="904099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1.971326164874557E-2"/>
              <c:y val="0.4164037854889598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08064"/>
        <c:crosses val="autoZero"/>
        <c:crossBetween val="midCat"/>
      </c:valAx>
      <c:valAx>
        <c:axId val="90412160"/>
        <c:scaling>
          <c:orientation val="minMax"/>
        </c:scaling>
        <c:delete val="1"/>
        <c:axPos val="b"/>
        <c:numFmt formatCode="0.00%" sourceLinked="1"/>
        <c:tickLblPos val="none"/>
        <c:crossAx val="90413696"/>
        <c:crosses val="autoZero"/>
        <c:crossBetween val="midCat"/>
      </c:valAx>
      <c:valAx>
        <c:axId val="9041369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190133491378246"/>
              <c:y val="0.41640378548895984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41216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770628133848918"/>
          <c:y val="8.2018927444794915E-2"/>
          <c:w val="0.17025127235439674"/>
          <c:h val="0.10410094637224009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5819238132720864"/>
          <c:y val="6.596314566904278E-2"/>
          <c:w val="0.68361707644972158"/>
          <c:h val="0.7836421705482286"/>
        </c:manualLayout>
      </c:layout>
      <c:scatterChart>
        <c:scatterStyle val="lineMarker"/>
        <c:ser>
          <c:idx val="0"/>
          <c:order val="0"/>
          <c:tx>
            <c:v>Horizontal</c:v>
          </c:tx>
          <c:spPr>
            <a:ln w="25400">
              <a:solidFill>
                <a:srgbClr val="63AAFE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xVal>
            <c:numRef>
              <c:f>Tracking!$D$107:$D$117</c:f>
              <c:numCache>
                <c:formatCode>0.00E+00</c:formatCode>
                <c:ptCount val="11"/>
                <c:pt idx="0">
                  <c:v>2.8475746174345522E-14</c:v>
                </c:pt>
                <c:pt idx="1">
                  <c:v>1.1390298469738212E-6</c:v>
                </c:pt>
                <c:pt idx="2">
                  <c:v>2.2780596939476419E-6</c:v>
                </c:pt>
                <c:pt idx="3">
                  <c:v>3.4170895409214622E-6</c:v>
                </c:pt>
                <c:pt idx="4">
                  <c:v>4.5561193878952846E-6</c:v>
                </c:pt>
                <c:pt idx="5">
                  <c:v>5.6951492348691062E-6</c:v>
                </c:pt>
                <c:pt idx="6">
                  <c:v>6.8341790818429278E-6</c:v>
                </c:pt>
                <c:pt idx="7">
                  <c:v>7.9732089288167485E-6</c:v>
                </c:pt>
                <c:pt idx="8">
                  <c:v>9.1122387757905675E-6</c:v>
                </c:pt>
                <c:pt idx="9">
                  <c:v>1.0251268622764388E-5</c:v>
                </c:pt>
                <c:pt idx="10">
                  <c:v>1.1390298469738209E-5</c:v>
                </c:pt>
              </c:numCache>
            </c:numRef>
          </c:xVal>
          <c:yVal>
            <c:numRef>
              <c:f>Tracking!$E$107:$E$117</c:f>
              <c:numCache>
                <c:formatCode>0.000</c:formatCode>
                <c:ptCount val="11"/>
                <c:pt idx="0">
                  <c:v>36.468997254023073</c:v>
                </c:pt>
                <c:pt idx="1">
                  <c:v>36.458841226147008</c:v>
                </c:pt>
                <c:pt idx="2">
                  <c:v>36.447286673408939</c:v>
                </c:pt>
                <c:pt idx="3">
                  <c:v>36.434846886477835</c:v>
                </c:pt>
                <c:pt idx="4">
                  <c:v>36.421888929719771</c:v>
                </c:pt>
                <c:pt idx="5">
                  <c:v>36.408725964736277</c:v>
                </c:pt>
                <c:pt idx="6">
                  <c:v>36.395647148590662</c:v>
                </c:pt>
                <c:pt idx="7">
                  <c:v>36.382902944949251</c:v>
                </c:pt>
                <c:pt idx="8">
                  <c:v>36.370734523259102</c:v>
                </c:pt>
                <c:pt idx="9">
                  <c:v>36.358994867169038</c:v>
                </c:pt>
                <c:pt idx="10">
                  <c:v>36.348365338243767</c:v>
                </c:pt>
              </c:numCache>
            </c:numRef>
          </c:yVal>
          <c:smooth val="1"/>
        </c:ser>
        <c:axId val="90660864"/>
        <c:axId val="90662784"/>
      </c:scatterChart>
      <c:scatterChart>
        <c:scatterStyle val="lineMarker"/>
        <c:ser>
          <c:idx val="1"/>
          <c:order val="1"/>
          <c:tx>
            <c:v>Vertical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Tracking!$H$107:$H$117</c:f>
              <c:numCache>
                <c:formatCode>0.00E+00</c:formatCode>
                <c:ptCount val="11"/>
                <c:pt idx="0">
                  <c:v>3.9615593407132796E-13</c:v>
                </c:pt>
                <c:pt idx="1">
                  <c:v>9.9038983517832008E-7</c:v>
                </c:pt>
                <c:pt idx="2">
                  <c:v>1.9807796703566406E-6</c:v>
                </c:pt>
                <c:pt idx="3">
                  <c:v>2.9711695055349596E-6</c:v>
                </c:pt>
                <c:pt idx="4">
                  <c:v>3.9615593407132803E-6</c:v>
                </c:pt>
                <c:pt idx="5">
                  <c:v>4.9519491758916023E-6</c:v>
                </c:pt>
                <c:pt idx="6">
                  <c:v>5.9423390110699217E-6</c:v>
                </c:pt>
                <c:pt idx="7">
                  <c:v>6.932728846248242E-6</c:v>
                </c:pt>
                <c:pt idx="8">
                  <c:v>7.9231186814265623E-6</c:v>
                </c:pt>
                <c:pt idx="9">
                  <c:v>8.91350851660488E-6</c:v>
                </c:pt>
                <c:pt idx="10">
                  <c:v>9.9038983517832012E-6</c:v>
                </c:pt>
              </c:numCache>
            </c:numRef>
          </c:xVal>
          <c:yVal>
            <c:numRef>
              <c:f>Tracking!$J$107:$J$117</c:f>
              <c:numCache>
                <c:formatCode>0.000</c:formatCode>
                <c:ptCount val="11"/>
                <c:pt idx="0">
                  <c:v>14.38424757531598</c:v>
                </c:pt>
                <c:pt idx="1">
                  <c:v>14.379356574956955</c:v>
                </c:pt>
                <c:pt idx="2">
                  <c:v>14.374623180640125</c:v>
                </c:pt>
                <c:pt idx="3">
                  <c:v>14.370044443656138</c:v>
                </c:pt>
                <c:pt idx="4">
                  <c:v>14.365617714946611</c:v>
                </c:pt>
                <c:pt idx="5">
                  <c:v>14.361340573222378</c:v>
                </c:pt>
                <c:pt idx="6">
                  <c:v>14.357210702337293</c:v>
                </c:pt>
                <c:pt idx="7">
                  <c:v>14.353225965354245</c:v>
                </c:pt>
                <c:pt idx="8">
                  <c:v>14.349384463129873</c:v>
                </c:pt>
                <c:pt idx="9">
                  <c:v>14.345684436538788</c:v>
                </c:pt>
                <c:pt idx="10">
                  <c:v>14.342124227742698</c:v>
                </c:pt>
              </c:numCache>
            </c:numRef>
          </c:yVal>
          <c:smooth val="1"/>
        </c:ser>
        <c:axId val="90685440"/>
        <c:axId val="90686976"/>
      </c:scatterChart>
      <c:valAx>
        <c:axId val="9066086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62784"/>
        <c:crosses val="autoZero"/>
        <c:crossBetween val="midCat"/>
      </c:valAx>
      <c:valAx>
        <c:axId val="906627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H tune</a:t>
                </a:r>
              </a:p>
            </c:rich>
          </c:tx>
          <c:layout>
            <c:manualLayout>
              <c:xMode val="edge"/>
              <c:yMode val="edge"/>
              <c:x val="3.2015065913371096E-2"/>
              <c:y val="0.39314039570911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60864"/>
        <c:crosses val="autoZero"/>
        <c:crossBetween val="midCat"/>
      </c:valAx>
      <c:valAx>
        <c:axId val="90685440"/>
        <c:scaling>
          <c:orientation val="minMax"/>
        </c:scaling>
        <c:delete val="1"/>
        <c:axPos val="b"/>
        <c:numFmt formatCode="0.00E+00" sourceLinked="1"/>
        <c:tickLblPos val="none"/>
        <c:crossAx val="90686976"/>
        <c:crosses val="autoZero"/>
        <c:crossBetween val="midCat"/>
      </c:valAx>
      <c:valAx>
        <c:axId val="90686976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GB"/>
                  <a:t>V tune</a:t>
                </a:r>
              </a:p>
            </c:rich>
          </c:tx>
          <c:layout>
            <c:manualLayout>
              <c:xMode val="edge"/>
              <c:yMode val="edge"/>
              <c:x val="0.93220516926909569"/>
              <c:y val="0.39314039570911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685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9133709981167393"/>
          <c:y val="0.14248021108179468"/>
          <c:w val="0.19397363465160078"/>
          <c:h val="9.498680738786322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 paperSize="0" orientation="landscape" horizontalDpi="-4" verticalDpi="-4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Tune diagram</a:t>
            </a:r>
          </a:p>
        </c:rich>
      </c:tx>
      <c:layout>
        <c:manualLayout>
          <c:xMode val="edge"/>
          <c:yMode val="edge"/>
          <c:x val="0.41176545445188323"/>
          <c:y val="3.208556149732629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438527807709156"/>
          <c:y val="0.18449197860962571"/>
          <c:w val="0.8003578994643693"/>
          <c:h val="0.63636363636363802"/>
        </c:manualLayout>
      </c:layout>
      <c:scatterChart>
        <c:scatterStyle val="smoothMarker"/>
        <c:ser>
          <c:idx val="0"/>
          <c:order val="0"/>
          <c:tx>
            <c:v>Tune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3AAFE"/>
              </a:solidFill>
              <a:ln>
                <a:solidFill>
                  <a:srgbClr val="63AAFE"/>
                </a:solidFill>
                <a:prstDash val="solid"/>
              </a:ln>
            </c:spPr>
          </c:marker>
          <c:dPt>
            <c:idx val="5"/>
            <c:marker>
              <c:symbol val="x"/>
              <c:size val="5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</c:dPt>
          <c:xVal>
            <c:numRef>
              <c:f>Tracking!$D$71:$D$81</c:f>
              <c:numCache>
                <c:formatCode>0.000</c:formatCode>
                <c:ptCount val="11"/>
                <c:pt idx="0">
                  <c:v>36.389026292209813</c:v>
                </c:pt>
                <c:pt idx="1">
                  <c:v>36.22854072902792</c:v>
                </c:pt>
                <c:pt idx="2">
                  <c:v>36.240159263040489</c:v>
                </c:pt>
                <c:pt idx="3">
                  <c:v>36.321255167952984</c:v>
                </c:pt>
                <c:pt idx="4">
                  <c:v>36.408778790030908</c:v>
                </c:pt>
                <c:pt idx="5">
                  <c:v>36.468997254023073</c:v>
                </c:pt>
                <c:pt idx="6">
                  <c:v>36.48491053398962</c:v>
                </c:pt>
                <c:pt idx="7">
                  <c:v>36.44839635100729</c:v>
                </c:pt>
                <c:pt idx="8">
                  <c:v>36.356060464655513</c:v>
                </c:pt>
                <c:pt idx="9">
                  <c:v>36.20689829140975</c:v>
                </c:pt>
                <c:pt idx="10">
                  <c:v>36.002754283024387</c:v>
                </c:pt>
              </c:numCache>
            </c:numRef>
          </c:xVal>
          <c:yVal>
            <c:numRef>
              <c:f>Tracking!$E$71:$E$81</c:f>
              <c:numCache>
                <c:formatCode>0.000</c:formatCode>
                <c:ptCount val="11"/>
                <c:pt idx="0">
                  <c:v>14.103713382288195</c:v>
                </c:pt>
                <c:pt idx="1">
                  <c:v>14.123562387861512</c:v>
                </c:pt>
                <c:pt idx="2">
                  <c:v>14.178321660155632</c:v>
                </c:pt>
                <c:pt idx="3">
                  <c:v>14.246221246277896</c:v>
                </c:pt>
                <c:pt idx="4">
                  <c:v>14.316199142180551</c:v>
                </c:pt>
                <c:pt idx="5">
                  <c:v>14.38424757531598</c:v>
                </c:pt>
                <c:pt idx="6">
                  <c:v>14.449796158385086</c:v>
                </c:pt>
                <c:pt idx="7">
                  <c:v>14.513698333792904</c:v>
                </c:pt>
                <c:pt idx="8">
                  <c:v>14.577305442664352</c:v>
                </c:pt>
                <c:pt idx="9">
                  <c:v>14.642084092440516</c:v>
                </c:pt>
                <c:pt idx="10">
                  <c:v>14.709509531199172</c:v>
                </c:pt>
              </c:numCache>
            </c:numRef>
          </c:yVal>
          <c:smooth val="1"/>
        </c:ser>
        <c:axId val="90707456"/>
        <c:axId val="90709376"/>
      </c:scatterChart>
      <c:valAx>
        <c:axId val="9070745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Horizontal</a:t>
                </a:r>
              </a:p>
            </c:rich>
          </c:tx>
          <c:layout>
            <c:manualLayout>
              <c:xMode val="edge"/>
              <c:yMode val="edge"/>
              <c:x val="0.49019701414328559"/>
              <c:y val="0.901069518716577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09376"/>
        <c:crosses val="autoZero"/>
        <c:crossBetween val="midCat"/>
        <c:majorUnit val="0.5"/>
        <c:minorUnit val="0.1"/>
      </c:valAx>
      <c:valAx>
        <c:axId val="907093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Vertical</a:t>
                </a:r>
              </a:p>
            </c:rich>
          </c:tx>
          <c:layout>
            <c:manualLayout>
              <c:xMode val="edge"/>
              <c:yMode val="edge"/>
              <c:x val="2.8520499108734367E-2"/>
              <c:y val="0.43850267379679247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07456"/>
        <c:crosses val="autoZero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0084061198084071"/>
          <c:y val="8.0645288314781238E-2"/>
          <c:w val="0.75350346174572647"/>
          <c:h val="0.81935612927817769"/>
        </c:manualLayout>
      </c:layout>
      <c:scatterChart>
        <c:scatterStyle val="lineMarker"/>
        <c:ser>
          <c:idx val="0"/>
          <c:order val="0"/>
          <c:spPr>
            <a:ln w="25400">
              <a:solidFill>
                <a:srgbClr val="4600A5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Tracking!$E$51:$E$57</c:f>
              <c:numCache>
                <c:formatCode>0.0000</c:formatCode>
                <c:ptCount val="7"/>
                <c:pt idx="0">
                  <c:v>-9.1718749999999988E-2</c:v>
                </c:pt>
                <c:pt idx="1">
                  <c:v>-7.0734534283422218E-2</c:v>
                </c:pt>
                <c:pt idx="2">
                  <c:v>-3.2895828012412975E-2</c:v>
                </c:pt>
                <c:pt idx="3">
                  <c:v>8.5186103505364979E-19</c:v>
                </c:pt>
                <c:pt idx="4">
                  <c:v>2.2229281636426023E-2</c:v>
                </c:pt>
                <c:pt idx="5">
                  <c:v>3.69474120475866E-2</c:v>
                </c:pt>
                <c:pt idx="6">
                  <c:v>4.7343750000000004E-2</c:v>
                </c:pt>
              </c:numCache>
            </c:numRef>
          </c:xVal>
          <c:yVal>
            <c:numRef>
              <c:f>Tracking!$F$51:$F$57</c:f>
              <c:numCache>
                <c:formatCode>0.0000</c:formatCode>
                <c:ptCount val="7"/>
                <c:pt idx="0">
                  <c:v>1.1236908484864998E-17</c:v>
                </c:pt>
                <c:pt idx="1">
                  <c:v>5.3623284081980999E-3</c:v>
                </c:pt>
                <c:pt idx="2">
                  <c:v>9.9752255301695254E-3</c:v>
                </c:pt>
                <c:pt idx="3">
                  <c:v>1.3906249999999998E-2</c:v>
                </c:pt>
                <c:pt idx="4">
                  <c:v>1.3058785911827825E-2</c:v>
                </c:pt>
                <c:pt idx="5">
                  <c:v>5.4262700861967108E-3</c:v>
                </c:pt>
                <c:pt idx="6">
                  <c:v>0</c:v>
                </c:pt>
              </c:numCache>
            </c:numRef>
          </c:yVal>
        </c:ser>
        <c:axId val="90749568"/>
        <c:axId val="90751744"/>
      </c:scatterChart>
      <c:valAx>
        <c:axId val="907495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751744"/>
        <c:crosses val="autoZero"/>
        <c:crossBetween val="midCat"/>
      </c:valAx>
      <c:valAx>
        <c:axId val="90751744"/>
        <c:scaling>
          <c:orientation val="minMax"/>
        </c:scaling>
        <c:axPos val="r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90749568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79" workbookViewId="0"/>
  </sheetViews>
  <pageMargins left="0.74803149606299213" right="0.74803149606299213" top="0.98425196850393704" bottom="0.98425196850393704" header="0.51181102362204722" footer="0.51181102362204722"/>
  <pageSetup paperSize="9" orientation="portrait" horizontalDpi="4294967293" verticalDpi="4294967293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37</xdr:row>
      <xdr:rowOff>0</xdr:rowOff>
    </xdr:from>
    <xdr:to>
      <xdr:col>25</xdr:col>
      <xdr:colOff>142875</xdr:colOff>
      <xdr:row>70</xdr:row>
      <xdr:rowOff>57150</xdr:rowOff>
    </xdr:to>
    <xdr:graphicFrame macro="">
      <xdr:nvGraphicFramePr>
        <xdr:cNvPr id="58463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18</xdr:col>
      <xdr:colOff>142875</xdr:colOff>
      <xdr:row>52</xdr:row>
      <xdr:rowOff>66675</xdr:rowOff>
    </xdr:to>
    <xdr:graphicFrame macro="">
      <xdr:nvGraphicFramePr>
        <xdr:cNvPr id="737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1743075"/>
    <xdr:ext cx="6086475" cy="42576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0.06875</cdr:x>
      <cdr:y>0</cdr:y>
    </cdr:from>
    <cdr:to>
      <cdr:x>0.0845</cdr:x>
      <cdr:y>0.067</cdr:y>
    </cdr:to>
    <cdr:sp macro="" textlink="">
      <cdr:nvSpPr>
        <cdr:cNvPr id="491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8445" y="0"/>
          <a:ext cx="95862" cy="3140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381000</xdr:colOff>
      <xdr:row>298</xdr:row>
      <xdr:rowOff>47625</xdr:rowOff>
    </xdr:from>
    <xdr:to>
      <xdr:col>24</xdr:col>
      <xdr:colOff>542925</xdr:colOff>
      <xdr:row>328</xdr:row>
      <xdr:rowOff>161925</xdr:rowOff>
    </xdr:to>
    <xdr:graphicFrame macro="">
      <xdr:nvGraphicFramePr>
        <xdr:cNvPr id="75313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25</xdr:col>
      <xdr:colOff>19050</xdr:colOff>
      <xdr:row>298</xdr:row>
      <xdr:rowOff>47625</xdr:rowOff>
    </xdr:from>
    <xdr:to>
      <xdr:col>38</xdr:col>
      <xdr:colOff>581025</xdr:colOff>
      <xdr:row>328</xdr:row>
      <xdr:rowOff>161925</xdr:rowOff>
    </xdr:to>
    <xdr:graphicFrame macro="">
      <xdr:nvGraphicFramePr>
        <xdr:cNvPr id="75314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25</xdr:col>
      <xdr:colOff>19050</xdr:colOff>
      <xdr:row>298</xdr:row>
      <xdr:rowOff>47625</xdr:rowOff>
    </xdr:from>
    <xdr:to>
      <xdr:col>38</xdr:col>
      <xdr:colOff>581025</xdr:colOff>
      <xdr:row>328</xdr:row>
      <xdr:rowOff>161925</xdr:rowOff>
    </xdr:to>
    <xdr:graphicFrame macro="">
      <xdr:nvGraphicFramePr>
        <xdr:cNvPr id="7531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122</xdr:row>
      <xdr:rowOff>85725</xdr:rowOff>
    </xdr:from>
    <xdr:to>
      <xdr:col>17</xdr:col>
      <xdr:colOff>0</xdr:colOff>
      <xdr:row>148</xdr:row>
      <xdr:rowOff>104775</xdr:rowOff>
    </xdr:to>
    <xdr:graphicFrame macro="">
      <xdr:nvGraphicFramePr>
        <xdr:cNvPr id="186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295275</xdr:colOff>
      <xdr:row>148</xdr:row>
      <xdr:rowOff>152400</xdr:rowOff>
    </xdr:from>
    <xdr:to>
      <xdr:col>17</xdr:col>
      <xdr:colOff>0</xdr:colOff>
      <xdr:row>175</xdr:row>
      <xdr:rowOff>0</xdr:rowOff>
    </xdr:to>
    <xdr:graphicFrame macro="">
      <xdr:nvGraphicFramePr>
        <xdr:cNvPr id="1863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361950</xdr:colOff>
      <xdr:row>100</xdr:row>
      <xdr:rowOff>104775</xdr:rowOff>
    </xdr:from>
    <xdr:to>
      <xdr:col>17</xdr:col>
      <xdr:colOff>85725</xdr:colOff>
      <xdr:row>120</xdr:row>
      <xdr:rowOff>114300</xdr:rowOff>
    </xdr:to>
    <xdr:graphicFrame macro="">
      <xdr:nvGraphicFramePr>
        <xdr:cNvPr id="1864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714375</xdr:colOff>
      <xdr:row>43</xdr:row>
      <xdr:rowOff>85725</xdr:rowOff>
    </xdr:from>
    <xdr:to>
      <xdr:col>11</xdr:col>
      <xdr:colOff>361950</xdr:colOff>
      <xdr:row>60</xdr:row>
      <xdr:rowOff>85725</xdr:rowOff>
    </xdr:to>
    <xdr:graphicFrame macro="">
      <xdr:nvGraphicFramePr>
        <xdr:cNvPr id="186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304800</xdr:colOff>
      <xdr:row>61</xdr:row>
      <xdr:rowOff>38100</xdr:rowOff>
    </xdr:from>
    <xdr:to>
      <xdr:col>14</xdr:col>
      <xdr:colOff>314325</xdr:colOff>
      <xdr:row>77</xdr:row>
      <xdr:rowOff>142875</xdr:rowOff>
    </xdr:to>
    <xdr:graphicFrame macro="">
      <xdr:nvGraphicFramePr>
        <xdr:cNvPr id="1864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oneCell">
    <xdr:from>
      <xdr:col>7</xdr:col>
      <xdr:colOff>276225</xdr:colOff>
      <xdr:row>77</xdr:row>
      <xdr:rowOff>161925</xdr:rowOff>
    </xdr:from>
    <xdr:to>
      <xdr:col>14</xdr:col>
      <xdr:colOff>314325</xdr:colOff>
      <xdr:row>97</xdr:row>
      <xdr:rowOff>104775</xdr:rowOff>
    </xdr:to>
    <xdr:graphicFrame macro="">
      <xdr:nvGraphicFramePr>
        <xdr:cNvPr id="1864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12</xdr:col>
      <xdr:colOff>9524</xdr:colOff>
      <xdr:row>184</xdr:row>
      <xdr:rowOff>38100</xdr:rowOff>
    </xdr:from>
    <xdr:to>
      <xdr:col>19</xdr:col>
      <xdr:colOff>304799</xdr:colOff>
      <xdr:row>206</xdr:row>
      <xdr:rowOff>47625</xdr:rowOff>
    </xdr:to>
    <xdr:graphicFrame macro="">
      <xdr:nvGraphicFramePr>
        <xdr:cNvPr id="1864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590550</xdr:colOff>
      <xdr:row>182</xdr:row>
      <xdr:rowOff>104774</xdr:rowOff>
    </xdr:from>
    <xdr:to>
      <xdr:col>9</xdr:col>
      <xdr:colOff>466725</xdr:colOff>
      <xdr:row>206</xdr:row>
      <xdr:rowOff>133349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104776</xdr:colOff>
      <xdr:row>12</xdr:row>
      <xdr:rowOff>85725</xdr:rowOff>
    </xdr:from>
    <xdr:to>
      <xdr:col>8</xdr:col>
      <xdr:colOff>333375</xdr:colOff>
      <xdr:row>23</xdr:row>
      <xdr:rowOff>85725</xdr:rowOff>
    </xdr:to>
    <xdr:graphicFrame macro="">
      <xdr:nvGraphicFramePr>
        <xdr:cNvPr id="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114300</xdr:colOff>
      <xdr:row>37</xdr:row>
      <xdr:rowOff>142875</xdr:rowOff>
    </xdr:from>
    <xdr:to>
      <xdr:col>8</xdr:col>
      <xdr:colOff>314325</xdr:colOff>
      <xdr:row>49</xdr:row>
      <xdr:rowOff>114301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114302</xdr:colOff>
      <xdr:row>24</xdr:row>
      <xdr:rowOff>57150</xdr:rowOff>
    </xdr:from>
    <xdr:to>
      <xdr:col>8</xdr:col>
      <xdr:colOff>314326</xdr:colOff>
      <xdr:row>36</xdr:row>
      <xdr:rowOff>180975</xdr:rowOff>
    </xdr:to>
    <xdr:graphicFrame macro="">
      <xdr:nvGraphicFramePr>
        <xdr:cNvPr id="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238125</xdr:colOff>
      <xdr:row>0</xdr:row>
      <xdr:rowOff>114299</xdr:rowOff>
    </xdr:from>
    <xdr:to>
      <xdr:col>7</xdr:col>
      <xdr:colOff>466725</xdr:colOff>
      <xdr:row>12</xdr:row>
      <xdr:rowOff>9524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-ssrl.slac.stanford.edu/at/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rontsys.com/mlvbaref.htm" TargetMode="External"/><Relationship Id="rId7" Type="http://schemas.openxmlformats.org/officeDocument/2006/relationships/hyperlink" Target="http://www-mucool.fnal.gov/mcnotes/public/pdf/muc0094/muc0094.pdf" TargetMode="External"/><Relationship Id="rId2" Type="http://schemas.openxmlformats.org/officeDocument/2006/relationships/hyperlink" Target="http://www.nsls.bnl.gov/organization/Accelerator/highlights/dbook/contents.html" TargetMode="External"/><Relationship Id="rId1" Type="http://schemas.openxmlformats.org/officeDocument/2006/relationships/hyperlink" Target="http://www.solver.com/suppstdsolver.htm" TargetMode="External"/><Relationship Id="rId6" Type="http://schemas.openxmlformats.org/officeDocument/2006/relationships/hyperlink" Target="http://accelconf.web.cern.ch/AccelConf/e02/PAPERS/WEPLE001.pdf" TargetMode="External"/><Relationship Id="rId5" Type="http://schemas.openxmlformats.org/officeDocument/2006/relationships/hyperlink" Target="http://accelconf.web.cern.ch/AccelConf/e96/PAPERS/WEPG/WEP038G.PDF" TargetMode="External"/><Relationship Id="rId4" Type="http://schemas.openxmlformats.org/officeDocument/2006/relationships/hyperlink" Target="http://slsbd.psi.ch/~streu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J22"/>
  <sheetViews>
    <sheetView workbookViewId="0">
      <selection sqref="A1:A65536"/>
    </sheetView>
  </sheetViews>
  <sheetFormatPr defaultColWidth="12.42578125" defaultRowHeight="12.75"/>
  <cols>
    <col min="1" max="11" width="8.85546875" style="555" customWidth="1"/>
    <col min="12" max="16384" width="12.42578125" style="555"/>
  </cols>
  <sheetData>
    <row r="1" spans="1:10">
      <c r="A1" s="555" t="s">
        <v>62</v>
      </c>
      <c r="B1" s="555" t="s">
        <v>280</v>
      </c>
      <c r="G1" s="555" t="s">
        <v>62</v>
      </c>
      <c r="H1" s="555" t="s">
        <v>280</v>
      </c>
    </row>
    <row r="3" spans="1:10">
      <c r="B3" s="555" t="s">
        <v>278</v>
      </c>
      <c r="C3" s="555">
        <v>0</v>
      </c>
      <c r="H3" s="555" t="s">
        <v>278</v>
      </c>
      <c r="I3" s="555">
        <v>0</v>
      </c>
    </row>
    <row r="4" spans="1:10">
      <c r="B4" s="555" t="s">
        <v>379</v>
      </c>
      <c r="C4" s="555">
        <v>1</v>
      </c>
      <c r="H4" s="555" t="s">
        <v>379</v>
      </c>
      <c r="I4" s="555">
        <v>1</v>
      </c>
    </row>
    <row r="5" spans="1:10">
      <c r="B5" s="555" t="s">
        <v>398</v>
      </c>
      <c r="C5" s="555" t="s">
        <v>557</v>
      </c>
      <c r="H5" s="555" t="s">
        <v>398</v>
      </c>
      <c r="I5" s="555" t="s">
        <v>557</v>
      </c>
    </row>
    <row r="6" spans="1:10">
      <c r="B6" s="555" t="s">
        <v>1047</v>
      </c>
      <c r="C6" s="555">
        <v>0.01</v>
      </c>
      <c r="H6" s="555" t="s">
        <v>1047</v>
      </c>
      <c r="I6" s="555">
        <v>0.01</v>
      </c>
    </row>
    <row r="7" spans="1:10">
      <c r="B7" s="555" t="s">
        <v>279</v>
      </c>
      <c r="C7" s="555">
        <v>0</v>
      </c>
      <c r="H7" s="555" t="s">
        <v>279</v>
      </c>
      <c r="I7" s="555">
        <v>0</v>
      </c>
    </row>
    <row r="8" spans="1:10">
      <c r="B8" s="555" t="s">
        <v>580</v>
      </c>
      <c r="C8" s="555">
        <v>0</v>
      </c>
      <c r="H8" s="555" t="s">
        <v>580</v>
      </c>
      <c r="I8" s="555">
        <v>0</v>
      </c>
    </row>
    <row r="10" spans="1:10">
      <c r="A10" s="555" t="s">
        <v>63</v>
      </c>
      <c r="B10" s="555" t="s">
        <v>698</v>
      </c>
      <c r="C10" s="555">
        <v>0</v>
      </c>
      <c r="D10" s="555">
        <v>0</v>
      </c>
      <c r="G10" s="555" t="s">
        <v>63</v>
      </c>
      <c r="H10" s="555" t="s">
        <v>698</v>
      </c>
      <c r="I10" s="555">
        <v>0</v>
      </c>
      <c r="J10" s="555">
        <v>0</v>
      </c>
    </row>
    <row r="11" spans="1:10">
      <c r="A11" s="555" t="s">
        <v>124</v>
      </c>
      <c r="B11" s="555" t="s">
        <v>670</v>
      </c>
      <c r="C11" s="555">
        <v>0.5</v>
      </c>
      <c r="D11" s="555">
        <v>0.2</v>
      </c>
      <c r="G11" s="555" t="s">
        <v>124</v>
      </c>
      <c r="H11" s="555" t="s">
        <v>670</v>
      </c>
      <c r="I11" s="555">
        <v>0.5</v>
      </c>
      <c r="J11" s="555">
        <v>0.2</v>
      </c>
    </row>
    <row r="12" spans="1:10">
      <c r="B12" s="555" t="s">
        <v>567</v>
      </c>
      <c r="C12" s="555">
        <v>1</v>
      </c>
      <c r="H12" s="555" t="s">
        <v>567</v>
      </c>
      <c r="I12" s="555">
        <v>1</v>
      </c>
    </row>
    <row r="13" spans="1:10">
      <c r="A13" s="555" t="s">
        <v>646</v>
      </c>
      <c r="B13" s="555" t="s">
        <v>567</v>
      </c>
      <c r="C13" s="555">
        <v>1</v>
      </c>
      <c r="G13" s="555" t="s">
        <v>646</v>
      </c>
      <c r="H13" s="555" t="s">
        <v>567</v>
      </c>
      <c r="I13" s="555">
        <v>1</v>
      </c>
    </row>
    <row r="14" spans="1:10">
      <c r="B14" s="555" t="s">
        <v>567</v>
      </c>
      <c r="C14" s="555">
        <v>1</v>
      </c>
      <c r="H14" s="555" t="s">
        <v>567</v>
      </c>
      <c r="I14" s="555">
        <v>1</v>
      </c>
    </row>
    <row r="15" spans="1:10">
      <c r="A15" s="555" t="s">
        <v>366</v>
      </c>
      <c r="B15" s="555" t="s">
        <v>670</v>
      </c>
      <c r="C15" s="555">
        <v>0.5</v>
      </c>
      <c r="D15" s="555">
        <v>-0.18</v>
      </c>
      <c r="G15" s="555" t="s">
        <v>366</v>
      </c>
      <c r="H15" s="555" t="s">
        <v>670</v>
      </c>
      <c r="I15" s="555">
        <v>0.5</v>
      </c>
      <c r="J15" s="555">
        <v>-0.18</v>
      </c>
    </row>
    <row r="16" spans="1:10">
      <c r="A16" s="555" t="s">
        <v>64</v>
      </c>
      <c r="B16" s="555" t="s">
        <v>698</v>
      </c>
      <c r="C16" s="555">
        <v>0</v>
      </c>
      <c r="D16" s="555">
        <v>0</v>
      </c>
      <c r="G16" s="555" t="s">
        <v>64</v>
      </c>
      <c r="H16" s="555" t="s">
        <v>698</v>
      </c>
      <c r="I16" s="555">
        <v>0</v>
      </c>
      <c r="J16" s="555">
        <v>0</v>
      </c>
    </row>
    <row r="17" spans="2:10">
      <c r="B17" s="555" t="s">
        <v>254</v>
      </c>
      <c r="G17" s="555" t="s">
        <v>366</v>
      </c>
      <c r="H17" s="555" t="s">
        <v>670</v>
      </c>
      <c r="I17" s="555">
        <v>0.5</v>
      </c>
      <c r="J17" s="555">
        <v>-0.18</v>
      </c>
    </row>
    <row r="18" spans="2:10">
      <c r="H18" s="555" t="s">
        <v>567</v>
      </c>
      <c r="I18" s="555">
        <v>1</v>
      </c>
    </row>
    <row r="19" spans="2:10">
      <c r="G19" s="555" t="s">
        <v>646</v>
      </c>
      <c r="H19" s="555" t="s">
        <v>567</v>
      </c>
      <c r="I19" s="555">
        <v>1</v>
      </c>
    </row>
    <row r="20" spans="2:10">
      <c r="H20" s="555" t="s">
        <v>567</v>
      </c>
      <c r="I20" s="555">
        <v>1</v>
      </c>
    </row>
    <row r="21" spans="2:10">
      <c r="G21" s="555" t="s">
        <v>124</v>
      </c>
      <c r="H21" s="555" t="s">
        <v>670</v>
      </c>
      <c r="I21" s="555">
        <v>0.5</v>
      </c>
      <c r="J21" s="555">
        <v>0.2</v>
      </c>
    </row>
    <row r="22" spans="2:10">
      <c r="H22" s="555" t="s">
        <v>254</v>
      </c>
    </row>
  </sheetData>
  <phoneticPr fontId="3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T20"/>
  <sheetViews>
    <sheetView tabSelected="1" workbookViewId="0">
      <selection activeCell="M38" sqref="M38"/>
    </sheetView>
  </sheetViews>
  <sheetFormatPr defaultColWidth="11.42578125" defaultRowHeight="12.75"/>
  <sheetData>
    <row r="1" spans="1:20">
      <c r="A1" t="s">
        <v>575</v>
      </c>
      <c r="B1" t="s">
        <v>280</v>
      </c>
      <c r="F1" t="s">
        <v>643</v>
      </c>
      <c r="G1" t="s">
        <v>280</v>
      </c>
      <c r="K1" t="s">
        <v>644</v>
      </c>
      <c r="L1" t="s">
        <v>280</v>
      </c>
      <c r="P1" t="s">
        <v>645</v>
      </c>
      <c r="Q1" t="s">
        <v>280</v>
      </c>
    </row>
    <row r="3" spans="1:20">
      <c r="B3" t="s">
        <v>278</v>
      </c>
      <c r="C3">
        <v>0</v>
      </c>
      <c r="G3" t="s">
        <v>278</v>
      </c>
      <c r="H3">
        <v>0</v>
      </c>
      <c r="L3" t="s">
        <v>278</v>
      </c>
      <c r="M3">
        <v>0</v>
      </c>
      <c r="Q3" t="s">
        <v>278</v>
      </c>
      <c r="R3">
        <v>0</v>
      </c>
    </row>
    <row r="4" spans="1:20">
      <c r="B4" t="s">
        <v>379</v>
      </c>
      <c r="C4">
        <v>4</v>
      </c>
      <c r="G4" t="s">
        <v>379</v>
      </c>
      <c r="H4">
        <v>4</v>
      </c>
      <c r="L4" t="s">
        <v>379</v>
      </c>
      <c r="M4">
        <v>4</v>
      </c>
      <c r="Q4" t="s">
        <v>379</v>
      </c>
      <c r="R4">
        <v>4</v>
      </c>
    </row>
    <row r="5" spans="1:20">
      <c r="B5" t="s">
        <v>398</v>
      </c>
      <c r="C5" t="s">
        <v>896</v>
      </c>
      <c r="G5" t="s">
        <v>398</v>
      </c>
      <c r="H5" t="s">
        <v>896</v>
      </c>
      <c r="L5" t="s">
        <v>398</v>
      </c>
      <c r="M5" t="s">
        <v>896</v>
      </c>
      <c r="Q5" t="s">
        <v>398</v>
      </c>
      <c r="R5" t="s">
        <v>896</v>
      </c>
    </row>
    <row r="6" spans="1:20">
      <c r="B6" t="s">
        <v>1047</v>
      </c>
      <c r="C6">
        <v>0.01</v>
      </c>
      <c r="G6" t="s">
        <v>1047</v>
      </c>
      <c r="H6">
        <v>0.01</v>
      </c>
      <c r="L6" t="s">
        <v>1047</v>
      </c>
      <c r="M6">
        <v>0.01</v>
      </c>
      <c r="Q6" t="s">
        <v>1047</v>
      </c>
      <c r="R6">
        <v>0.01</v>
      </c>
    </row>
    <row r="7" spans="1:20">
      <c r="B7" t="s">
        <v>279</v>
      </c>
      <c r="C7">
        <v>0</v>
      </c>
      <c r="G7" t="s">
        <v>279</v>
      </c>
      <c r="H7">
        <v>0</v>
      </c>
      <c r="L7" t="s">
        <v>279</v>
      </c>
      <c r="M7">
        <v>0</v>
      </c>
      <c r="Q7" t="s">
        <v>279</v>
      </c>
      <c r="R7">
        <v>0</v>
      </c>
    </row>
    <row r="8" spans="1:20">
      <c r="B8" t="s">
        <v>580</v>
      </c>
      <c r="C8">
        <v>0</v>
      </c>
      <c r="G8" t="s">
        <v>580</v>
      </c>
      <c r="H8">
        <v>0</v>
      </c>
      <c r="L8" t="s">
        <v>580</v>
      </c>
      <c r="M8">
        <v>0</v>
      </c>
      <c r="Q8" t="s">
        <v>580</v>
      </c>
      <c r="R8">
        <v>0</v>
      </c>
    </row>
    <row r="12" spans="1:20">
      <c r="B12" t="s">
        <v>567</v>
      </c>
      <c r="C12">
        <v>1</v>
      </c>
      <c r="G12" t="s">
        <v>567</v>
      </c>
      <c r="H12">
        <v>1</v>
      </c>
      <c r="L12" t="s">
        <v>567</v>
      </c>
      <c r="M12">
        <v>1</v>
      </c>
      <c r="Q12" t="s">
        <v>567</v>
      </c>
      <c r="R12">
        <v>1</v>
      </c>
    </row>
    <row r="13" spans="1:20">
      <c r="A13" t="s">
        <v>124</v>
      </c>
      <c r="B13" t="s">
        <v>670</v>
      </c>
      <c r="C13">
        <v>1</v>
      </c>
      <c r="D13">
        <v>0.2</v>
      </c>
      <c r="F13" t="s">
        <v>124</v>
      </c>
      <c r="G13" t="s">
        <v>670</v>
      </c>
      <c r="H13">
        <v>1</v>
      </c>
      <c r="I13">
        <v>0.2</v>
      </c>
      <c r="K13" t="s">
        <v>124</v>
      </c>
      <c r="L13" t="s">
        <v>670</v>
      </c>
      <c r="M13">
        <v>1</v>
      </c>
      <c r="N13">
        <v>0.2</v>
      </c>
      <c r="P13" t="s">
        <v>124</v>
      </c>
      <c r="Q13" t="s">
        <v>670</v>
      </c>
      <c r="R13">
        <v>1</v>
      </c>
      <c r="S13">
        <v>0.2</v>
      </c>
    </row>
    <row r="14" spans="1:20">
      <c r="B14" t="s">
        <v>567</v>
      </c>
      <c r="C14">
        <v>1</v>
      </c>
      <c r="G14" t="s">
        <v>567</v>
      </c>
      <c r="H14">
        <v>1</v>
      </c>
      <c r="L14" t="s">
        <v>567</v>
      </c>
      <c r="M14">
        <v>1</v>
      </c>
      <c r="Q14" t="s">
        <v>567</v>
      </c>
      <c r="R14">
        <v>1</v>
      </c>
    </row>
    <row r="15" spans="1:20">
      <c r="A15" t="s">
        <v>646</v>
      </c>
      <c r="B15" t="s">
        <v>567</v>
      </c>
      <c r="C15">
        <v>15.70796</v>
      </c>
      <c r="F15" t="s">
        <v>646</v>
      </c>
      <c r="G15" t="s">
        <v>1132</v>
      </c>
      <c r="H15">
        <v>1.5707960000000001</v>
      </c>
      <c r="I15">
        <v>10</v>
      </c>
      <c r="J15">
        <v>0</v>
      </c>
      <c r="L15" t="s">
        <v>1077</v>
      </c>
      <c r="M15">
        <v>0.78539800999999998</v>
      </c>
      <c r="N15">
        <v>10</v>
      </c>
      <c r="P15" t="s">
        <v>646</v>
      </c>
      <c r="Q15" t="s">
        <v>1132</v>
      </c>
      <c r="R15">
        <v>1.5707960000000001</v>
      </c>
      <c r="S15">
        <v>10</v>
      </c>
      <c r="T15">
        <v>1</v>
      </c>
    </row>
    <row r="16" spans="1:20">
      <c r="B16" t="s">
        <v>567</v>
      </c>
      <c r="C16">
        <v>1</v>
      </c>
      <c r="G16" t="s">
        <v>567</v>
      </c>
      <c r="H16">
        <v>1</v>
      </c>
      <c r="K16" t="s">
        <v>646</v>
      </c>
      <c r="L16" t="s">
        <v>1132</v>
      </c>
      <c r="M16">
        <v>1.5707960000000001</v>
      </c>
      <c r="N16">
        <v>10</v>
      </c>
      <c r="O16">
        <v>0</v>
      </c>
      <c r="Q16" t="s">
        <v>567</v>
      </c>
      <c r="R16">
        <v>1</v>
      </c>
    </row>
    <row r="17" spans="1:19">
      <c r="A17" t="s">
        <v>366</v>
      </c>
      <c r="B17" t="s">
        <v>670</v>
      </c>
      <c r="C17">
        <v>1</v>
      </c>
      <c r="D17">
        <v>-0.18</v>
      </c>
      <c r="F17" t="s">
        <v>366</v>
      </c>
      <c r="G17" t="s">
        <v>670</v>
      </c>
      <c r="H17">
        <v>1</v>
      </c>
      <c r="I17">
        <v>-0.18</v>
      </c>
      <c r="L17" t="s">
        <v>1077</v>
      </c>
      <c r="M17">
        <v>0.78539800999999998</v>
      </c>
      <c r="N17">
        <v>10</v>
      </c>
      <c r="P17" t="s">
        <v>366</v>
      </c>
      <c r="Q17" t="s">
        <v>670</v>
      </c>
      <c r="R17">
        <v>1</v>
      </c>
      <c r="S17">
        <v>-0.18</v>
      </c>
    </row>
    <row r="18" spans="1:19">
      <c r="B18" t="s">
        <v>254</v>
      </c>
      <c r="G18" t="s">
        <v>254</v>
      </c>
      <c r="L18" t="s">
        <v>567</v>
      </c>
      <c r="M18">
        <v>1</v>
      </c>
      <c r="Q18" t="s">
        <v>254</v>
      </c>
    </row>
    <row r="19" spans="1:19">
      <c r="K19" t="s">
        <v>366</v>
      </c>
      <c r="L19" t="s">
        <v>670</v>
      </c>
      <c r="M19">
        <v>1</v>
      </c>
      <c r="N19">
        <v>-0.18</v>
      </c>
    </row>
    <row r="20" spans="1:19">
      <c r="L20" t="s">
        <v>254</v>
      </c>
    </row>
  </sheetData>
  <phoneticPr fontId="3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1"/>
  <dimension ref="A1:V226"/>
  <sheetViews>
    <sheetView topLeftCell="G1" workbookViewId="0">
      <selection activeCell="M4" sqref="M4"/>
    </sheetView>
  </sheetViews>
  <sheetFormatPr defaultColWidth="11.42578125" defaultRowHeight="12.75"/>
  <sheetData>
    <row r="1" spans="1:22" ht="15.75">
      <c r="B1" s="490" t="s">
        <v>667</v>
      </c>
      <c r="I1" s="490" t="s">
        <v>666</v>
      </c>
    </row>
    <row r="2" spans="1:22">
      <c r="B2" t="s">
        <v>1146</v>
      </c>
      <c r="C2" t="s">
        <v>1108</v>
      </c>
      <c r="D2" t="s">
        <v>631</v>
      </c>
      <c r="E2" t="s">
        <v>670</v>
      </c>
      <c r="F2" t="s">
        <v>1145</v>
      </c>
      <c r="I2" t="s">
        <v>1146</v>
      </c>
      <c r="J2" t="s">
        <v>1108</v>
      </c>
      <c r="K2" t="s">
        <v>631</v>
      </c>
      <c r="L2" t="s">
        <v>670</v>
      </c>
      <c r="M2" t="s">
        <v>1145</v>
      </c>
      <c r="O2" t="s">
        <v>1118</v>
      </c>
      <c r="P2" t="s">
        <v>466</v>
      </c>
      <c r="Q2" t="s">
        <v>560</v>
      </c>
      <c r="R2" t="s">
        <v>654</v>
      </c>
      <c r="S2" t="s">
        <v>655</v>
      </c>
    </row>
    <row r="3" spans="1:22">
      <c r="A3">
        <v>4</v>
      </c>
      <c r="B3" s="489" t="str">
        <f>I$11</f>
        <v>S4-C4</v>
      </c>
      <c r="C3" s="489" t="str">
        <f>J$11</f>
        <v>QuadSext</v>
      </c>
      <c r="D3" s="489">
        <f>K$11</f>
        <v>0.4</v>
      </c>
      <c r="E3" s="489">
        <f>K$26/D3</f>
        <v>0</v>
      </c>
      <c r="F3" s="489">
        <f>M$11</f>
        <v>3.1435474999999995</v>
      </c>
      <c r="I3" s="489" t="s">
        <v>367</v>
      </c>
      <c r="J3" s="489" t="s">
        <v>79</v>
      </c>
      <c r="K3" s="489">
        <v>0.4</v>
      </c>
      <c r="L3" s="489"/>
      <c r="M3" s="489">
        <v>3.1435474999999995</v>
      </c>
      <c r="O3">
        <v>2.5816249999999998</v>
      </c>
      <c r="P3">
        <v>3.1435474999999995</v>
      </c>
      <c r="Q3">
        <v>3.1435474999999995</v>
      </c>
      <c r="R3">
        <v>3.1435474999999995</v>
      </c>
      <c r="S3">
        <v>3.1435474999999995</v>
      </c>
    </row>
    <row r="4" spans="1:22">
      <c r="A4">
        <v>4</v>
      </c>
      <c r="B4" s="489" t="str">
        <f>I$12</f>
        <v>S6-C4</v>
      </c>
      <c r="C4" s="489" t="str">
        <f>J$12</f>
        <v>QuadSext</v>
      </c>
      <c r="D4" s="489">
        <f>K$12</f>
        <v>0.4</v>
      </c>
      <c r="E4" s="489"/>
      <c r="F4" s="489">
        <f>M$12</f>
        <v>-3.9457974999999998</v>
      </c>
      <c r="I4" s="489" t="s">
        <v>493</v>
      </c>
      <c r="J4" s="489" t="str">
        <f t="shared" ref="J4:J9" si="0">J$3</f>
        <v>QuadSext</v>
      </c>
      <c r="K4" s="489">
        <v>0.4</v>
      </c>
      <c r="L4" s="489"/>
      <c r="M4" s="489">
        <v>-3.9457974999999998</v>
      </c>
      <c r="O4">
        <v>-2.9165749999999999</v>
      </c>
      <c r="P4">
        <v>-3.9457974999999998</v>
      </c>
      <c r="Q4">
        <v>-3.9457974999999998</v>
      </c>
      <c r="R4">
        <v>-3.9457974999999998</v>
      </c>
      <c r="S4">
        <v>-3.9457974999999998</v>
      </c>
    </row>
    <row r="5" spans="1:22">
      <c r="A5">
        <v>4</v>
      </c>
      <c r="B5" s="489" t="str">
        <f>I$5</f>
        <v>S13</v>
      </c>
      <c r="C5" s="489" t="str">
        <f>J$5</f>
        <v>QuadSext</v>
      </c>
      <c r="D5" s="489">
        <f>K$5</f>
        <v>0.4</v>
      </c>
      <c r="E5" s="489"/>
      <c r="F5" s="489">
        <f>V$5</f>
        <v>-7.1366798618340574</v>
      </c>
      <c r="I5" s="489" t="s">
        <v>264</v>
      </c>
      <c r="J5" s="489" t="str">
        <f t="shared" si="0"/>
        <v>QuadSext</v>
      </c>
      <c r="K5" s="489">
        <v>0.4</v>
      </c>
      <c r="L5" s="489"/>
      <c r="M5" s="489">
        <v>-6.9072099999999992</v>
      </c>
      <c r="O5">
        <v>-6.274775</v>
      </c>
      <c r="P5">
        <v>-6.9072099999999992</v>
      </c>
      <c r="Q5">
        <v>-6.9072099999999992</v>
      </c>
      <c r="R5">
        <v>-6.9072099999999992</v>
      </c>
      <c r="S5">
        <v>-6.9072099999999992</v>
      </c>
      <c r="V5" s="489">
        <f>M5+0.1*O27</f>
        <v>-7.1366798618340574</v>
      </c>
    </row>
    <row r="6" spans="1:22">
      <c r="A6">
        <v>4</v>
      </c>
      <c r="B6" s="489" t="str">
        <f>I$6</f>
        <v>S19</v>
      </c>
      <c r="C6" s="489" t="str">
        <f>J$6</f>
        <v>QuadSext</v>
      </c>
      <c r="D6" s="489">
        <f>K$6</f>
        <v>0.4</v>
      </c>
      <c r="E6" s="489"/>
      <c r="F6" s="489">
        <f>V$6</f>
        <v>12.128855874276224</v>
      </c>
      <c r="I6" s="489" t="s">
        <v>758</v>
      </c>
      <c r="J6" s="489" t="str">
        <f t="shared" si="0"/>
        <v>QuadSext</v>
      </c>
      <c r="K6" s="489">
        <v>0.4</v>
      </c>
      <c r="L6" s="489"/>
      <c r="M6" s="489">
        <v>11.724162499999998</v>
      </c>
      <c r="O6">
        <v>10.631675</v>
      </c>
      <c r="P6">
        <v>11.724162499999998</v>
      </c>
      <c r="Q6">
        <v>11.724162499999998</v>
      </c>
      <c r="R6">
        <v>11.724162499999998</v>
      </c>
      <c r="S6">
        <v>11.724162499999998</v>
      </c>
      <c r="V6" s="489">
        <f>M6+0.1*O28</f>
        <v>12.128855874276224</v>
      </c>
    </row>
    <row r="7" spans="1:22">
      <c r="A7">
        <v>4</v>
      </c>
      <c r="B7" s="489" t="str">
        <f>I$7</f>
        <v>S20</v>
      </c>
      <c r="C7" s="489" t="str">
        <f>J$7</f>
        <v>QuadSext</v>
      </c>
      <c r="D7" s="489">
        <f>K$7</f>
        <v>0.4</v>
      </c>
      <c r="E7" s="489">
        <f>K$27/D7</f>
        <v>0</v>
      </c>
      <c r="F7" s="489">
        <f>V$7</f>
        <v>-7.1366798618340574</v>
      </c>
      <c r="I7" s="489" t="s">
        <v>1144</v>
      </c>
      <c r="J7" s="489" t="str">
        <f t="shared" si="0"/>
        <v>QuadSext</v>
      </c>
      <c r="K7" s="489">
        <v>0.4</v>
      </c>
      <c r="L7" s="489"/>
      <c r="M7" s="489">
        <f>M5</f>
        <v>-6.9072099999999992</v>
      </c>
      <c r="O7">
        <f>O5</f>
        <v>-6.274775</v>
      </c>
      <c r="P7">
        <f>P5</f>
        <v>-6.9072099999999992</v>
      </c>
      <c r="Q7">
        <f>Q5</f>
        <v>-6.9072099999999992</v>
      </c>
      <c r="R7">
        <f>R5</f>
        <v>-6.9072099999999992</v>
      </c>
      <c r="S7">
        <f>S5</f>
        <v>-6.9072099999999992</v>
      </c>
      <c r="V7" s="489">
        <f>M7+0.1*O27</f>
        <v>-7.1366798618340574</v>
      </c>
    </row>
    <row r="8" spans="1:22">
      <c r="A8">
        <v>4</v>
      </c>
      <c r="B8" s="489" t="str">
        <f>I$8</f>
        <v>S22</v>
      </c>
      <c r="C8" s="489" t="str">
        <f>J$8</f>
        <v>QuadSext</v>
      </c>
      <c r="D8" s="489">
        <f>K$8</f>
        <v>0.4</v>
      </c>
      <c r="E8" s="489"/>
      <c r="F8" s="489">
        <f>M$8</f>
        <v>-2.0359174999999996</v>
      </c>
      <c r="I8" s="489" t="s">
        <v>1194</v>
      </c>
      <c r="J8" s="489" t="str">
        <f t="shared" si="0"/>
        <v>QuadSext</v>
      </c>
      <c r="K8" s="489">
        <v>0.4</v>
      </c>
      <c r="L8" s="489"/>
      <c r="M8" s="489">
        <v>-2.0359174999999996</v>
      </c>
      <c r="O8">
        <v>-3.4997499999999997</v>
      </c>
      <c r="P8">
        <v>-2.0359174999999996</v>
      </c>
      <c r="Q8">
        <v>-2.0359174999999996</v>
      </c>
      <c r="R8">
        <v>-2.0359174999999996</v>
      </c>
      <c r="S8">
        <v>-2.0359174999999996</v>
      </c>
    </row>
    <row r="9" spans="1:22">
      <c r="A9">
        <v>4</v>
      </c>
      <c r="B9" s="489" t="str">
        <f t="shared" ref="B9:D10" si="1">I$9</f>
        <v>S24</v>
      </c>
      <c r="C9" s="489" t="str">
        <f t="shared" si="1"/>
        <v>QuadSext</v>
      </c>
      <c r="D9" s="489">
        <f t="shared" si="1"/>
        <v>0.4</v>
      </c>
      <c r="E9" s="489"/>
      <c r="F9" s="489">
        <f>M$9</f>
        <v>3.4278599999999995</v>
      </c>
      <c r="I9" s="489" t="s">
        <v>1012</v>
      </c>
      <c r="J9" s="489" t="str">
        <f t="shared" si="0"/>
        <v>QuadSext</v>
      </c>
      <c r="K9" s="489">
        <v>0.4</v>
      </c>
      <c r="L9" s="489"/>
      <c r="M9" s="489">
        <v>3.4278599999999995</v>
      </c>
      <c r="O9">
        <v>5.5212749999999993</v>
      </c>
      <c r="P9">
        <v>3.4278599999999995</v>
      </c>
      <c r="Q9">
        <v>3.4278599999999995</v>
      </c>
      <c r="R9">
        <v>3.4278599999999995</v>
      </c>
      <c r="S9">
        <v>3.4278599999999995</v>
      </c>
    </row>
    <row r="10" spans="1:22">
      <c r="A10">
        <v>5</v>
      </c>
      <c r="B10" s="489" t="str">
        <f t="shared" si="1"/>
        <v>S24</v>
      </c>
      <c r="C10" s="489" t="str">
        <f t="shared" si="1"/>
        <v>QuadSext</v>
      </c>
      <c r="D10" s="489">
        <f t="shared" si="1"/>
        <v>0.4</v>
      </c>
      <c r="E10" s="489">
        <f>K$28/D10</f>
        <v>0</v>
      </c>
      <c r="F10" s="489">
        <f>M$9</f>
        <v>3.4278599999999995</v>
      </c>
      <c r="I10" s="489"/>
      <c r="J10" s="489"/>
      <c r="K10" s="489"/>
      <c r="L10" s="489"/>
      <c r="M10" s="489"/>
    </row>
    <row r="11" spans="1:22">
      <c r="A11">
        <v>5</v>
      </c>
      <c r="B11" s="489" t="str">
        <f>I$8</f>
        <v>S22</v>
      </c>
      <c r="C11" s="489" t="str">
        <f>J$8</f>
        <v>QuadSext</v>
      </c>
      <c r="D11" s="489">
        <f>K$8</f>
        <v>0.4</v>
      </c>
      <c r="E11" s="489"/>
      <c r="F11" s="489">
        <f>M$8</f>
        <v>-2.0359174999999996</v>
      </c>
      <c r="I11" s="489" t="s">
        <v>656</v>
      </c>
      <c r="J11" s="489" t="str">
        <f>J$3</f>
        <v>QuadSext</v>
      </c>
      <c r="K11" s="489">
        <f>K$3</f>
        <v>0.4</v>
      </c>
      <c r="L11" s="489"/>
      <c r="M11" s="489">
        <f>M$3</f>
        <v>3.1435474999999995</v>
      </c>
      <c r="O11">
        <f>O$3</f>
        <v>2.5816249999999998</v>
      </c>
      <c r="P11">
        <f>P$3</f>
        <v>3.1435474999999995</v>
      </c>
      <c r="Q11">
        <f>Q$3</f>
        <v>3.1435474999999995</v>
      </c>
      <c r="R11">
        <f>R$3</f>
        <v>3.1435474999999995</v>
      </c>
      <c r="S11">
        <f>S$3</f>
        <v>3.1435474999999995</v>
      </c>
    </row>
    <row r="12" spans="1:22">
      <c r="A12">
        <v>5</v>
      </c>
      <c r="B12" s="489" t="str">
        <f>I$7</f>
        <v>S20</v>
      </c>
      <c r="C12" s="489" t="str">
        <f>J$7</f>
        <v>QuadSext</v>
      </c>
      <c r="D12" s="489">
        <f>K$7</f>
        <v>0.4</v>
      </c>
      <c r="E12" s="489"/>
      <c r="F12" s="489">
        <f>V$7</f>
        <v>-7.1366798618340574</v>
      </c>
      <c r="I12" s="489" t="s">
        <v>657</v>
      </c>
      <c r="J12" s="489" t="str">
        <f>J$4</f>
        <v>QuadSext</v>
      </c>
      <c r="K12" s="489">
        <f>K$4</f>
        <v>0.4</v>
      </c>
      <c r="L12" s="489"/>
      <c r="M12" s="489">
        <f>M$4</f>
        <v>-3.9457974999999998</v>
      </c>
      <c r="O12">
        <f>O$4</f>
        <v>-2.9165749999999999</v>
      </c>
      <c r="P12">
        <f>P$4</f>
        <v>-3.9457974999999998</v>
      </c>
      <c r="Q12">
        <f>Q$4</f>
        <v>-3.9457974999999998</v>
      </c>
      <c r="R12">
        <f>R$4</f>
        <v>-3.9457974999999998</v>
      </c>
      <c r="S12">
        <f>S$4</f>
        <v>-3.9457974999999998</v>
      </c>
    </row>
    <row r="13" spans="1:22">
      <c r="A13">
        <v>5</v>
      </c>
      <c r="B13" s="489" t="str">
        <f>I$6</f>
        <v>S19</v>
      </c>
      <c r="C13" s="489" t="str">
        <f>J$6</f>
        <v>QuadSext</v>
      </c>
      <c r="D13" s="489">
        <f>K$6</f>
        <v>0.4</v>
      </c>
      <c r="E13" s="489"/>
      <c r="F13" s="489">
        <f>V$6</f>
        <v>12.128855874276224</v>
      </c>
      <c r="I13" s="489"/>
      <c r="J13" s="489"/>
      <c r="K13" s="489"/>
      <c r="L13" s="489"/>
      <c r="M13" s="489"/>
    </row>
    <row r="14" spans="1:22">
      <c r="A14">
        <v>5</v>
      </c>
      <c r="B14" s="489" t="str">
        <f>I$5</f>
        <v>S13</v>
      </c>
      <c r="C14" s="489" t="str">
        <f>J$5</f>
        <v>QuadSext</v>
      </c>
      <c r="D14" s="489">
        <f>K$5</f>
        <v>0.4</v>
      </c>
      <c r="E14" s="489"/>
      <c r="F14" s="489">
        <f>V$5</f>
        <v>-7.1366798618340574</v>
      </c>
      <c r="I14" s="489" t="s">
        <v>658</v>
      </c>
      <c r="J14" s="489" t="str">
        <f>J$3</f>
        <v>QuadSext</v>
      </c>
      <c r="K14" s="489">
        <f>K$3</f>
        <v>0.4</v>
      </c>
      <c r="L14" s="489"/>
      <c r="M14" s="489">
        <f>M$3</f>
        <v>3.1435474999999995</v>
      </c>
      <c r="O14">
        <f>O$3</f>
        <v>2.5816249999999998</v>
      </c>
      <c r="P14">
        <f>P$3</f>
        <v>3.1435474999999995</v>
      </c>
      <c r="Q14">
        <f>Q$3</f>
        <v>3.1435474999999995</v>
      </c>
      <c r="R14">
        <v>2.41</v>
      </c>
      <c r="S14">
        <v>2.41</v>
      </c>
    </row>
    <row r="15" spans="1:22">
      <c r="A15">
        <v>5</v>
      </c>
      <c r="B15" s="489" t="str">
        <f>I$15</f>
        <v>S6-C6</v>
      </c>
      <c r="C15" s="489" t="str">
        <f>J$15</f>
        <v>QuadSext</v>
      </c>
      <c r="D15" s="489">
        <f>K$15</f>
        <v>0.4</v>
      </c>
      <c r="E15" s="489"/>
      <c r="F15" s="489">
        <f>M$15</f>
        <v>-3.9457974999999998</v>
      </c>
      <c r="I15" s="489" t="s">
        <v>659</v>
      </c>
      <c r="J15" s="489" t="str">
        <f>J$4</f>
        <v>QuadSext</v>
      </c>
      <c r="K15" s="489">
        <f>K$4</f>
        <v>0.4</v>
      </c>
      <c r="L15" s="489"/>
      <c r="M15" s="489">
        <f>M$4</f>
        <v>-3.9457974999999998</v>
      </c>
      <c r="O15">
        <f>O$4</f>
        <v>-2.9165749999999999</v>
      </c>
      <c r="P15">
        <f>P$4</f>
        <v>-3.9457974999999998</v>
      </c>
      <c r="Q15">
        <f>Q$4</f>
        <v>-3.9457974999999998</v>
      </c>
      <c r="R15">
        <v>-3.7183521032651083</v>
      </c>
      <c r="S15">
        <v>-3.7183521032651083</v>
      </c>
    </row>
    <row r="16" spans="1:22">
      <c r="A16">
        <v>5</v>
      </c>
      <c r="B16" s="489" t="str">
        <f t="shared" ref="B16:D17" si="2">I$14</f>
        <v>S4-C6</v>
      </c>
      <c r="C16" s="489" t="str">
        <f t="shared" si="2"/>
        <v>QuadSext</v>
      </c>
      <c r="D16" s="489">
        <f t="shared" si="2"/>
        <v>0.4</v>
      </c>
      <c r="E16" s="489"/>
      <c r="F16" s="489">
        <f>M$14</f>
        <v>3.1435474999999995</v>
      </c>
      <c r="I16" s="489"/>
      <c r="J16" s="489"/>
      <c r="K16" s="489"/>
      <c r="L16" s="489"/>
      <c r="M16" s="489"/>
    </row>
    <row r="17" spans="1:19">
      <c r="A17">
        <v>6</v>
      </c>
      <c r="B17" s="489" t="str">
        <f t="shared" si="2"/>
        <v>S4-C6</v>
      </c>
      <c r="C17" s="489" t="str">
        <f t="shared" si="2"/>
        <v>QuadSext</v>
      </c>
      <c r="D17" s="489">
        <f t="shared" si="2"/>
        <v>0.4</v>
      </c>
      <c r="E17" s="489"/>
      <c r="F17" s="489">
        <f>M$14</f>
        <v>3.1435474999999995</v>
      </c>
      <c r="I17" s="489" t="s">
        <v>660</v>
      </c>
      <c r="J17" s="489" t="str">
        <f>J$8</f>
        <v>QuadSext</v>
      </c>
      <c r="K17" s="489">
        <f>K$8</f>
        <v>0.4</v>
      </c>
      <c r="L17" s="489"/>
      <c r="M17" s="489">
        <f>M$8</f>
        <v>-2.0359174999999996</v>
      </c>
      <c r="O17">
        <f>O$8</f>
        <v>-3.4997499999999997</v>
      </c>
      <c r="P17">
        <f>P$8</f>
        <v>-2.0359174999999996</v>
      </c>
      <c r="Q17">
        <f>Q$8</f>
        <v>-2.0359174999999996</v>
      </c>
      <c r="R17">
        <f>R$8</f>
        <v>-2.0359174999999996</v>
      </c>
      <c r="S17">
        <f>S$8</f>
        <v>-2.0359174999999996</v>
      </c>
    </row>
    <row r="18" spans="1:19">
      <c r="A18">
        <v>6</v>
      </c>
      <c r="B18" s="489" t="str">
        <f>I$15</f>
        <v>S6-C6</v>
      </c>
      <c r="C18" s="489" t="str">
        <f>J$15</f>
        <v>QuadSext</v>
      </c>
      <c r="D18" s="489">
        <f>K$15</f>
        <v>0.4</v>
      </c>
      <c r="E18" s="489"/>
      <c r="F18" s="489">
        <f>M$15</f>
        <v>-3.9457974999999998</v>
      </c>
      <c r="I18" s="489" t="s">
        <v>661</v>
      </c>
      <c r="J18" s="489" t="str">
        <f>J$9</f>
        <v>QuadSext</v>
      </c>
      <c r="K18" s="489">
        <f>K$9</f>
        <v>0.4</v>
      </c>
      <c r="L18" s="489"/>
      <c r="M18" s="489">
        <f>M$9</f>
        <v>3.4278599999999995</v>
      </c>
      <c r="O18">
        <f>O$9</f>
        <v>5.5212749999999993</v>
      </c>
      <c r="P18">
        <f>P$9</f>
        <v>3.4278599999999995</v>
      </c>
      <c r="Q18">
        <f>Q$9</f>
        <v>3.4278599999999995</v>
      </c>
      <c r="R18">
        <f>R$9</f>
        <v>3.4278599999999995</v>
      </c>
      <c r="S18">
        <f>S$9</f>
        <v>3.4278599999999995</v>
      </c>
    </row>
    <row r="19" spans="1:19">
      <c r="A19">
        <v>6</v>
      </c>
      <c r="B19" s="489" t="str">
        <f>I$5</f>
        <v>S13</v>
      </c>
      <c r="C19" s="489" t="str">
        <f>J$5</f>
        <v>QuadSext</v>
      </c>
      <c r="D19" s="489">
        <f>K$5</f>
        <v>0.4</v>
      </c>
      <c r="E19" s="489">
        <f>K$29/D19</f>
        <v>0</v>
      </c>
      <c r="F19" s="489">
        <f>V$5</f>
        <v>-7.1366798618340574</v>
      </c>
      <c r="I19" s="489"/>
      <c r="J19" s="489"/>
      <c r="K19" s="489"/>
      <c r="L19" s="489"/>
      <c r="M19" s="489"/>
    </row>
    <row r="20" spans="1:19">
      <c r="A20">
        <v>6</v>
      </c>
      <c r="B20" s="489" t="str">
        <f>I$6</f>
        <v>S19</v>
      </c>
      <c r="C20" s="489" t="str">
        <f>J$6</f>
        <v>QuadSext</v>
      </c>
      <c r="D20" s="489">
        <f>K$6</f>
        <v>0.4</v>
      </c>
      <c r="E20" s="489"/>
      <c r="F20" s="489">
        <f>V$6</f>
        <v>12.128855874276224</v>
      </c>
      <c r="I20" s="489" t="s">
        <v>662</v>
      </c>
      <c r="J20" s="489" t="str">
        <f>J$3</f>
        <v>QuadSext</v>
      </c>
      <c r="K20" s="489">
        <f>K$3</f>
        <v>0.4</v>
      </c>
      <c r="L20" s="489"/>
      <c r="M20" s="489">
        <f>M$3</f>
        <v>3.1435474999999995</v>
      </c>
      <c r="O20">
        <f>O$3</f>
        <v>2.5816249999999998</v>
      </c>
      <c r="P20">
        <f>P$3</f>
        <v>3.1435474999999995</v>
      </c>
      <c r="Q20">
        <v>2.41</v>
      </c>
      <c r="R20">
        <f>R$3</f>
        <v>3.1435474999999995</v>
      </c>
      <c r="S20">
        <v>2.41</v>
      </c>
    </row>
    <row r="21" spans="1:19">
      <c r="A21">
        <v>6</v>
      </c>
      <c r="B21" s="489" t="str">
        <f>I$7</f>
        <v>S20</v>
      </c>
      <c r="C21" s="489" t="str">
        <f>J$7</f>
        <v>QuadSext</v>
      </c>
      <c r="D21" s="489">
        <f>K$7</f>
        <v>0.4</v>
      </c>
      <c r="E21" s="489"/>
      <c r="F21" s="489">
        <f>V$7</f>
        <v>-7.1366798618340574</v>
      </c>
      <c r="I21" s="489" t="s">
        <v>663</v>
      </c>
      <c r="J21" s="489" t="str">
        <f>J$4</f>
        <v>QuadSext</v>
      </c>
      <c r="K21" s="489">
        <f>K$4</f>
        <v>0.4</v>
      </c>
      <c r="L21" s="489"/>
      <c r="M21" s="489">
        <f>M$4</f>
        <v>-3.9457974999999998</v>
      </c>
      <c r="O21">
        <f>O$4</f>
        <v>-2.9165749999999999</v>
      </c>
      <c r="P21">
        <f>P$4</f>
        <v>-3.9457974999999998</v>
      </c>
      <c r="Q21">
        <v>-3.7183521032651083</v>
      </c>
      <c r="R21">
        <f>R$4</f>
        <v>-3.9457974999999998</v>
      </c>
      <c r="S21">
        <v>-3.7183521032651083</v>
      </c>
    </row>
    <row r="22" spans="1:19">
      <c r="A22">
        <v>6</v>
      </c>
      <c r="B22" s="489" t="str">
        <f>I$8</f>
        <v>S22</v>
      </c>
      <c r="C22" s="489" t="str">
        <f>J$8</f>
        <v>QuadSext</v>
      </c>
      <c r="D22" s="489">
        <f>K$8</f>
        <v>0.4</v>
      </c>
      <c r="E22" s="489"/>
      <c r="F22" s="489">
        <f>M$8</f>
        <v>-2.0359174999999996</v>
      </c>
    </row>
    <row r="23" spans="1:19">
      <c r="A23">
        <v>6</v>
      </c>
      <c r="B23" s="489" t="str">
        <f t="shared" ref="B23:D24" si="3">I$9</f>
        <v>S24</v>
      </c>
      <c r="C23" s="489" t="str">
        <f t="shared" si="3"/>
        <v>QuadSext</v>
      </c>
      <c r="D23" s="489">
        <f t="shared" si="3"/>
        <v>0.4</v>
      </c>
      <c r="E23" s="489"/>
      <c r="F23" s="489">
        <f>M$9</f>
        <v>3.4278599999999995</v>
      </c>
    </row>
    <row r="24" spans="1:19">
      <c r="A24">
        <v>7</v>
      </c>
      <c r="B24" s="489" t="str">
        <f t="shared" si="3"/>
        <v>S24</v>
      </c>
      <c r="C24" s="489" t="str">
        <f t="shared" si="3"/>
        <v>QuadSext</v>
      </c>
      <c r="D24" s="489">
        <f t="shared" si="3"/>
        <v>0.4</v>
      </c>
      <c r="E24" s="489">
        <f>K$30/D24</f>
        <v>0</v>
      </c>
      <c r="F24" s="489">
        <f>M$9</f>
        <v>3.4278599999999995</v>
      </c>
    </row>
    <row r="25" spans="1:19" ht="15.75">
      <c r="A25">
        <v>7</v>
      </c>
      <c r="B25" s="489" t="str">
        <f>I$8</f>
        <v>S22</v>
      </c>
      <c r="C25" s="489" t="str">
        <f>J$8</f>
        <v>QuadSext</v>
      </c>
      <c r="D25" s="489">
        <f>K$8</f>
        <v>0.4</v>
      </c>
      <c r="E25" s="489"/>
      <c r="F25" s="489">
        <f>M$8</f>
        <v>-2.0359174999999996</v>
      </c>
      <c r="I25" s="490" t="s">
        <v>668</v>
      </c>
      <c r="O25" s="490" t="s">
        <v>607</v>
      </c>
    </row>
    <row r="26" spans="1:19">
      <c r="A26">
        <v>7</v>
      </c>
      <c r="B26" s="489" t="str">
        <f>I$7</f>
        <v>S20</v>
      </c>
      <c r="C26" s="489" t="str">
        <f>J$7</f>
        <v>QuadSext</v>
      </c>
      <c r="D26" s="489">
        <f>K$7</f>
        <v>0.4</v>
      </c>
      <c r="E26" s="489"/>
      <c r="F26" s="489">
        <f>V$7</f>
        <v>-7.1366798618340574</v>
      </c>
      <c r="I26" s="489" t="s">
        <v>1147</v>
      </c>
      <c r="J26" s="489" t="s">
        <v>770</v>
      </c>
      <c r="K26" s="489">
        <v>0</v>
      </c>
      <c r="O26" t="s">
        <v>608</v>
      </c>
      <c r="P26" t="s">
        <v>486</v>
      </c>
      <c r="Q26" t="s">
        <v>605</v>
      </c>
    </row>
    <row r="27" spans="1:19">
      <c r="A27">
        <v>7</v>
      </c>
      <c r="B27" s="489" t="str">
        <f>I$6</f>
        <v>S19</v>
      </c>
      <c r="C27" s="489" t="str">
        <f>J$6</f>
        <v>QuadSext</v>
      </c>
      <c r="D27" s="489">
        <f>K$6</f>
        <v>0.4</v>
      </c>
      <c r="E27" s="489"/>
      <c r="F27" s="489">
        <f>V$6</f>
        <v>12.128855874276224</v>
      </c>
      <c r="I27" s="489" t="s">
        <v>294</v>
      </c>
      <c r="J27" s="489" t="s">
        <v>770</v>
      </c>
      <c r="K27" s="489">
        <v>0</v>
      </c>
      <c r="O27">
        <v>-2.2946986183405849</v>
      </c>
      <c r="P27">
        <f>Table!D180</f>
        <v>0.11057684960849298</v>
      </c>
      <c r="Q27">
        <v>0.16</v>
      </c>
    </row>
    <row r="28" spans="1:19">
      <c r="A28">
        <v>7</v>
      </c>
      <c r="B28" s="489" t="str">
        <f>I$5</f>
        <v>S13</v>
      </c>
      <c r="C28" s="489" t="str">
        <f>J$5</f>
        <v>QuadSext</v>
      </c>
      <c r="D28" s="489">
        <f>K$5</f>
        <v>0.4</v>
      </c>
      <c r="E28" s="489"/>
      <c r="F28" s="489">
        <f>V$5</f>
        <v>-7.1366798618340574</v>
      </c>
      <c r="I28" s="489" t="s">
        <v>295</v>
      </c>
      <c r="J28" s="489" t="s">
        <v>770</v>
      </c>
      <c r="K28" s="489">
        <v>0</v>
      </c>
      <c r="O28">
        <v>4.0469337427622571</v>
      </c>
      <c r="P28">
        <f>Table!D181</f>
        <v>0.41367435813651598</v>
      </c>
      <c r="Q28">
        <v>0.4</v>
      </c>
    </row>
    <row r="29" spans="1:19">
      <c r="A29">
        <v>7</v>
      </c>
      <c r="B29" s="489" t="str">
        <f>I$4</f>
        <v>S6</v>
      </c>
      <c r="C29" s="489" t="str">
        <f>J$4</f>
        <v>QuadSext</v>
      </c>
      <c r="D29" s="489">
        <f>K$4</f>
        <v>0.4</v>
      </c>
      <c r="E29" s="489"/>
      <c r="F29" s="489">
        <f>M$4</f>
        <v>-3.9457974999999998</v>
      </c>
      <c r="I29" s="489" t="s">
        <v>296</v>
      </c>
      <c r="J29" s="489" t="s">
        <v>770</v>
      </c>
      <c r="K29" s="489">
        <v>0</v>
      </c>
      <c r="Q29">
        <f>(P27-Q27)^2+(P28-Q28)^2</f>
        <v>2.6296358650672209E-3</v>
      </c>
    </row>
    <row r="30" spans="1:19">
      <c r="A30">
        <v>7</v>
      </c>
      <c r="B30" s="489" t="str">
        <f t="shared" ref="B30:D31" si="4">I$3</f>
        <v>S4</v>
      </c>
      <c r="C30" s="489" t="str">
        <f t="shared" si="4"/>
        <v>QuadSext</v>
      </c>
      <c r="D30" s="489">
        <f t="shared" si="4"/>
        <v>0.4</v>
      </c>
      <c r="E30" s="489"/>
      <c r="F30" s="489">
        <f>M$3</f>
        <v>3.1435474999999995</v>
      </c>
      <c r="I30" s="489" t="s">
        <v>1148</v>
      </c>
      <c r="J30" s="489" t="s">
        <v>770</v>
      </c>
      <c r="K30" s="489">
        <v>0</v>
      </c>
    </row>
    <row r="31" spans="1:19">
      <c r="A31">
        <v>8</v>
      </c>
      <c r="B31" s="489" t="str">
        <f t="shared" si="4"/>
        <v>S4</v>
      </c>
      <c r="C31" s="489" t="str">
        <f t="shared" si="4"/>
        <v>QuadSext</v>
      </c>
      <c r="D31" s="489">
        <f t="shared" si="4"/>
        <v>0.4</v>
      </c>
      <c r="E31" s="489"/>
      <c r="F31" s="489">
        <f>M$3</f>
        <v>3.1435474999999995</v>
      </c>
      <c r="I31" s="489" t="s">
        <v>1087</v>
      </c>
      <c r="J31" s="489" t="s">
        <v>770</v>
      </c>
      <c r="K31" s="489">
        <v>0</v>
      </c>
    </row>
    <row r="32" spans="1:19">
      <c r="A32">
        <v>8</v>
      </c>
      <c r="B32" s="489" t="str">
        <f>I$4</f>
        <v>S6</v>
      </c>
      <c r="C32" s="489" t="str">
        <f>J$4</f>
        <v>QuadSext</v>
      </c>
      <c r="D32" s="489">
        <f>K$4</f>
        <v>0.4</v>
      </c>
      <c r="E32" s="489"/>
      <c r="F32" s="489">
        <f>M$4</f>
        <v>-3.9457974999999998</v>
      </c>
      <c r="I32" s="489" t="s">
        <v>1088</v>
      </c>
      <c r="J32" s="489" t="s">
        <v>770</v>
      </c>
      <c r="K32" s="489">
        <v>0</v>
      </c>
      <c r="O32">
        <f>MIN($Q$29)</f>
        <v>2.6296358650672209E-3</v>
      </c>
    </row>
    <row r="33" spans="1:15">
      <c r="A33">
        <v>8</v>
      </c>
      <c r="B33" s="489" t="str">
        <f>I$5</f>
        <v>S13</v>
      </c>
      <c r="C33" s="489" t="str">
        <f>J$5</f>
        <v>QuadSext</v>
      </c>
      <c r="D33" s="489">
        <f>K$5</f>
        <v>0.4</v>
      </c>
      <c r="E33" s="489">
        <f>K$31/D33</f>
        <v>0</v>
      </c>
      <c r="F33" s="489">
        <f>V$5</f>
        <v>-7.1366798618340574</v>
      </c>
      <c r="I33" s="489" t="s">
        <v>448</v>
      </c>
      <c r="J33" s="489" t="s">
        <v>770</v>
      </c>
      <c r="K33" s="489">
        <v>0</v>
      </c>
      <c r="O33">
        <f>COUNT($O$27,$O$28)</f>
        <v>2</v>
      </c>
    </row>
    <row r="34" spans="1:15">
      <c r="A34">
        <v>8</v>
      </c>
      <c r="B34" s="489" t="str">
        <f>I$6</f>
        <v>S19</v>
      </c>
      <c r="C34" s="489" t="str">
        <f>J$6</f>
        <v>QuadSext</v>
      </c>
      <c r="D34" s="489">
        <f>K$6</f>
        <v>0.4</v>
      </c>
      <c r="E34" s="489"/>
      <c r="F34" s="489">
        <f>V$6</f>
        <v>12.128855874276224</v>
      </c>
      <c r="I34" s="489" t="s">
        <v>449</v>
      </c>
      <c r="J34" s="489" t="s">
        <v>770</v>
      </c>
      <c r="K34" s="489">
        <v>0</v>
      </c>
      <c r="O34">
        <f>{100;100;0.000001;0.05;FALSE;FALSE;FALSE;1;1;1;0.0001;FALSE}</f>
        <v>100</v>
      </c>
    </row>
    <row r="35" spans="1:15">
      <c r="A35">
        <v>8</v>
      </c>
      <c r="B35" s="489" t="str">
        <f>I$7</f>
        <v>S20</v>
      </c>
      <c r="C35" s="489" t="str">
        <f>J$7</f>
        <v>QuadSext</v>
      </c>
      <c r="D35" s="489">
        <f>K$7</f>
        <v>0.4</v>
      </c>
      <c r="E35" s="489"/>
      <c r="F35" s="489">
        <f>V$7</f>
        <v>-7.1366798618340574</v>
      </c>
      <c r="I35" s="489" t="s">
        <v>632</v>
      </c>
      <c r="J35" s="489" t="s">
        <v>770</v>
      </c>
      <c r="K35" s="489">
        <v>0</v>
      </c>
    </row>
    <row r="36" spans="1:15">
      <c r="A36">
        <v>8</v>
      </c>
      <c r="B36" s="489" t="str">
        <f>I$8</f>
        <v>S22</v>
      </c>
      <c r="C36" s="489" t="str">
        <f>J$8</f>
        <v>QuadSext</v>
      </c>
      <c r="D36" s="489">
        <f>K$8</f>
        <v>0.4</v>
      </c>
      <c r="E36" s="489"/>
      <c r="F36" s="489">
        <f>M$8</f>
        <v>-2.0359174999999996</v>
      </c>
      <c r="I36" s="489" t="s">
        <v>997</v>
      </c>
      <c r="J36" s="489" t="s">
        <v>770</v>
      </c>
      <c r="K36" s="489">
        <v>0</v>
      </c>
    </row>
    <row r="37" spans="1:15">
      <c r="A37">
        <v>8</v>
      </c>
      <c r="B37" s="489" t="str">
        <f t="shared" ref="B37:D38" si="5">I$9</f>
        <v>S24</v>
      </c>
      <c r="C37" s="489" t="str">
        <f t="shared" si="5"/>
        <v>QuadSext</v>
      </c>
      <c r="D37" s="489">
        <f t="shared" si="5"/>
        <v>0.4</v>
      </c>
      <c r="E37" s="489"/>
      <c r="F37" s="489">
        <f>M$9</f>
        <v>3.4278599999999995</v>
      </c>
      <c r="I37" s="489" t="s">
        <v>996</v>
      </c>
      <c r="J37" s="489" t="s">
        <v>770</v>
      </c>
      <c r="K37" s="489">
        <v>0</v>
      </c>
    </row>
    <row r="38" spans="1:15">
      <c r="A38">
        <v>9</v>
      </c>
      <c r="B38" s="489" t="str">
        <f t="shared" si="5"/>
        <v>S24</v>
      </c>
      <c r="C38" s="489" t="str">
        <f t="shared" si="5"/>
        <v>QuadSext</v>
      </c>
      <c r="D38" s="489">
        <f t="shared" si="5"/>
        <v>0.4</v>
      </c>
      <c r="E38" s="489"/>
      <c r="F38" s="489">
        <f>M$9</f>
        <v>3.4278599999999995</v>
      </c>
      <c r="I38" s="489" t="s">
        <v>1045</v>
      </c>
      <c r="J38" s="489" t="s">
        <v>770</v>
      </c>
      <c r="K38" s="489">
        <v>0</v>
      </c>
    </row>
    <row r="39" spans="1:15">
      <c r="A39">
        <v>9</v>
      </c>
      <c r="B39" s="489" t="str">
        <f>I$8</f>
        <v>S22</v>
      </c>
      <c r="C39" s="489" t="str">
        <f>J$8</f>
        <v>QuadSext</v>
      </c>
      <c r="D39" s="489">
        <f>K$8</f>
        <v>0.4</v>
      </c>
      <c r="E39" s="489"/>
      <c r="F39" s="489">
        <f>M$8</f>
        <v>-2.0359174999999996</v>
      </c>
      <c r="I39" s="489" t="s">
        <v>912</v>
      </c>
      <c r="J39" s="489" t="s">
        <v>770</v>
      </c>
      <c r="K39" s="489">
        <v>0</v>
      </c>
    </row>
    <row r="40" spans="1:15">
      <c r="A40">
        <v>9</v>
      </c>
      <c r="B40" s="489" t="str">
        <f>I$7</f>
        <v>S20</v>
      </c>
      <c r="C40" s="489" t="str">
        <f>J$7</f>
        <v>QuadSext</v>
      </c>
      <c r="D40" s="489">
        <f>K$7</f>
        <v>0.4</v>
      </c>
      <c r="E40" s="489"/>
      <c r="F40" s="489">
        <f>V$7</f>
        <v>-7.1366798618340574</v>
      </c>
      <c r="I40" s="489" t="s">
        <v>913</v>
      </c>
      <c r="J40" s="489" t="s">
        <v>770</v>
      </c>
      <c r="K40" s="489">
        <v>0</v>
      </c>
    </row>
    <row r="41" spans="1:15">
      <c r="A41">
        <v>9</v>
      </c>
      <c r="B41" s="489" t="str">
        <f>I$6</f>
        <v>S19</v>
      </c>
      <c r="C41" s="489" t="str">
        <f>J$6</f>
        <v>QuadSext</v>
      </c>
      <c r="D41" s="489">
        <f>K$6</f>
        <v>0.4</v>
      </c>
      <c r="E41" s="489"/>
      <c r="F41" s="489">
        <f>V$6</f>
        <v>12.128855874276224</v>
      </c>
      <c r="I41" s="489" t="s">
        <v>914</v>
      </c>
      <c r="J41" s="489" t="s">
        <v>770</v>
      </c>
      <c r="K41" s="489">
        <v>0</v>
      </c>
    </row>
    <row r="42" spans="1:15">
      <c r="A42">
        <v>9</v>
      </c>
      <c r="B42" s="489" t="str">
        <f>I$5</f>
        <v>S13</v>
      </c>
      <c r="C42" s="489" t="str">
        <f>J$5</f>
        <v>QuadSext</v>
      </c>
      <c r="D42" s="489">
        <f>K$5</f>
        <v>0.4</v>
      </c>
      <c r="E42" s="489">
        <f>K$32/D42</f>
        <v>0</v>
      </c>
      <c r="F42" s="489">
        <f>V$5</f>
        <v>-7.1366798618340574</v>
      </c>
      <c r="I42" s="489" t="s">
        <v>915</v>
      </c>
      <c r="J42" s="489" t="s">
        <v>770</v>
      </c>
      <c r="K42" s="489">
        <v>0</v>
      </c>
    </row>
    <row r="43" spans="1:15">
      <c r="A43">
        <v>9</v>
      </c>
      <c r="B43" s="489" t="str">
        <f>I$4</f>
        <v>S6</v>
      </c>
      <c r="C43" s="489" t="str">
        <f>J$4</f>
        <v>QuadSext</v>
      </c>
      <c r="D43" s="489">
        <f>K$4</f>
        <v>0.4</v>
      </c>
      <c r="E43" s="489"/>
      <c r="F43" s="489">
        <f>M$4</f>
        <v>-3.9457974999999998</v>
      </c>
      <c r="I43" s="489" t="s">
        <v>916</v>
      </c>
      <c r="J43" s="489" t="s">
        <v>770</v>
      </c>
      <c r="K43" s="489">
        <v>0</v>
      </c>
    </row>
    <row r="44" spans="1:15">
      <c r="A44">
        <v>9</v>
      </c>
      <c r="B44" s="489" t="str">
        <f t="shared" ref="B44:D45" si="6">I$3</f>
        <v>S4</v>
      </c>
      <c r="C44" s="489" t="str">
        <f t="shared" si="6"/>
        <v>QuadSext</v>
      </c>
      <c r="D44" s="489">
        <f t="shared" si="6"/>
        <v>0.4</v>
      </c>
      <c r="E44" s="489"/>
      <c r="F44" s="489">
        <f>M$3</f>
        <v>3.1435474999999995</v>
      </c>
      <c r="I44" s="489" t="s">
        <v>826</v>
      </c>
      <c r="J44" s="489" t="s">
        <v>770</v>
      </c>
      <c r="K44" s="489">
        <v>0</v>
      </c>
    </row>
    <row r="45" spans="1:15">
      <c r="A45">
        <v>10</v>
      </c>
      <c r="B45" s="489" t="str">
        <f t="shared" si="6"/>
        <v>S4</v>
      </c>
      <c r="C45" s="489" t="str">
        <f t="shared" si="6"/>
        <v>QuadSext</v>
      </c>
      <c r="D45" s="489">
        <f t="shared" si="6"/>
        <v>0.4</v>
      </c>
      <c r="E45" s="489"/>
      <c r="F45" s="489">
        <f>M$3</f>
        <v>3.1435474999999995</v>
      </c>
      <c r="I45" s="489" t="s">
        <v>827</v>
      </c>
      <c r="J45" s="489" t="s">
        <v>770</v>
      </c>
      <c r="K45" s="489">
        <v>0</v>
      </c>
    </row>
    <row r="46" spans="1:15">
      <c r="A46">
        <v>10</v>
      </c>
      <c r="B46" s="489" t="str">
        <f>I$4</f>
        <v>S6</v>
      </c>
      <c r="C46" s="489" t="str">
        <f>J$4</f>
        <v>QuadSext</v>
      </c>
      <c r="D46" s="489">
        <f>K$4</f>
        <v>0.4</v>
      </c>
      <c r="E46" s="489"/>
      <c r="F46" s="489">
        <f>M$4</f>
        <v>-3.9457974999999998</v>
      </c>
      <c r="I46" s="489" t="s">
        <v>828</v>
      </c>
      <c r="J46" s="489" t="s">
        <v>770</v>
      </c>
      <c r="K46" s="489">
        <v>0</v>
      </c>
    </row>
    <row r="47" spans="1:15">
      <c r="A47">
        <v>10</v>
      </c>
      <c r="B47" s="489" t="str">
        <f>I$5</f>
        <v>S13</v>
      </c>
      <c r="C47" s="489" t="str">
        <f>J$5</f>
        <v>QuadSext</v>
      </c>
      <c r="D47" s="489">
        <f>K$5</f>
        <v>0.4</v>
      </c>
      <c r="E47" s="489"/>
      <c r="F47" s="489">
        <f>V$5</f>
        <v>-7.1366798618340574</v>
      </c>
      <c r="I47" s="489" t="s">
        <v>829</v>
      </c>
      <c r="J47" s="489" t="s">
        <v>770</v>
      </c>
      <c r="K47" s="489">
        <v>0</v>
      </c>
    </row>
    <row r="48" spans="1:15">
      <c r="A48">
        <v>10</v>
      </c>
      <c r="B48" s="489" t="str">
        <f>I$6</f>
        <v>S19</v>
      </c>
      <c r="C48" s="489" t="str">
        <f>J$6</f>
        <v>QuadSext</v>
      </c>
      <c r="D48" s="489">
        <f>K$6</f>
        <v>0.4</v>
      </c>
      <c r="E48" s="489"/>
      <c r="F48" s="489">
        <f>V$6</f>
        <v>12.128855874276224</v>
      </c>
      <c r="I48" s="489" t="s">
        <v>71</v>
      </c>
      <c r="J48" s="489" t="s">
        <v>770</v>
      </c>
      <c r="K48" s="489">
        <v>0</v>
      </c>
    </row>
    <row r="49" spans="1:11">
      <c r="A49">
        <v>10</v>
      </c>
      <c r="B49" s="489" t="str">
        <f>I$7</f>
        <v>S20</v>
      </c>
      <c r="C49" s="489" t="str">
        <f>J$7</f>
        <v>QuadSext</v>
      </c>
      <c r="D49" s="489">
        <f>K$7</f>
        <v>0.4</v>
      </c>
      <c r="E49" s="489"/>
      <c r="F49" s="489">
        <f>V$7</f>
        <v>-7.1366798618340574</v>
      </c>
      <c r="I49" s="489" t="s">
        <v>297</v>
      </c>
      <c r="J49" s="489" t="s">
        <v>770</v>
      </c>
      <c r="K49" s="489">
        <v>0</v>
      </c>
    </row>
    <row r="50" spans="1:11">
      <c r="A50">
        <v>10</v>
      </c>
      <c r="B50" s="489" t="str">
        <f>I$17</f>
        <v>S22-C11</v>
      </c>
      <c r="C50" s="489" t="str">
        <f>J$17</f>
        <v>QuadSext</v>
      </c>
      <c r="D50" s="489">
        <f>K$17</f>
        <v>0.4</v>
      </c>
      <c r="E50" s="489"/>
      <c r="F50" s="489">
        <f>M$17</f>
        <v>-2.0359174999999996</v>
      </c>
      <c r="I50" s="489" t="s">
        <v>298</v>
      </c>
      <c r="J50" s="489" t="s">
        <v>770</v>
      </c>
      <c r="K50" s="489">
        <v>0</v>
      </c>
    </row>
    <row r="51" spans="1:11">
      <c r="A51">
        <v>10</v>
      </c>
      <c r="B51" s="489" t="str">
        <f t="shared" ref="B51:D52" si="7">I$18</f>
        <v>S24-C11</v>
      </c>
      <c r="C51" s="489" t="str">
        <f t="shared" si="7"/>
        <v>QuadSext</v>
      </c>
      <c r="D51" s="489">
        <f t="shared" si="7"/>
        <v>0.4</v>
      </c>
      <c r="E51" s="489">
        <f>K$33/D51</f>
        <v>0</v>
      </c>
      <c r="F51" s="489">
        <f>M$18</f>
        <v>3.4278599999999995</v>
      </c>
      <c r="I51" s="489" t="s">
        <v>633</v>
      </c>
      <c r="J51" s="489" t="s">
        <v>770</v>
      </c>
      <c r="K51" s="489">
        <v>0</v>
      </c>
    </row>
    <row r="52" spans="1:11">
      <c r="A52">
        <v>11</v>
      </c>
      <c r="B52" s="489" t="str">
        <f t="shared" si="7"/>
        <v>S24-C11</v>
      </c>
      <c r="C52" s="489" t="str">
        <f t="shared" si="7"/>
        <v>QuadSext</v>
      </c>
      <c r="D52" s="489">
        <f t="shared" si="7"/>
        <v>0.4</v>
      </c>
      <c r="E52" s="489"/>
      <c r="F52" s="489">
        <f>M$18</f>
        <v>3.4278599999999995</v>
      </c>
      <c r="I52" s="489" t="s">
        <v>921</v>
      </c>
      <c r="J52" s="489" t="s">
        <v>770</v>
      </c>
      <c r="K52" s="489">
        <v>0</v>
      </c>
    </row>
    <row r="53" spans="1:11">
      <c r="A53">
        <v>11</v>
      </c>
      <c r="B53" s="489" t="str">
        <f>I$17</f>
        <v>S22-C11</v>
      </c>
      <c r="C53" s="489" t="str">
        <f>J$17</f>
        <v>QuadSext</v>
      </c>
      <c r="D53" s="489">
        <f>K$17</f>
        <v>0.4</v>
      </c>
      <c r="E53" s="489"/>
      <c r="F53" s="489">
        <f>M$17</f>
        <v>-2.0359174999999996</v>
      </c>
      <c r="I53" s="489" t="s">
        <v>1085</v>
      </c>
      <c r="J53" s="489" t="s">
        <v>770</v>
      </c>
      <c r="K53" s="489">
        <v>0</v>
      </c>
    </row>
    <row r="54" spans="1:11">
      <c r="A54">
        <v>11</v>
      </c>
      <c r="B54" s="489" t="str">
        <f>I$7</f>
        <v>S20</v>
      </c>
      <c r="C54" s="489" t="str">
        <f>J$7</f>
        <v>QuadSext</v>
      </c>
      <c r="D54" s="489">
        <f>K$7</f>
        <v>0.4</v>
      </c>
      <c r="E54" s="489"/>
      <c r="F54" s="489">
        <f>V$7</f>
        <v>-7.1366798618340574</v>
      </c>
      <c r="I54" s="489" t="s">
        <v>1086</v>
      </c>
      <c r="J54" s="489" t="s">
        <v>770</v>
      </c>
      <c r="K54" s="489">
        <v>0</v>
      </c>
    </row>
    <row r="55" spans="1:11">
      <c r="A55">
        <v>11</v>
      </c>
      <c r="B55" s="489" t="str">
        <f>I$6</f>
        <v>S19</v>
      </c>
      <c r="C55" s="489" t="str">
        <f>J$6</f>
        <v>QuadSext</v>
      </c>
      <c r="D55" s="489">
        <f>K$6</f>
        <v>0.4</v>
      </c>
      <c r="E55" s="489"/>
      <c r="F55" s="489">
        <f>V$6</f>
        <v>12.128855874276224</v>
      </c>
      <c r="I55" s="489" t="s">
        <v>883</v>
      </c>
      <c r="J55" s="489" t="s">
        <v>770</v>
      </c>
      <c r="K55" s="489">
        <v>0</v>
      </c>
    </row>
    <row r="56" spans="1:11">
      <c r="A56">
        <v>11</v>
      </c>
      <c r="B56" s="489" t="str">
        <f>I$5</f>
        <v>S13</v>
      </c>
      <c r="C56" s="489" t="str">
        <f>J$5</f>
        <v>QuadSext</v>
      </c>
      <c r="D56" s="489">
        <f>K$5</f>
        <v>0.4</v>
      </c>
      <c r="E56" s="489">
        <f>K$34/D56</f>
        <v>0</v>
      </c>
      <c r="F56" s="489">
        <f>V$5</f>
        <v>-7.1366798618340574</v>
      </c>
      <c r="I56" s="489" t="s">
        <v>884</v>
      </c>
      <c r="J56" s="489" t="s">
        <v>770</v>
      </c>
      <c r="K56" s="489">
        <v>0</v>
      </c>
    </row>
    <row r="57" spans="1:11">
      <c r="A57">
        <v>11</v>
      </c>
      <c r="B57" s="489" t="str">
        <f>I$4</f>
        <v>S6</v>
      </c>
      <c r="C57" s="489" t="str">
        <f>J$4</f>
        <v>QuadSext</v>
      </c>
      <c r="D57" s="489">
        <f>K$4</f>
        <v>0.4</v>
      </c>
      <c r="E57" s="489"/>
      <c r="F57" s="489">
        <f>M$4</f>
        <v>-3.9457974999999998</v>
      </c>
      <c r="I57" s="489" t="s">
        <v>885</v>
      </c>
      <c r="J57" s="489" t="s">
        <v>770</v>
      </c>
      <c r="K57" s="489">
        <v>0</v>
      </c>
    </row>
    <row r="58" spans="1:11">
      <c r="A58">
        <v>11</v>
      </c>
      <c r="B58" s="489" t="str">
        <f t="shared" ref="B58:D59" si="8">I$3</f>
        <v>S4</v>
      </c>
      <c r="C58" s="489" t="str">
        <f t="shared" si="8"/>
        <v>QuadSext</v>
      </c>
      <c r="D58" s="489">
        <f t="shared" si="8"/>
        <v>0.4</v>
      </c>
      <c r="E58" s="489"/>
      <c r="F58" s="489">
        <f>M$3</f>
        <v>3.1435474999999995</v>
      </c>
    </row>
    <row r="59" spans="1:11">
      <c r="A59">
        <v>12</v>
      </c>
      <c r="B59" s="489" t="str">
        <f t="shared" si="8"/>
        <v>S4</v>
      </c>
      <c r="C59" s="489" t="str">
        <f t="shared" si="8"/>
        <v>QuadSext</v>
      </c>
      <c r="D59" s="489">
        <f t="shared" si="8"/>
        <v>0.4</v>
      </c>
      <c r="E59" s="489"/>
      <c r="F59" s="489">
        <f>M$3</f>
        <v>3.1435474999999995</v>
      </c>
    </row>
    <row r="60" spans="1:11">
      <c r="A60">
        <v>12</v>
      </c>
      <c r="B60" s="489" t="str">
        <f>I$4</f>
        <v>S6</v>
      </c>
      <c r="C60" s="489" t="str">
        <f>J$4</f>
        <v>QuadSext</v>
      </c>
      <c r="D60" s="489">
        <f>K$4</f>
        <v>0.4</v>
      </c>
      <c r="E60" s="489"/>
      <c r="F60" s="489">
        <f>M$4</f>
        <v>-3.9457974999999998</v>
      </c>
    </row>
    <row r="61" spans="1:11">
      <c r="A61">
        <v>12</v>
      </c>
      <c r="B61" s="489" t="str">
        <f>I$5</f>
        <v>S13</v>
      </c>
      <c r="C61" s="489" t="str">
        <f>J$5</f>
        <v>QuadSext</v>
      </c>
      <c r="D61" s="489">
        <f>K$5</f>
        <v>0.4</v>
      </c>
      <c r="E61" s="489"/>
      <c r="F61" s="489">
        <f>V$5</f>
        <v>-7.1366798618340574</v>
      </c>
    </row>
    <row r="62" spans="1:11">
      <c r="A62">
        <v>12</v>
      </c>
      <c r="B62" s="489" t="str">
        <f>I$6</f>
        <v>S19</v>
      </c>
      <c r="C62" s="489" t="str">
        <f>J$6</f>
        <v>QuadSext</v>
      </c>
      <c r="D62" s="489">
        <f>K$6</f>
        <v>0.4</v>
      </c>
      <c r="E62" s="489"/>
      <c r="F62" s="489">
        <f>V$6</f>
        <v>12.128855874276224</v>
      </c>
    </row>
    <row r="63" spans="1:11">
      <c r="A63">
        <v>12</v>
      </c>
      <c r="B63" s="489" t="str">
        <f>I$7</f>
        <v>S20</v>
      </c>
      <c r="C63" s="489" t="str">
        <f>J$7</f>
        <v>QuadSext</v>
      </c>
      <c r="D63" s="489">
        <f>K$7</f>
        <v>0.4</v>
      </c>
      <c r="E63" s="489">
        <f>K$35/D63</f>
        <v>0</v>
      </c>
      <c r="F63" s="489">
        <f>V$7</f>
        <v>-7.1366798618340574</v>
      </c>
    </row>
    <row r="64" spans="1:11">
      <c r="A64">
        <v>12</v>
      </c>
      <c r="B64" s="489" t="str">
        <f>I$8</f>
        <v>S22</v>
      </c>
      <c r="C64" s="489" t="str">
        <f>J$8</f>
        <v>QuadSext</v>
      </c>
      <c r="D64" s="489">
        <f>K$8</f>
        <v>0.4</v>
      </c>
      <c r="E64" s="489"/>
      <c r="F64" s="489">
        <f>M$8</f>
        <v>-2.0359174999999996</v>
      </c>
    </row>
    <row r="65" spans="1:6">
      <c r="A65">
        <v>12</v>
      </c>
      <c r="B65" s="489" t="str">
        <f t="shared" ref="B65:D66" si="9">I$9</f>
        <v>S24</v>
      </c>
      <c r="C65" s="489" t="str">
        <f t="shared" si="9"/>
        <v>QuadSext</v>
      </c>
      <c r="D65" s="489">
        <f t="shared" si="9"/>
        <v>0.4</v>
      </c>
      <c r="E65" s="489"/>
      <c r="F65" s="489">
        <f>M$9</f>
        <v>3.4278599999999995</v>
      </c>
    </row>
    <row r="66" spans="1:6">
      <c r="A66">
        <v>13</v>
      </c>
      <c r="B66" s="489" t="str">
        <f t="shared" si="9"/>
        <v>S24</v>
      </c>
      <c r="C66" s="489" t="str">
        <f t="shared" si="9"/>
        <v>QuadSext</v>
      </c>
      <c r="D66" s="489">
        <f t="shared" si="9"/>
        <v>0.4</v>
      </c>
      <c r="E66" s="489"/>
      <c r="F66" s="489">
        <f>M$9</f>
        <v>3.4278599999999995</v>
      </c>
    </row>
    <row r="67" spans="1:6">
      <c r="A67">
        <v>13</v>
      </c>
      <c r="B67" s="489" t="str">
        <f>I$8</f>
        <v>S22</v>
      </c>
      <c r="C67" s="489" t="str">
        <f>J$8</f>
        <v>QuadSext</v>
      </c>
      <c r="D67" s="489">
        <f>K$8</f>
        <v>0.4</v>
      </c>
      <c r="E67" s="489"/>
      <c r="F67" s="489">
        <f>M$8</f>
        <v>-2.0359174999999996</v>
      </c>
    </row>
    <row r="68" spans="1:6">
      <c r="A68">
        <v>13</v>
      </c>
      <c r="B68" s="489" t="str">
        <f>I$7</f>
        <v>S20</v>
      </c>
      <c r="C68" s="489" t="str">
        <f>J$7</f>
        <v>QuadSext</v>
      </c>
      <c r="D68" s="489">
        <f>K$7</f>
        <v>0.4</v>
      </c>
      <c r="E68" s="489"/>
      <c r="F68" s="489">
        <f>V$7</f>
        <v>-7.1366798618340574</v>
      </c>
    </row>
    <row r="69" spans="1:6">
      <c r="A69">
        <v>13</v>
      </c>
      <c r="B69" s="489" t="str">
        <f>I$6</f>
        <v>S19</v>
      </c>
      <c r="C69" s="489" t="str">
        <f>J$6</f>
        <v>QuadSext</v>
      </c>
      <c r="D69" s="489">
        <f>K$6</f>
        <v>0.4</v>
      </c>
      <c r="E69" s="489"/>
      <c r="F69" s="489">
        <f>V$6</f>
        <v>12.128855874276224</v>
      </c>
    </row>
    <row r="70" spans="1:6">
      <c r="A70">
        <v>13</v>
      </c>
      <c r="B70" s="489" t="str">
        <f>I$5</f>
        <v>S13</v>
      </c>
      <c r="C70" s="489" t="str">
        <f>J$5</f>
        <v>QuadSext</v>
      </c>
      <c r="D70" s="489">
        <f>K$5</f>
        <v>0.4</v>
      </c>
      <c r="E70" s="489">
        <f>K$36/D70</f>
        <v>0</v>
      </c>
      <c r="F70" s="489">
        <f>V$5</f>
        <v>-7.1366798618340574</v>
      </c>
    </row>
    <row r="71" spans="1:6">
      <c r="A71">
        <v>13</v>
      </c>
      <c r="B71" s="489" t="str">
        <f>I$4</f>
        <v>S6</v>
      </c>
      <c r="C71" s="489" t="str">
        <f>J$4</f>
        <v>QuadSext</v>
      </c>
      <c r="D71" s="489">
        <f>K$4</f>
        <v>0.4</v>
      </c>
      <c r="E71" s="489"/>
      <c r="F71" s="489">
        <f>M$4</f>
        <v>-3.9457974999999998</v>
      </c>
    </row>
    <row r="72" spans="1:6">
      <c r="A72">
        <v>13</v>
      </c>
      <c r="B72" s="489" t="str">
        <f t="shared" ref="B72:D73" si="10">I$3</f>
        <v>S4</v>
      </c>
      <c r="C72" s="489" t="str">
        <f t="shared" si="10"/>
        <v>QuadSext</v>
      </c>
      <c r="D72" s="489">
        <f t="shared" si="10"/>
        <v>0.4</v>
      </c>
      <c r="E72" s="489"/>
      <c r="F72" s="489">
        <f>M$3</f>
        <v>3.1435474999999995</v>
      </c>
    </row>
    <row r="73" spans="1:6">
      <c r="A73">
        <v>14</v>
      </c>
      <c r="B73" s="489" t="str">
        <f t="shared" si="10"/>
        <v>S4</v>
      </c>
      <c r="C73" s="489" t="str">
        <f t="shared" si="10"/>
        <v>QuadSext</v>
      </c>
      <c r="D73" s="489">
        <f t="shared" si="10"/>
        <v>0.4</v>
      </c>
      <c r="E73" s="489">
        <f>K$37/D73</f>
        <v>0</v>
      </c>
      <c r="F73" s="489">
        <f>M$3</f>
        <v>3.1435474999999995</v>
      </c>
    </row>
    <row r="74" spans="1:6">
      <c r="A74">
        <v>14</v>
      </c>
      <c r="B74" s="489" t="str">
        <f>I$4</f>
        <v>S6</v>
      </c>
      <c r="C74" s="489" t="str">
        <f>J$4</f>
        <v>QuadSext</v>
      </c>
      <c r="D74" s="489">
        <f>K$4</f>
        <v>0.4</v>
      </c>
      <c r="E74" s="489"/>
      <c r="F74" s="489">
        <f>M$4</f>
        <v>-3.9457974999999998</v>
      </c>
    </row>
    <row r="75" spans="1:6">
      <c r="A75">
        <v>14</v>
      </c>
      <c r="B75" s="489" t="str">
        <f>I$5</f>
        <v>S13</v>
      </c>
      <c r="C75" s="489" t="str">
        <f>J$5</f>
        <v>QuadSext</v>
      </c>
      <c r="D75" s="489">
        <f>K$5</f>
        <v>0.4</v>
      </c>
      <c r="E75" s="489"/>
      <c r="F75" s="489">
        <f>V$5</f>
        <v>-7.1366798618340574</v>
      </c>
    </row>
    <row r="76" spans="1:6">
      <c r="A76">
        <v>14</v>
      </c>
      <c r="B76" s="489" t="str">
        <f>I$6</f>
        <v>S19</v>
      </c>
      <c r="C76" s="489" t="str">
        <f>J$6</f>
        <v>QuadSext</v>
      </c>
      <c r="D76" s="489">
        <f>K$6</f>
        <v>0.4</v>
      </c>
      <c r="E76" s="489"/>
      <c r="F76" s="489">
        <f>V$6</f>
        <v>12.128855874276224</v>
      </c>
    </row>
    <row r="77" spans="1:6">
      <c r="A77">
        <v>14</v>
      </c>
      <c r="B77" s="489" t="str">
        <f>I$7</f>
        <v>S20</v>
      </c>
      <c r="C77" s="489" t="str">
        <f>J$7</f>
        <v>QuadSext</v>
      </c>
      <c r="D77" s="489">
        <f>K$7</f>
        <v>0.4</v>
      </c>
      <c r="E77" s="489"/>
      <c r="F77" s="489">
        <f>V$7</f>
        <v>-7.1366798618340574</v>
      </c>
    </row>
    <row r="78" spans="1:6">
      <c r="A78">
        <v>14</v>
      </c>
      <c r="B78" s="489" t="str">
        <f>I$8</f>
        <v>S22</v>
      </c>
      <c r="C78" s="489" t="str">
        <f>J$8</f>
        <v>QuadSext</v>
      </c>
      <c r="D78" s="489">
        <f>K$8</f>
        <v>0.4</v>
      </c>
      <c r="E78" s="489"/>
      <c r="F78" s="489">
        <f>M$8</f>
        <v>-2.0359174999999996</v>
      </c>
    </row>
    <row r="79" spans="1:6">
      <c r="A79">
        <v>14</v>
      </c>
      <c r="B79" s="489" t="str">
        <f t="shared" ref="B79:D80" si="11">I$9</f>
        <v>S24</v>
      </c>
      <c r="C79" s="489" t="str">
        <f t="shared" si="11"/>
        <v>QuadSext</v>
      </c>
      <c r="D79" s="489">
        <f t="shared" si="11"/>
        <v>0.4</v>
      </c>
      <c r="E79" s="489">
        <f>K$38/D79</f>
        <v>0</v>
      </c>
      <c r="F79" s="489">
        <f>M$9</f>
        <v>3.4278599999999995</v>
      </c>
    </row>
    <row r="80" spans="1:6">
      <c r="A80">
        <v>15</v>
      </c>
      <c r="B80" s="489" t="str">
        <f t="shared" si="11"/>
        <v>S24</v>
      </c>
      <c r="C80" s="489" t="str">
        <f t="shared" si="11"/>
        <v>QuadSext</v>
      </c>
      <c r="D80" s="489">
        <f t="shared" si="11"/>
        <v>0.4</v>
      </c>
      <c r="E80" s="489"/>
      <c r="F80" s="489">
        <f>M$9</f>
        <v>3.4278599999999995</v>
      </c>
    </row>
    <row r="81" spans="1:6">
      <c r="A81">
        <v>15</v>
      </c>
      <c r="B81" s="489" t="str">
        <f>I$8</f>
        <v>S22</v>
      </c>
      <c r="C81" s="489" t="str">
        <f>J$8</f>
        <v>QuadSext</v>
      </c>
      <c r="D81" s="489">
        <f>K$8</f>
        <v>0.4</v>
      </c>
      <c r="E81" s="489"/>
      <c r="F81" s="489">
        <f>M$8</f>
        <v>-2.0359174999999996</v>
      </c>
    </row>
    <row r="82" spans="1:6">
      <c r="A82">
        <v>15</v>
      </c>
      <c r="B82" s="489" t="str">
        <f>I$7</f>
        <v>S20</v>
      </c>
      <c r="C82" s="489" t="str">
        <f>J$7</f>
        <v>QuadSext</v>
      </c>
      <c r="D82" s="489">
        <f>K$7</f>
        <v>0.4</v>
      </c>
      <c r="E82" s="489"/>
      <c r="F82" s="489">
        <f>V$7</f>
        <v>-7.1366798618340574</v>
      </c>
    </row>
    <row r="83" spans="1:6">
      <c r="A83">
        <v>15</v>
      </c>
      <c r="B83" s="489" t="str">
        <f>I$6</f>
        <v>S19</v>
      </c>
      <c r="C83" s="489" t="str">
        <f>J$6</f>
        <v>QuadSext</v>
      </c>
      <c r="D83" s="489">
        <f>K$6</f>
        <v>0.4</v>
      </c>
      <c r="E83" s="489"/>
      <c r="F83" s="489">
        <f>V$6</f>
        <v>12.128855874276224</v>
      </c>
    </row>
    <row r="84" spans="1:6">
      <c r="A84">
        <v>15</v>
      </c>
      <c r="B84" s="489" t="str">
        <f>I$5</f>
        <v>S13</v>
      </c>
      <c r="C84" s="489" t="str">
        <f>J$5</f>
        <v>QuadSext</v>
      </c>
      <c r="D84" s="489">
        <f>K$5</f>
        <v>0.4</v>
      </c>
      <c r="E84" s="489">
        <f>K$39/D84</f>
        <v>0</v>
      </c>
      <c r="F84" s="489">
        <f>V$5</f>
        <v>-7.1366798618340574</v>
      </c>
    </row>
    <row r="85" spans="1:6">
      <c r="A85">
        <v>15</v>
      </c>
      <c r="B85" s="489" t="str">
        <f>I$4</f>
        <v>S6</v>
      </c>
      <c r="C85" s="489" t="str">
        <f>J$4</f>
        <v>QuadSext</v>
      </c>
      <c r="D85" s="489">
        <f>K$4</f>
        <v>0.4</v>
      </c>
      <c r="E85" s="489"/>
      <c r="F85" s="489">
        <f>M$4</f>
        <v>-3.9457974999999998</v>
      </c>
    </row>
    <row r="86" spans="1:6">
      <c r="A86">
        <v>15</v>
      </c>
      <c r="B86" s="489" t="str">
        <f t="shared" ref="B86:D87" si="12">I$3</f>
        <v>S4</v>
      </c>
      <c r="C86" s="489" t="str">
        <f t="shared" si="12"/>
        <v>QuadSext</v>
      </c>
      <c r="D86" s="489">
        <f t="shared" si="12"/>
        <v>0.4</v>
      </c>
      <c r="E86" s="489"/>
      <c r="F86" s="489">
        <f>M$3</f>
        <v>3.1435474999999995</v>
      </c>
    </row>
    <row r="87" spans="1:6">
      <c r="A87">
        <v>16</v>
      </c>
      <c r="B87" s="489" t="str">
        <f t="shared" si="12"/>
        <v>S4</v>
      </c>
      <c r="C87" s="489" t="str">
        <f t="shared" si="12"/>
        <v>QuadSext</v>
      </c>
      <c r="D87" s="489">
        <f t="shared" si="12"/>
        <v>0.4</v>
      </c>
      <c r="E87" s="489"/>
      <c r="F87" s="489">
        <f>M$3</f>
        <v>3.1435474999999995</v>
      </c>
    </row>
    <row r="88" spans="1:6">
      <c r="A88">
        <v>16</v>
      </c>
      <c r="B88" s="489" t="str">
        <f>I$4</f>
        <v>S6</v>
      </c>
      <c r="C88" s="489" t="str">
        <f>J$4</f>
        <v>QuadSext</v>
      </c>
      <c r="D88" s="489">
        <f>K$4</f>
        <v>0.4</v>
      </c>
      <c r="E88" s="489"/>
      <c r="F88" s="489">
        <f>M$4</f>
        <v>-3.9457974999999998</v>
      </c>
    </row>
    <row r="89" spans="1:6">
      <c r="A89">
        <v>16</v>
      </c>
      <c r="B89" s="489" t="str">
        <f>I$5</f>
        <v>S13</v>
      </c>
      <c r="C89" s="489" t="str">
        <f>J$5</f>
        <v>QuadSext</v>
      </c>
      <c r="D89" s="489">
        <f>K$5</f>
        <v>0.4</v>
      </c>
      <c r="E89" s="489"/>
      <c r="F89" s="489">
        <f>V$5</f>
        <v>-7.1366798618340574</v>
      </c>
    </row>
    <row r="90" spans="1:6">
      <c r="A90">
        <v>16</v>
      </c>
      <c r="B90" s="489" t="str">
        <f>I$6</f>
        <v>S19</v>
      </c>
      <c r="C90" s="489" t="str">
        <f>J$6</f>
        <v>QuadSext</v>
      </c>
      <c r="D90" s="489">
        <f>K$6</f>
        <v>0.4</v>
      </c>
      <c r="E90" s="489"/>
      <c r="F90" s="489">
        <f>V$6</f>
        <v>12.128855874276224</v>
      </c>
    </row>
    <row r="91" spans="1:6">
      <c r="A91">
        <v>16</v>
      </c>
      <c r="B91" s="489" t="str">
        <f>I$7</f>
        <v>S20</v>
      </c>
      <c r="C91" s="489" t="str">
        <f>J$7</f>
        <v>QuadSext</v>
      </c>
      <c r="D91" s="489">
        <f>K$7</f>
        <v>0.4</v>
      </c>
      <c r="E91" s="489"/>
      <c r="F91" s="489">
        <f>V$7</f>
        <v>-7.1366798618340574</v>
      </c>
    </row>
    <row r="92" spans="1:6">
      <c r="A92">
        <v>16</v>
      </c>
      <c r="B92" s="489" t="str">
        <f>I$8</f>
        <v>S22</v>
      </c>
      <c r="C92" s="489" t="str">
        <f>J$8</f>
        <v>QuadSext</v>
      </c>
      <c r="D92" s="489">
        <f>K$8</f>
        <v>0.4</v>
      </c>
      <c r="E92" s="489"/>
      <c r="F92" s="489">
        <f>M$8</f>
        <v>-2.0359174999999996</v>
      </c>
    </row>
    <row r="93" spans="1:6">
      <c r="A93">
        <v>16</v>
      </c>
      <c r="B93" s="489" t="str">
        <f t="shared" ref="B93:D94" si="13">I$9</f>
        <v>S24</v>
      </c>
      <c r="C93" s="489" t="str">
        <f t="shared" si="13"/>
        <v>QuadSext</v>
      </c>
      <c r="D93" s="489">
        <f t="shared" si="13"/>
        <v>0.4</v>
      </c>
      <c r="E93" s="489"/>
      <c r="F93" s="489">
        <f>M$9</f>
        <v>3.4278599999999995</v>
      </c>
    </row>
    <row r="94" spans="1:6">
      <c r="A94">
        <v>17</v>
      </c>
      <c r="B94" s="489" t="str">
        <f t="shared" si="13"/>
        <v>S24</v>
      </c>
      <c r="C94" s="489" t="str">
        <f t="shared" si="13"/>
        <v>QuadSext</v>
      </c>
      <c r="D94" s="489">
        <f t="shared" si="13"/>
        <v>0.4</v>
      </c>
      <c r="E94" s="489"/>
      <c r="F94" s="489">
        <f>M$9</f>
        <v>3.4278599999999995</v>
      </c>
    </row>
    <row r="95" spans="1:6">
      <c r="A95">
        <v>17</v>
      </c>
      <c r="B95" s="489" t="str">
        <f>I$8</f>
        <v>S22</v>
      </c>
      <c r="C95" s="489" t="str">
        <f>J$8</f>
        <v>QuadSext</v>
      </c>
      <c r="D95" s="489">
        <f>K$8</f>
        <v>0.4</v>
      </c>
      <c r="E95" s="489"/>
      <c r="F95" s="489">
        <f>M$8</f>
        <v>-2.0359174999999996</v>
      </c>
    </row>
    <row r="96" spans="1:6">
      <c r="A96">
        <v>17</v>
      </c>
      <c r="B96" s="489" t="str">
        <f>I$7</f>
        <v>S20</v>
      </c>
      <c r="C96" s="489" t="str">
        <f>J$7</f>
        <v>QuadSext</v>
      </c>
      <c r="D96" s="489">
        <f>K$7</f>
        <v>0.4</v>
      </c>
      <c r="E96" s="489"/>
      <c r="F96" s="489">
        <f>V$7</f>
        <v>-7.1366798618340574</v>
      </c>
    </row>
    <row r="97" spans="1:6">
      <c r="A97">
        <v>17</v>
      </c>
      <c r="B97" s="489" t="str">
        <f>I$6</f>
        <v>S19</v>
      </c>
      <c r="C97" s="489" t="str">
        <f>J$6</f>
        <v>QuadSext</v>
      </c>
      <c r="D97" s="489">
        <f>K$6</f>
        <v>0.4</v>
      </c>
      <c r="E97" s="489"/>
      <c r="F97" s="489">
        <f>V$6</f>
        <v>12.128855874276224</v>
      </c>
    </row>
    <row r="98" spans="1:6">
      <c r="A98">
        <v>17</v>
      </c>
      <c r="B98" s="489" t="str">
        <f>I$5</f>
        <v>S13</v>
      </c>
      <c r="C98" s="489" t="str">
        <f>J$5</f>
        <v>QuadSext</v>
      </c>
      <c r="D98" s="489">
        <f>K$5</f>
        <v>0.4</v>
      </c>
      <c r="E98" s="489">
        <f>K$40/D98</f>
        <v>0</v>
      </c>
      <c r="F98" s="489">
        <f>V$5</f>
        <v>-7.1366798618340574</v>
      </c>
    </row>
    <row r="99" spans="1:6">
      <c r="A99">
        <v>17</v>
      </c>
      <c r="B99" s="489" t="str">
        <f>I$4</f>
        <v>S6</v>
      </c>
      <c r="C99" s="489" t="str">
        <f>J$4</f>
        <v>QuadSext</v>
      </c>
      <c r="D99" s="489">
        <f>K$4</f>
        <v>0.4</v>
      </c>
      <c r="E99" s="489"/>
      <c r="F99" s="489">
        <f>M$4</f>
        <v>-3.9457974999999998</v>
      </c>
    </row>
    <row r="100" spans="1:6">
      <c r="A100">
        <v>17</v>
      </c>
      <c r="B100" s="489" t="str">
        <f t="shared" ref="B100:D101" si="14">I$3</f>
        <v>S4</v>
      </c>
      <c r="C100" s="489" t="str">
        <f t="shared" si="14"/>
        <v>QuadSext</v>
      </c>
      <c r="D100" s="489">
        <f t="shared" si="14"/>
        <v>0.4</v>
      </c>
      <c r="E100" s="489"/>
      <c r="F100" s="489">
        <f>M$3</f>
        <v>3.1435474999999995</v>
      </c>
    </row>
    <row r="101" spans="1:6">
      <c r="A101">
        <v>18</v>
      </c>
      <c r="B101" s="489" t="str">
        <f t="shared" si="14"/>
        <v>S4</v>
      </c>
      <c r="C101" s="489" t="str">
        <f t="shared" si="14"/>
        <v>QuadSext</v>
      </c>
      <c r="D101" s="489">
        <f t="shared" si="14"/>
        <v>0.4</v>
      </c>
      <c r="E101" s="489"/>
      <c r="F101" s="489">
        <f>M$3</f>
        <v>3.1435474999999995</v>
      </c>
    </row>
    <row r="102" spans="1:6">
      <c r="A102">
        <v>18</v>
      </c>
      <c r="B102" s="489" t="str">
        <f>I$4</f>
        <v>S6</v>
      </c>
      <c r="C102" s="489" t="str">
        <f>J$4</f>
        <v>QuadSext</v>
      </c>
      <c r="D102" s="489">
        <f>K$4</f>
        <v>0.4</v>
      </c>
      <c r="E102" s="489"/>
      <c r="F102" s="489">
        <f>M$4</f>
        <v>-3.9457974999999998</v>
      </c>
    </row>
    <row r="103" spans="1:6">
      <c r="A103">
        <v>18</v>
      </c>
      <c r="B103" s="489" t="str">
        <f>I$5</f>
        <v>S13</v>
      </c>
      <c r="C103" s="489" t="str">
        <f>J$5</f>
        <v>QuadSext</v>
      </c>
      <c r="D103" s="489">
        <f>K$5</f>
        <v>0.4</v>
      </c>
      <c r="E103" s="489"/>
      <c r="F103" s="489">
        <f>V$5</f>
        <v>-7.1366798618340574</v>
      </c>
    </row>
    <row r="104" spans="1:6">
      <c r="A104">
        <v>18</v>
      </c>
      <c r="B104" s="489" t="str">
        <f>I$6</f>
        <v>S19</v>
      </c>
      <c r="C104" s="489" t="str">
        <f>J$6</f>
        <v>QuadSext</v>
      </c>
      <c r="D104" s="489">
        <f>K$6</f>
        <v>0.4</v>
      </c>
      <c r="E104" s="489"/>
      <c r="F104" s="489">
        <f>V$6</f>
        <v>12.128855874276224</v>
      </c>
    </row>
    <row r="105" spans="1:6">
      <c r="A105">
        <v>18</v>
      </c>
      <c r="B105" s="489" t="str">
        <f>I$7</f>
        <v>S20</v>
      </c>
      <c r="C105" s="489" t="str">
        <f>J$7</f>
        <v>QuadSext</v>
      </c>
      <c r="D105" s="489">
        <f>K$7</f>
        <v>0.4</v>
      </c>
      <c r="E105" s="489"/>
      <c r="F105" s="489">
        <f>V$7</f>
        <v>-7.1366798618340574</v>
      </c>
    </row>
    <row r="106" spans="1:6">
      <c r="A106">
        <v>18</v>
      </c>
      <c r="B106" s="489" t="str">
        <f>I$8</f>
        <v>S22</v>
      </c>
      <c r="C106" s="489" t="str">
        <f>J$8</f>
        <v>QuadSext</v>
      </c>
      <c r="D106" s="489">
        <f>K$8</f>
        <v>0.4</v>
      </c>
      <c r="E106" s="489"/>
      <c r="F106" s="489">
        <f>M$8</f>
        <v>-2.0359174999999996</v>
      </c>
    </row>
    <row r="107" spans="1:6">
      <c r="A107">
        <v>18</v>
      </c>
      <c r="B107" s="489" t="str">
        <f t="shared" ref="B107:D108" si="15">I$9</f>
        <v>S24</v>
      </c>
      <c r="C107" s="489" t="str">
        <f t="shared" si="15"/>
        <v>QuadSext</v>
      </c>
      <c r="D107" s="489">
        <f t="shared" si="15"/>
        <v>0.4</v>
      </c>
      <c r="E107" s="489">
        <f>K$41/D107</f>
        <v>0</v>
      </c>
      <c r="F107" s="489">
        <f>M$9</f>
        <v>3.4278599999999995</v>
      </c>
    </row>
    <row r="108" spans="1:6">
      <c r="A108">
        <v>19</v>
      </c>
      <c r="B108" s="489" t="str">
        <f t="shared" si="15"/>
        <v>S24</v>
      </c>
      <c r="C108" s="489" t="str">
        <f t="shared" si="15"/>
        <v>QuadSext</v>
      </c>
      <c r="D108" s="489">
        <f t="shared" si="15"/>
        <v>0.4</v>
      </c>
      <c r="E108" s="489"/>
      <c r="F108" s="489">
        <f>M$9</f>
        <v>3.4278599999999995</v>
      </c>
    </row>
    <row r="109" spans="1:6">
      <c r="A109">
        <v>19</v>
      </c>
      <c r="B109" s="489" t="str">
        <f>I$8</f>
        <v>S22</v>
      </c>
      <c r="C109" s="489" t="str">
        <f>J$8</f>
        <v>QuadSext</v>
      </c>
      <c r="D109" s="489">
        <f>K$8</f>
        <v>0.4</v>
      </c>
      <c r="E109" s="489"/>
      <c r="F109" s="489">
        <f>M$8</f>
        <v>-2.0359174999999996</v>
      </c>
    </row>
    <row r="110" spans="1:6">
      <c r="A110">
        <v>19</v>
      </c>
      <c r="B110" s="489" t="str">
        <f>I$7</f>
        <v>S20</v>
      </c>
      <c r="C110" s="489" t="str">
        <f>J$7</f>
        <v>QuadSext</v>
      </c>
      <c r="D110" s="489">
        <f>K$7</f>
        <v>0.4</v>
      </c>
      <c r="E110" s="489"/>
      <c r="F110" s="489">
        <f>V$7</f>
        <v>-7.1366798618340574</v>
      </c>
    </row>
    <row r="111" spans="1:6">
      <c r="A111">
        <v>19</v>
      </c>
      <c r="B111" s="489" t="str">
        <f>I$6</f>
        <v>S19</v>
      </c>
      <c r="C111" s="489" t="str">
        <f>J$6</f>
        <v>QuadSext</v>
      </c>
      <c r="D111" s="489">
        <f>K$6</f>
        <v>0.4</v>
      </c>
      <c r="E111" s="489"/>
      <c r="F111" s="489">
        <f>V$6</f>
        <v>12.128855874276224</v>
      </c>
    </row>
    <row r="112" spans="1:6">
      <c r="A112">
        <v>19</v>
      </c>
      <c r="B112" s="489" t="str">
        <f>I$5</f>
        <v>S13</v>
      </c>
      <c r="C112" s="489" t="str">
        <f>J$5</f>
        <v>QuadSext</v>
      </c>
      <c r="D112" s="489">
        <f>K$5</f>
        <v>0.4</v>
      </c>
      <c r="E112" s="489">
        <f>K$42/D112</f>
        <v>0</v>
      </c>
      <c r="F112" s="489">
        <f>V$5</f>
        <v>-7.1366798618340574</v>
      </c>
    </row>
    <row r="113" spans="1:6">
      <c r="A113">
        <v>19</v>
      </c>
      <c r="B113" s="489" t="str">
        <f>I$21</f>
        <v>S6-C20</v>
      </c>
      <c r="C113" s="489" t="str">
        <f>J$21</f>
        <v>QuadSext</v>
      </c>
      <c r="D113" s="489">
        <f>K$21</f>
        <v>0.4</v>
      </c>
      <c r="E113" s="489"/>
      <c r="F113" s="489">
        <f>M$21</f>
        <v>-3.9457974999999998</v>
      </c>
    </row>
    <row r="114" spans="1:6">
      <c r="A114">
        <v>19</v>
      </c>
      <c r="B114" s="489" t="str">
        <f t="shared" ref="B114:D115" si="16">I$20</f>
        <v>S4-C20</v>
      </c>
      <c r="C114" s="489" t="str">
        <f t="shared" si="16"/>
        <v>QuadSext</v>
      </c>
      <c r="D114" s="489">
        <f t="shared" si="16"/>
        <v>0.4</v>
      </c>
      <c r="E114" s="489"/>
      <c r="F114" s="489">
        <f>M$20</f>
        <v>3.1435474999999995</v>
      </c>
    </row>
    <row r="115" spans="1:6">
      <c r="A115">
        <v>20</v>
      </c>
      <c r="B115" s="489" t="str">
        <f t="shared" si="16"/>
        <v>S4-C20</v>
      </c>
      <c r="C115" s="489" t="str">
        <f t="shared" si="16"/>
        <v>QuadSext</v>
      </c>
      <c r="D115" s="489">
        <f t="shared" si="16"/>
        <v>0.4</v>
      </c>
      <c r="E115" s="489"/>
      <c r="F115" s="489">
        <f>M$20</f>
        <v>3.1435474999999995</v>
      </c>
    </row>
    <row r="116" spans="1:6">
      <c r="A116">
        <v>20</v>
      </c>
      <c r="B116" s="489" t="str">
        <f>I$21</f>
        <v>S6-C20</v>
      </c>
      <c r="C116" s="489" t="str">
        <f>J$21</f>
        <v>QuadSext</v>
      </c>
      <c r="D116" s="489">
        <f>K$21</f>
        <v>0.4</v>
      </c>
      <c r="E116" s="489"/>
      <c r="F116" s="489">
        <f>M$21</f>
        <v>-3.9457974999999998</v>
      </c>
    </row>
    <row r="117" spans="1:6">
      <c r="A117">
        <v>20</v>
      </c>
      <c r="B117" s="489" t="str">
        <f>I$5</f>
        <v>S13</v>
      </c>
      <c r="C117" s="489" t="str">
        <f>J$5</f>
        <v>QuadSext</v>
      </c>
      <c r="D117" s="489">
        <f>K$5</f>
        <v>0.4</v>
      </c>
      <c r="E117" s="489"/>
      <c r="F117" s="489">
        <f>V$5</f>
        <v>-7.1366798618340574</v>
      </c>
    </row>
    <row r="118" spans="1:6">
      <c r="A118">
        <v>20</v>
      </c>
      <c r="B118" s="489" t="str">
        <f>I$6</f>
        <v>S19</v>
      </c>
      <c r="C118" s="489" t="str">
        <f>J$6</f>
        <v>QuadSext</v>
      </c>
      <c r="D118" s="489">
        <f>K$6</f>
        <v>0.4</v>
      </c>
      <c r="E118" s="489"/>
      <c r="F118" s="489">
        <f>V$6</f>
        <v>12.128855874276224</v>
      </c>
    </row>
    <row r="119" spans="1:6">
      <c r="A119">
        <v>20</v>
      </c>
      <c r="B119" s="489" t="str">
        <f>I$7</f>
        <v>S20</v>
      </c>
      <c r="C119" s="489" t="str">
        <f>J$7</f>
        <v>QuadSext</v>
      </c>
      <c r="D119" s="489">
        <f>K$7</f>
        <v>0.4</v>
      </c>
      <c r="E119" s="489">
        <f>K$43/D119</f>
        <v>0</v>
      </c>
      <c r="F119" s="489">
        <f>V$7</f>
        <v>-7.1366798618340574</v>
      </c>
    </row>
    <row r="120" spans="1:6">
      <c r="A120">
        <v>20</v>
      </c>
      <c r="B120" s="489" t="str">
        <f>I$8</f>
        <v>S22</v>
      </c>
      <c r="C120" s="489" t="str">
        <f>J$8</f>
        <v>QuadSext</v>
      </c>
      <c r="D120" s="489">
        <f>K$8</f>
        <v>0.4</v>
      </c>
      <c r="E120" s="489"/>
      <c r="F120" s="489">
        <f>M$8</f>
        <v>-2.0359174999999996</v>
      </c>
    </row>
    <row r="121" spans="1:6">
      <c r="A121">
        <v>20</v>
      </c>
      <c r="B121" s="489" t="str">
        <f t="shared" ref="B121:D122" si="17">I$9</f>
        <v>S24</v>
      </c>
      <c r="C121" s="489" t="str">
        <f t="shared" si="17"/>
        <v>QuadSext</v>
      </c>
      <c r="D121" s="489">
        <f t="shared" si="17"/>
        <v>0.4</v>
      </c>
      <c r="E121" s="489"/>
      <c r="F121" s="489">
        <f>M$9</f>
        <v>3.4278599999999995</v>
      </c>
    </row>
    <row r="122" spans="1:6">
      <c r="A122">
        <v>21</v>
      </c>
      <c r="B122" s="489" t="str">
        <f t="shared" si="17"/>
        <v>S24</v>
      </c>
      <c r="C122" s="489" t="str">
        <f t="shared" si="17"/>
        <v>QuadSext</v>
      </c>
      <c r="D122" s="489">
        <f t="shared" si="17"/>
        <v>0.4</v>
      </c>
      <c r="E122" s="489"/>
      <c r="F122" s="489">
        <f>M$9</f>
        <v>3.4278599999999995</v>
      </c>
    </row>
    <row r="123" spans="1:6">
      <c r="A123">
        <v>21</v>
      </c>
      <c r="B123" s="489" t="str">
        <f>I$8</f>
        <v>S22</v>
      </c>
      <c r="C123" s="489" t="str">
        <f>J$8</f>
        <v>QuadSext</v>
      </c>
      <c r="D123" s="489">
        <f>K$8</f>
        <v>0.4</v>
      </c>
      <c r="E123" s="489"/>
      <c r="F123" s="489">
        <f>M$8</f>
        <v>-2.0359174999999996</v>
      </c>
    </row>
    <row r="124" spans="1:6">
      <c r="A124">
        <v>21</v>
      </c>
      <c r="B124" s="489" t="str">
        <f>I$7</f>
        <v>S20</v>
      </c>
      <c r="C124" s="489" t="str">
        <f>J$7</f>
        <v>QuadSext</v>
      </c>
      <c r="D124" s="489">
        <f>K$7</f>
        <v>0.4</v>
      </c>
      <c r="E124" s="489"/>
      <c r="F124" s="489">
        <f>V$7</f>
        <v>-7.1366798618340574</v>
      </c>
    </row>
    <row r="125" spans="1:6">
      <c r="A125">
        <v>21</v>
      </c>
      <c r="B125" s="489" t="str">
        <f>I$6</f>
        <v>S19</v>
      </c>
      <c r="C125" s="489" t="str">
        <f>J$6</f>
        <v>QuadSext</v>
      </c>
      <c r="D125" s="489">
        <f>K$6</f>
        <v>0.4</v>
      </c>
      <c r="E125" s="489"/>
      <c r="F125" s="489">
        <f>V$6</f>
        <v>12.128855874276224</v>
      </c>
    </row>
    <row r="126" spans="1:6">
      <c r="A126">
        <v>21</v>
      </c>
      <c r="B126" s="489" t="str">
        <f>I$5</f>
        <v>S13</v>
      </c>
      <c r="C126" s="489" t="str">
        <f>J$5</f>
        <v>QuadSext</v>
      </c>
      <c r="D126" s="489">
        <f>K$5</f>
        <v>0.4</v>
      </c>
      <c r="E126" s="489">
        <f>K$44/D126</f>
        <v>0</v>
      </c>
      <c r="F126" s="489">
        <f>V$5</f>
        <v>-7.1366798618340574</v>
      </c>
    </row>
    <row r="127" spans="1:6">
      <c r="A127">
        <v>21</v>
      </c>
      <c r="B127" s="489" t="str">
        <f>I$4</f>
        <v>S6</v>
      </c>
      <c r="C127" s="489" t="str">
        <f>J$4</f>
        <v>QuadSext</v>
      </c>
      <c r="D127" s="489">
        <f>K$4</f>
        <v>0.4</v>
      </c>
      <c r="E127" s="489"/>
      <c r="F127" s="489">
        <f>M$4</f>
        <v>-3.9457974999999998</v>
      </c>
    </row>
    <row r="128" spans="1:6">
      <c r="A128">
        <v>21</v>
      </c>
      <c r="B128" s="489" t="str">
        <f t="shared" ref="B128:D129" si="18">I$3</f>
        <v>S4</v>
      </c>
      <c r="C128" s="489" t="str">
        <f t="shared" si="18"/>
        <v>QuadSext</v>
      </c>
      <c r="D128" s="489">
        <f t="shared" si="18"/>
        <v>0.4</v>
      </c>
      <c r="E128" s="489"/>
      <c r="F128" s="489">
        <f>M$3</f>
        <v>3.1435474999999995</v>
      </c>
    </row>
    <row r="129" spans="1:6">
      <c r="A129">
        <v>22</v>
      </c>
      <c r="B129" s="489" t="str">
        <f t="shared" si="18"/>
        <v>S4</v>
      </c>
      <c r="C129" s="489" t="str">
        <f t="shared" si="18"/>
        <v>QuadSext</v>
      </c>
      <c r="D129" s="489">
        <f t="shared" si="18"/>
        <v>0.4</v>
      </c>
      <c r="E129" s="489"/>
      <c r="F129" s="489">
        <f>M$3</f>
        <v>3.1435474999999995</v>
      </c>
    </row>
    <row r="130" spans="1:6">
      <c r="A130">
        <v>22</v>
      </c>
      <c r="B130" s="489" t="str">
        <f>I$4</f>
        <v>S6</v>
      </c>
      <c r="C130" s="489" t="str">
        <f>J$4</f>
        <v>QuadSext</v>
      </c>
      <c r="D130" s="489">
        <f>K$4</f>
        <v>0.4</v>
      </c>
      <c r="E130" s="489"/>
      <c r="F130" s="489">
        <f>M$4</f>
        <v>-3.9457974999999998</v>
      </c>
    </row>
    <row r="131" spans="1:6">
      <c r="A131">
        <v>22</v>
      </c>
      <c r="B131" s="489" t="str">
        <f>I$5</f>
        <v>S13</v>
      </c>
      <c r="C131" s="489" t="str">
        <f>J$5</f>
        <v>QuadSext</v>
      </c>
      <c r="D131" s="489">
        <f>K$5</f>
        <v>0.4</v>
      </c>
      <c r="E131" s="489">
        <f>K$45/D131</f>
        <v>0</v>
      </c>
      <c r="F131" s="489">
        <f>V$5</f>
        <v>-7.1366798618340574</v>
      </c>
    </row>
    <row r="132" spans="1:6">
      <c r="A132">
        <v>22</v>
      </c>
      <c r="B132" s="489" t="str">
        <f>I$6</f>
        <v>S19</v>
      </c>
      <c r="C132" s="489" t="str">
        <f>J$6</f>
        <v>QuadSext</v>
      </c>
      <c r="D132" s="489">
        <f>K$6</f>
        <v>0.4</v>
      </c>
      <c r="E132" s="489"/>
      <c r="F132" s="489">
        <f>V$6</f>
        <v>12.128855874276224</v>
      </c>
    </row>
    <row r="133" spans="1:6">
      <c r="A133">
        <v>22</v>
      </c>
      <c r="B133" s="489" t="str">
        <f>I$7</f>
        <v>S20</v>
      </c>
      <c r="C133" s="489" t="str">
        <f>J$7</f>
        <v>QuadSext</v>
      </c>
      <c r="D133" s="489">
        <f>K$7</f>
        <v>0.4</v>
      </c>
      <c r="E133" s="489"/>
      <c r="F133" s="489">
        <f>V$7</f>
        <v>-7.1366798618340574</v>
      </c>
    </row>
    <row r="134" spans="1:6">
      <c r="A134">
        <v>22</v>
      </c>
      <c r="B134" s="489" t="str">
        <f>I$8</f>
        <v>S22</v>
      </c>
      <c r="C134" s="489" t="str">
        <f>J$8</f>
        <v>QuadSext</v>
      </c>
      <c r="D134" s="489">
        <f>K$8</f>
        <v>0.4</v>
      </c>
      <c r="E134" s="489"/>
      <c r="F134" s="489">
        <f>M$8</f>
        <v>-2.0359174999999996</v>
      </c>
    </row>
    <row r="135" spans="1:6">
      <c r="A135">
        <v>22</v>
      </c>
      <c r="B135" s="489" t="str">
        <f t="shared" ref="B135:D136" si="19">I$9</f>
        <v>S24</v>
      </c>
      <c r="C135" s="489" t="str">
        <f t="shared" si="19"/>
        <v>QuadSext</v>
      </c>
      <c r="D135" s="489">
        <f t="shared" si="19"/>
        <v>0.4</v>
      </c>
      <c r="E135" s="489"/>
      <c r="F135" s="489">
        <f>M$9</f>
        <v>3.4278599999999995</v>
      </c>
    </row>
    <row r="136" spans="1:6">
      <c r="A136">
        <v>23</v>
      </c>
      <c r="B136" s="489" t="str">
        <f t="shared" si="19"/>
        <v>S24</v>
      </c>
      <c r="C136" s="489" t="str">
        <f t="shared" si="19"/>
        <v>QuadSext</v>
      </c>
      <c r="D136" s="489">
        <f t="shared" si="19"/>
        <v>0.4</v>
      </c>
      <c r="E136" s="489"/>
      <c r="F136" s="489">
        <f>M$9</f>
        <v>3.4278599999999995</v>
      </c>
    </row>
    <row r="137" spans="1:6">
      <c r="A137">
        <v>23</v>
      </c>
      <c r="B137" s="489" t="str">
        <f>I$8</f>
        <v>S22</v>
      </c>
      <c r="C137" s="489" t="str">
        <f>J$8</f>
        <v>QuadSext</v>
      </c>
      <c r="D137" s="489">
        <f>K$8</f>
        <v>0.4</v>
      </c>
      <c r="E137" s="489"/>
      <c r="F137" s="489">
        <f>M$8</f>
        <v>-2.0359174999999996</v>
      </c>
    </row>
    <row r="138" spans="1:6">
      <c r="A138">
        <v>23</v>
      </c>
      <c r="B138" s="489" t="str">
        <f>I$7</f>
        <v>S20</v>
      </c>
      <c r="C138" s="489" t="str">
        <f>J$7</f>
        <v>QuadSext</v>
      </c>
      <c r="D138" s="489">
        <f>K$7</f>
        <v>0.4</v>
      </c>
      <c r="E138" s="489"/>
      <c r="F138" s="489">
        <f>V$7</f>
        <v>-7.1366798618340574</v>
      </c>
    </row>
    <row r="139" spans="1:6">
      <c r="A139">
        <v>23</v>
      </c>
      <c r="B139" s="489" t="str">
        <f>I$6</f>
        <v>S19</v>
      </c>
      <c r="C139" s="489" t="str">
        <f>J$6</f>
        <v>QuadSext</v>
      </c>
      <c r="D139" s="489">
        <f>K$6</f>
        <v>0.4</v>
      </c>
      <c r="E139" s="489"/>
      <c r="F139" s="489">
        <f>V$6</f>
        <v>12.128855874276224</v>
      </c>
    </row>
    <row r="140" spans="1:6">
      <c r="A140">
        <v>23</v>
      </c>
      <c r="B140" s="489" t="str">
        <f>I$5</f>
        <v>S13</v>
      </c>
      <c r="C140" s="489" t="str">
        <f>J$5</f>
        <v>QuadSext</v>
      </c>
      <c r="D140" s="489">
        <f>K$5</f>
        <v>0.4</v>
      </c>
      <c r="E140" s="489"/>
      <c r="F140" s="489">
        <f>V$5</f>
        <v>-7.1366798618340574</v>
      </c>
    </row>
    <row r="141" spans="1:6">
      <c r="A141">
        <v>23</v>
      </c>
      <c r="B141" s="489" t="str">
        <f>I$4</f>
        <v>S6</v>
      </c>
      <c r="C141" s="489" t="str">
        <f>J$4</f>
        <v>QuadSext</v>
      </c>
      <c r="D141" s="489">
        <f>K$4</f>
        <v>0.4</v>
      </c>
      <c r="E141" s="489"/>
      <c r="F141" s="489">
        <f>M$4</f>
        <v>-3.9457974999999998</v>
      </c>
    </row>
    <row r="142" spans="1:6">
      <c r="A142">
        <v>23</v>
      </c>
      <c r="B142" s="489" t="str">
        <f t="shared" ref="B142:D143" si="20">I$3</f>
        <v>S4</v>
      </c>
      <c r="C142" s="489" t="str">
        <f t="shared" si="20"/>
        <v>QuadSext</v>
      </c>
      <c r="D142" s="489">
        <f t="shared" si="20"/>
        <v>0.4</v>
      </c>
      <c r="E142" s="489">
        <f>K$46/D142</f>
        <v>0</v>
      </c>
      <c r="F142" s="489">
        <f>M$3</f>
        <v>3.1435474999999995</v>
      </c>
    </row>
    <row r="143" spans="1:6">
      <c r="A143">
        <v>24</v>
      </c>
      <c r="B143" s="489" t="str">
        <f t="shared" si="20"/>
        <v>S4</v>
      </c>
      <c r="C143" s="489" t="str">
        <f t="shared" si="20"/>
        <v>QuadSext</v>
      </c>
      <c r="D143" s="489">
        <f t="shared" si="20"/>
        <v>0.4</v>
      </c>
      <c r="E143" s="489"/>
      <c r="F143" s="489">
        <f>M$3</f>
        <v>3.1435474999999995</v>
      </c>
    </row>
    <row r="144" spans="1:6">
      <c r="A144">
        <v>24</v>
      </c>
      <c r="B144" s="489" t="str">
        <f>I$4</f>
        <v>S6</v>
      </c>
      <c r="C144" s="489" t="str">
        <f>J$4</f>
        <v>QuadSext</v>
      </c>
      <c r="D144" s="489">
        <f>K$4</f>
        <v>0.4</v>
      </c>
      <c r="E144" s="489"/>
      <c r="F144" s="489">
        <f>M$4</f>
        <v>-3.9457974999999998</v>
      </c>
    </row>
    <row r="145" spans="1:6">
      <c r="A145">
        <v>24</v>
      </c>
      <c r="B145" s="489" t="str">
        <f>I$5</f>
        <v>S13</v>
      </c>
      <c r="C145" s="489" t="str">
        <f>J$5</f>
        <v>QuadSext</v>
      </c>
      <c r="D145" s="489">
        <f>K$5</f>
        <v>0.4</v>
      </c>
      <c r="E145" s="489"/>
      <c r="F145" s="489">
        <f>V$5</f>
        <v>-7.1366798618340574</v>
      </c>
    </row>
    <row r="146" spans="1:6">
      <c r="A146">
        <v>24</v>
      </c>
      <c r="B146" s="489" t="str">
        <f>I$6</f>
        <v>S19</v>
      </c>
      <c r="C146" s="489" t="str">
        <f>J$6</f>
        <v>QuadSext</v>
      </c>
      <c r="D146" s="489">
        <f>K$6</f>
        <v>0.4</v>
      </c>
      <c r="E146" s="489"/>
      <c r="F146" s="489">
        <f>V$6</f>
        <v>12.128855874276224</v>
      </c>
    </row>
    <row r="147" spans="1:6">
      <c r="A147">
        <v>24</v>
      </c>
      <c r="B147" s="489" t="str">
        <f>I$7</f>
        <v>S20</v>
      </c>
      <c r="C147" s="489" t="str">
        <f>J$7</f>
        <v>QuadSext</v>
      </c>
      <c r="D147" s="489">
        <f>K$7</f>
        <v>0.4</v>
      </c>
      <c r="E147" s="489"/>
      <c r="F147" s="489">
        <f>V$7</f>
        <v>-7.1366798618340574</v>
      </c>
    </row>
    <row r="148" spans="1:6">
      <c r="A148">
        <v>24</v>
      </c>
      <c r="B148" s="489" t="str">
        <f>I$8</f>
        <v>S22</v>
      </c>
      <c r="C148" s="489" t="str">
        <f>J$8</f>
        <v>QuadSext</v>
      </c>
      <c r="D148" s="489">
        <f>K$8</f>
        <v>0.4</v>
      </c>
      <c r="E148" s="489"/>
      <c r="F148" s="489">
        <f>M$8</f>
        <v>-2.0359174999999996</v>
      </c>
    </row>
    <row r="149" spans="1:6">
      <c r="A149">
        <v>24</v>
      </c>
      <c r="B149" s="489" t="str">
        <f t="shared" ref="B149:D150" si="21">I$9</f>
        <v>S24</v>
      </c>
      <c r="C149" s="489" t="str">
        <f t="shared" si="21"/>
        <v>QuadSext</v>
      </c>
      <c r="D149" s="489">
        <f t="shared" si="21"/>
        <v>0.4</v>
      </c>
      <c r="E149" s="489"/>
      <c r="F149" s="489">
        <f>M$9</f>
        <v>3.4278599999999995</v>
      </c>
    </row>
    <row r="150" spans="1:6">
      <c r="A150">
        <v>25</v>
      </c>
      <c r="B150" s="489" t="str">
        <f t="shared" si="21"/>
        <v>S24</v>
      </c>
      <c r="C150" s="489" t="str">
        <f t="shared" si="21"/>
        <v>QuadSext</v>
      </c>
      <c r="D150" s="489">
        <f t="shared" si="21"/>
        <v>0.4</v>
      </c>
      <c r="E150" s="489"/>
      <c r="F150" s="489">
        <f>M$9</f>
        <v>3.4278599999999995</v>
      </c>
    </row>
    <row r="151" spans="1:6">
      <c r="A151">
        <v>25</v>
      </c>
      <c r="B151" s="489" t="str">
        <f>I$8</f>
        <v>S22</v>
      </c>
      <c r="C151" s="489" t="str">
        <f>J$8</f>
        <v>QuadSext</v>
      </c>
      <c r="D151" s="489">
        <f>K$8</f>
        <v>0.4</v>
      </c>
      <c r="E151" s="489"/>
      <c r="F151" s="489">
        <f>M$8</f>
        <v>-2.0359174999999996</v>
      </c>
    </row>
    <row r="152" spans="1:6">
      <c r="A152">
        <v>25</v>
      </c>
      <c r="B152" s="489" t="str">
        <f>I$7</f>
        <v>S20</v>
      </c>
      <c r="C152" s="489" t="str">
        <f>J$7</f>
        <v>QuadSext</v>
      </c>
      <c r="D152" s="489">
        <f>K$7</f>
        <v>0.4</v>
      </c>
      <c r="E152" s="489"/>
      <c r="F152" s="489">
        <f>V$7</f>
        <v>-7.1366798618340574</v>
      </c>
    </row>
    <row r="153" spans="1:6">
      <c r="A153">
        <v>25</v>
      </c>
      <c r="B153" s="489" t="str">
        <f>I$6</f>
        <v>S19</v>
      </c>
      <c r="C153" s="489" t="str">
        <f>J$6</f>
        <v>QuadSext</v>
      </c>
      <c r="D153" s="489">
        <f>K$6</f>
        <v>0.4</v>
      </c>
      <c r="E153" s="489"/>
      <c r="F153" s="489">
        <f>V$6</f>
        <v>12.128855874276224</v>
      </c>
    </row>
    <row r="154" spans="1:6">
      <c r="A154">
        <v>25</v>
      </c>
      <c r="B154" s="489" t="str">
        <f>I$5</f>
        <v>S13</v>
      </c>
      <c r="C154" s="489" t="str">
        <f>J$5</f>
        <v>QuadSext</v>
      </c>
      <c r="D154" s="489">
        <f>K$5</f>
        <v>0.4</v>
      </c>
      <c r="E154" s="489">
        <f>K$47/D154</f>
        <v>0</v>
      </c>
      <c r="F154" s="489">
        <f>V$5</f>
        <v>-7.1366798618340574</v>
      </c>
    </row>
    <row r="155" spans="1:6">
      <c r="A155">
        <v>25</v>
      </c>
      <c r="B155" s="489" t="str">
        <f>I$4</f>
        <v>S6</v>
      </c>
      <c r="C155" s="489" t="str">
        <f>J$4</f>
        <v>QuadSext</v>
      </c>
      <c r="D155" s="489">
        <f>K$4</f>
        <v>0.4</v>
      </c>
      <c r="E155" s="489"/>
      <c r="F155" s="489">
        <f>M$4</f>
        <v>-3.9457974999999998</v>
      </c>
    </row>
    <row r="156" spans="1:6">
      <c r="A156">
        <v>25</v>
      </c>
      <c r="B156" s="489" t="str">
        <f t="shared" ref="B156:D157" si="22">I$3</f>
        <v>S4</v>
      </c>
      <c r="C156" s="489" t="str">
        <f t="shared" si="22"/>
        <v>QuadSext</v>
      </c>
      <c r="D156" s="489">
        <f t="shared" si="22"/>
        <v>0.4</v>
      </c>
      <c r="E156" s="489"/>
      <c r="F156" s="489">
        <f>M$3</f>
        <v>3.1435474999999995</v>
      </c>
    </row>
    <row r="157" spans="1:6">
      <c r="A157">
        <v>26</v>
      </c>
      <c r="B157" s="489" t="str">
        <f t="shared" si="22"/>
        <v>S4</v>
      </c>
      <c r="C157" s="489" t="str">
        <f t="shared" si="22"/>
        <v>QuadSext</v>
      </c>
      <c r="D157" s="489">
        <f t="shared" si="22"/>
        <v>0.4</v>
      </c>
      <c r="E157" s="489"/>
      <c r="F157" s="489">
        <f>M$3</f>
        <v>3.1435474999999995</v>
      </c>
    </row>
    <row r="158" spans="1:6">
      <c r="A158">
        <v>26</v>
      </c>
      <c r="B158" s="489" t="str">
        <f>I$4</f>
        <v>S6</v>
      </c>
      <c r="C158" s="489" t="str">
        <f>J$4</f>
        <v>QuadSext</v>
      </c>
      <c r="D158" s="489">
        <f>K$4</f>
        <v>0.4</v>
      </c>
      <c r="E158" s="489"/>
      <c r="F158" s="489">
        <f>M$4</f>
        <v>-3.9457974999999998</v>
      </c>
    </row>
    <row r="159" spans="1:6">
      <c r="A159">
        <v>26</v>
      </c>
      <c r="B159" s="489" t="str">
        <f>I$5</f>
        <v>S13</v>
      </c>
      <c r="C159" s="489" t="str">
        <f>J$5</f>
        <v>QuadSext</v>
      </c>
      <c r="D159" s="489">
        <f>K$5</f>
        <v>0.4</v>
      </c>
      <c r="E159" s="489"/>
      <c r="F159" s="489">
        <f>V$5</f>
        <v>-7.1366798618340574</v>
      </c>
    </row>
    <row r="160" spans="1:6">
      <c r="A160">
        <v>26</v>
      </c>
      <c r="B160" s="489" t="str">
        <f>I$6</f>
        <v>S19</v>
      </c>
      <c r="C160" s="489" t="str">
        <f>J$6</f>
        <v>QuadSext</v>
      </c>
      <c r="D160" s="489">
        <f>K$6</f>
        <v>0.4</v>
      </c>
      <c r="E160" s="489"/>
      <c r="F160" s="489">
        <f>V$6</f>
        <v>12.128855874276224</v>
      </c>
    </row>
    <row r="161" spans="1:6">
      <c r="A161">
        <v>26</v>
      </c>
      <c r="B161" s="489" t="str">
        <f>I$7</f>
        <v>S20</v>
      </c>
      <c r="C161" s="489" t="str">
        <f>J$7</f>
        <v>QuadSext</v>
      </c>
      <c r="D161" s="489">
        <f>K$7</f>
        <v>0.4</v>
      </c>
      <c r="E161" s="489"/>
      <c r="F161" s="489">
        <f>V$7</f>
        <v>-7.1366798618340574</v>
      </c>
    </row>
    <row r="162" spans="1:6">
      <c r="A162">
        <v>26</v>
      </c>
      <c r="B162" s="489" t="str">
        <f>I$8</f>
        <v>S22</v>
      </c>
      <c r="C162" s="489" t="str">
        <f>J$8</f>
        <v>QuadSext</v>
      </c>
      <c r="D162" s="489">
        <f>K$8</f>
        <v>0.4</v>
      </c>
      <c r="E162" s="489"/>
      <c r="F162" s="489">
        <f>M$8</f>
        <v>-2.0359174999999996</v>
      </c>
    </row>
    <row r="163" spans="1:6">
      <c r="A163">
        <v>26</v>
      </c>
      <c r="B163" s="489" t="str">
        <f t="shared" ref="B163:D164" si="23">I$9</f>
        <v>S24</v>
      </c>
      <c r="C163" s="489" t="str">
        <f t="shared" si="23"/>
        <v>QuadSext</v>
      </c>
      <c r="D163" s="489">
        <f t="shared" si="23"/>
        <v>0.4</v>
      </c>
      <c r="E163" s="489">
        <f>K$48/D163</f>
        <v>0</v>
      </c>
      <c r="F163" s="489">
        <f>M$9</f>
        <v>3.4278599999999995</v>
      </c>
    </row>
    <row r="164" spans="1:6">
      <c r="A164">
        <v>27</v>
      </c>
      <c r="B164" s="489" t="str">
        <f t="shared" si="23"/>
        <v>S24</v>
      </c>
      <c r="C164" s="489" t="str">
        <f t="shared" si="23"/>
        <v>QuadSext</v>
      </c>
      <c r="D164" s="489">
        <f t="shared" si="23"/>
        <v>0.4</v>
      </c>
      <c r="E164" s="489"/>
      <c r="F164" s="489">
        <f>M$9</f>
        <v>3.4278599999999995</v>
      </c>
    </row>
    <row r="165" spans="1:6">
      <c r="A165">
        <v>27</v>
      </c>
      <c r="B165" s="489" t="str">
        <f>I$8</f>
        <v>S22</v>
      </c>
      <c r="C165" s="489" t="str">
        <f>J$8</f>
        <v>QuadSext</v>
      </c>
      <c r="D165" s="489">
        <f>K$8</f>
        <v>0.4</v>
      </c>
      <c r="E165" s="489"/>
      <c r="F165" s="489">
        <f>M$8</f>
        <v>-2.0359174999999996</v>
      </c>
    </row>
    <row r="166" spans="1:6">
      <c r="A166">
        <v>27</v>
      </c>
      <c r="B166" s="489" t="str">
        <f>I$7</f>
        <v>S20</v>
      </c>
      <c r="C166" s="489" t="str">
        <f>J$7</f>
        <v>QuadSext</v>
      </c>
      <c r="D166" s="489">
        <f>K$7</f>
        <v>0.4</v>
      </c>
      <c r="E166" s="489"/>
      <c r="F166" s="489">
        <f>V$7</f>
        <v>-7.1366798618340574</v>
      </c>
    </row>
    <row r="167" spans="1:6">
      <c r="A167">
        <v>27</v>
      </c>
      <c r="B167" s="489" t="str">
        <f>I$6</f>
        <v>S19</v>
      </c>
      <c r="C167" s="489" t="str">
        <f>J$6</f>
        <v>QuadSext</v>
      </c>
      <c r="D167" s="489">
        <f>K$6</f>
        <v>0.4</v>
      </c>
      <c r="E167" s="489"/>
      <c r="F167" s="489">
        <f>V$6</f>
        <v>12.128855874276224</v>
      </c>
    </row>
    <row r="168" spans="1:6">
      <c r="A168">
        <v>27</v>
      </c>
      <c r="B168" s="489" t="str">
        <f>I$5</f>
        <v>S13</v>
      </c>
      <c r="C168" s="489" t="str">
        <f>J$5</f>
        <v>QuadSext</v>
      </c>
      <c r="D168" s="489">
        <f>K$5</f>
        <v>0.4</v>
      </c>
      <c r="E168" s="489">
        <f>K$49/D168</f>
        <v>0</v>
      </c>
      <c r="F168" s="489">
        <f>V$5</f>
        <v>-7.1366798618340574</v>
      </c>
    </row>
    <row r="169" spans="1:6">
      <c r="A169">
        <v>27</v>
      </c>
      <c r="B169" s="489" t="str">
        <f>I$4</f>
        <v>S6</v>
      </c>
      <c r="C169" s="489" t="str">
        <f>J$4</f>
        <v>QuadSext</v>
      </c>
      <c r="D169" s="489">
        <f>K$4</f>
        <v>0.4</v>
      </c>
      <c r="E169" s="489"/>
      <c r="F169" s="489">
        <f>M$4</f>
        <v>-3.9457974999999998</v>
      </c>
    </row>
    <row r="170" spans="1:6">
      <c r="A170">
        <v>27</v>
      </c>
      <c r="B170" s="489" t="str">
        <f t="shared" ref="B170:D171" si="24">I$3</f>
        <v>S4</v>
      </c>
      <c r="C170" s="489" t="str">
        <f t="shared" si="24"/>
        <v>QuadSext</v>
      </c>
      <c r="D170" s="489">
        <f t="shared" si="24"/>
        <v>0.4</v>
      </c>
      <c r="E170" s="489"/>
      <c r="F170" s="489">
        <f>M$3</f>
        <v>3.1435474999999995</v>
      </c>
    </row>
    <row r="171" spans="1:6">
      <c r="A171">
        <v>28</v>
      </c>
      <c r="B171" s="489" t="str">
        <f t="shared" si="24"/>
        <v>S4</v>
      </c>
      <c r="C171" s="489" t="str">
        <f t="shared" si="24"/>
        <v>QuadSext</v>
      </c>
      <c r="D171" s="489">
        <f t="shared" si="24"/>
        <v>0.4</v>
      </c>
      <c r="E171" s="489">
        <f>K$50/D171</f>
        <v>0</v>
      </c>
      <c r="F171" s="489">
        <f>M$3</f>
        <v>3.1435474999999995</v>
      </c>
    </row>
    <row r="172" spans="1:6">
      <c r="A172">
        <v>28</v>
      </c>
      <c r="B172" s="489" t="str">
        <f>I$4</f>
        <v>S6</v>
      </c>
      <c r="C172" s="489" t="str">
        <f>J$4</f>
        <v>QuadSext</v>
      </c>
      <c r="D172" s="489">
        <f>K$4</f>
        <v>0.4</v>
      </c>
      <c r="E172" s="489"/>
      <c r="F172" s="489">
        <f>M$4</f>
        <v>-3.9457974999999998</v>
      </c>
    </row>
    <row r="173" spans="1:6">
      <c r="A173">
        <v>28</v>
      </c>
      <c r="B173" s="489" t="str">
        <f>I$5</f>
        <v>S13</v>
      </c>
      <c r="C173" s="489" t="str">
        <f>J$5</f>
        <v>QuadSext</v>
      </c>
      <c r="D173" s="489">
        <f>K$5</f>
        <v>0.4</v>
      </c>
      <c r="E173" s="489"/>
      <c r="F173" s="489">
        <f>V$5</f>
        <v>-7.1366798618340574</v>
      </c>
    </row>
    <row r="174" spans="1:6">
      <c r="A174">
        <v>28</v>
      </c>
      <c r="B174" s="489" t="str">
        <f>I$6</f>
        <v>S19</v>
      </c>
      <c r="C174" s="489" t="str">
        <f>J$6</f>
        <v>QuadSext</v>
      </c>
      <c r="D174" s="489">
        <f>K$6</f>
        <v>0.4</v>
      </c>
      <c r="E174" s="489"/>
      <c r="F174" s="489">
        <f>V$6</f>
        <v>12.128855874276224</v>
      </c>
    </row>
    <row r="175" spans="1:6">
      <c r="A175">
        <v>28</v>
      </c>
      <c r="B175" s="489" t="str">
        <f>I$7</f>
        <v>S20</v>
      </c>
      <c r="C175" s="489" t="str">
        <f>J$7</f>
        <v>QuadSext</v>
      </c>
      <c r="D175" s="489">
        <f>K$7</f>
        <v>0.4</v>
      </c>
      <c r="E175" s="489"/>
      <c r="F175" s="489">
        <f>V$7</f>
        <v>-7.1366798618340574</v>
      </c>
    </row>
    <row r="176" spans="1:6">
      <c r="A176">
        <v>28</v>
      </c>
      <c r="B176" s="489" t="str">
        <f>I$8</f>
        <v>S22</v>
      </c>
      <c r="C176" s="489" t="str">
        <f>J$8</f>
        <v>QuadSext</v>
      </c>
      <c r="D176" s="489">
        <f>K$8</f>
        <v>0.4</v>
      </c>
      <c r="E176" s="489"/>
      <c r="F176" s="489">
        <f>M$8</f>
        <v>-2.0359174999999996</v>
      </c>
    </row>
    <row r="177" spans="1:6">
      <c r="A177">
        <v>28</v>
      </c>
      <c r="B177" s="489" t="str">
        <f t="shared" ref="B177:D178" si="25">I$9</f>
        <v>S24</v>
      </c>
      <c r="C177" s="489" t="str">
        <f t="shared" si="25"/>
        <v>QuadSext</v>
      </c>
      <c r="D177" s="489">
        <f t="shared" si="25"/>
        <v>0.4</v>
      </c>
      <c r="E177" s="489">
        <f>K$51/D177</f>
        <v>0</v>
      </c>
      <c r="F177" s="489">
        <f>M$9</f>
        <v>3.4278599999999995</v>
      </c>
    </row>
    <row r="178" spans="1:6">
      <c r="A178">
        <v>29</v>
      </c>
      <c r="B178" s="489" t="str">
        <f t="shared" si="25"/>
        <v>S24</v>
      </c>
      <c r="C178" s="489" t="str">
        <f t="shared" si="25"/>
        <v>QuadSext</v>
      </c>
      <c r="D178" s="489">
        <f t="shared" si="25"/>
        <v>0.4</v>
      </c>
      <c r="E178" s="489"/>
      <c r="F178" s="489">
        <f>M$9</f>
        <v>3.4278599999999995</v>
      </c>
    </row>
    <row r="179" spans="1:6">
      <c r="A179">
        <v>29</v>
      </c>
      <c r="B179" s="489" t="str">
        <f>I$8</f>
        <v>S22</v>
      </c>
      <c r="C179" s="489" t="str">
        <f>J$8</f>
        <v>QuadSext</v>
      </c>
      <c r="D179" s="489">
        <f>K$8</f>
        <v>0.4</v>
      </c>
      <c r="E179" s="489"/>
      <c r="F179" s="489">
        <f>M$8</f>
        <v>-2.0359174999999996</v>
      </c>
    </row>
    <row r="180" spans="1:6">
      <c r="A180">
        <v>29</v>
      </c>
      <c r="B180" s="489" t="str">
        <f>I$7</f>
        <v>S20</v>
      </c>
      <c r="C180" s="489" t="str">
        <f>J$7</f>
        <v>QuadSext</v>
      </c>
      <c r="D180" s="489">
        <f>K$7</f>
        <v>0.4</v>
      </c>
      <c r="E180" s="489"/>
      <c r="F180" s="489">
        <f>V$7</f>
        <v>-7.1366798618340574</v>
      </c>
    </row>
    <row r="181" spans="1:6">
      <c r="A181">
        <v>29</v>
      </c>
      <c r="B181" s="489" t="str">
        <f>I$6</f>
        <v>S19</v>
      </c>
      <c r="C181" s="489" t="str">
        <f>J$6</f>
        <v>QuadSext</v>
      </c>
      <c r="D181" s="489">
        <f>K$6</f>
        <v>0.4</v>
      </c>
      <c r="E181" s="489"/>
      <c r="F181" s="489">
        <f>V$6</f>
        <v>12.128855874276224</v>
      </c>
    </row>
    <row r="182" spans="1:6">
      <c r="A182">
        <v>29</v>
      </c>
      <c r="B182" s="489" t="str">
        <f>I$5</f>
        <v>S13</v>
      </c>
      <c r="C182" s="489" t="str">
        <f>J$5</f>
        <v>QuadSext</v>
      </c>
      <c r="D182" s="489">
        <f>K$5</f>
        <v>0.4</v>
      </c>
      <c r="E182" s="489">
        <f>K$52/D182</f>
        <v>0</v>
      </c>
      <c r="F182" s="489">
        <f>V$5</f>
        <v>-7.1366798618340574</v>
      </c>
    </row>
    <row r="183" spans="1:6">
      <c r="A183">
        <v>29</v>
      </c>
      <c r="B183" s="489" t="str">
        <f>I$4</f>
        <v>S6</v>
      </c>
      <c r="C183" s="489" t="str">
        <f>J$4</f>
        <v>QuadSext</v>
      </c>
      <c r="D183" s="489">
        <f>K$4</f>
        <v>0.4</v>
      </c>
      <c r="E183" s="489"/>
      <c r="F183" s="489">
        <f>M$4</f>
        <v>-3.9457974999999998</v>
      </c>
    </row>
    <row r="184" spans="1:6">
      <c r="A184">
        <v>29</v>
      </c>
      <c r="B184" s="489" t="str">
        <f t="shared" ref="B184:D185" si="26">I$3</f>
        <v>S4</v>
      </c>
      <c r="C184" s="489" t="str">
        <f t="shared" si="26"/>
        <v>QuadSext</v>
      </c>
      <c r="D184" s="489">
        <f t="shared" si="26"/>
        <v>0.4</v>
      </c>
      <c r="E184" s="489"/>
      <c r="F184" s="489">
        <f>M$3</f>
        <v>3.1435474999999995</v>
      </c>
    </row>
    <row r="185" spans="1:6">
      <c r="A185">
        <v>30</v>
      </c>
      <c r="B185" s="489" t="str">
        <f t="shared" si="26"/>
        <v>S4</v>
      </c>
      <c r="C185" s="489" t="str">
        <f t="shared" si="26"/>
        <v>QuadSext</v>
      </c>
      <c r="D185" s="489">
        <f t="shared" si="26"/>
        <v>0.4</v>
      </c>
      <c r="E185" s="489"/>
      <c r="F185" s="489">
        <f>M$3</f>
        <v>3.1435474999999995</v>
      </c>
    </row>
    <row r="186" spans="1:6">
      <c r="A186">
        <v>30</v>
      </c>
      <c r="B186" s="489" t="str">
        <f>I$4</f>
        <v>S6</v>
      </c>
      <c r="C186" s="489" t="str">
        <f>J$4</f>
        <v>QuadSext</v>
      </c>
      <c r="D186" s="489">
        <f>K$4</f>
        <v>0.4</v>
      </c>
      <c r="E186" s="489"/>
      <c r="F186" s="489">
        <f>M$4</f>
        <v>-3.9457974999999998</v>
      </c>
    </row>
    <row r="187" spans="1:6">
      <c r="A187">
        <v>30</v>
      </c>
      <c r="B187" s="489" t="str">
        <f>I$5</f>
        <v>S13</v>
      </c>
      <c r="C187" s="489" t="str">
        <f>J$5</f>
        <v>QuadSext</v>
      </c>
      <c r="D187" s="489">
        <f>K$5</f>
        <v>0.4</v>
      </c>
      <c r="E187" s="489"/>
      <c r="F187" s="489">
        <f>V$5</f>
        <v>-7.1366798618340574</v>
      </c>
    </row>
    <row r="188" spans="1:6">
      <c r="A188">
        <v>30</v>
      </c>
      <c r="B188" s="489" t="str">
        <f>I$6</f>
        <v>S19</v>
      </c>
      <c r="C188" s="489" t="str">
        <f>J$6</f>
        <v>QuadSext</v>
      </c>
      <c r="D188" s="489">
        <f>K$6</f>
        <v>0.4</v>
      </c>
      <c r="E188" s="489"/>
      <c r="F188" s="489">
        <f>V$6</f>
        <v>12.128855874276224</v>
      </c>
    </row>
    <row r="189" spans="1:6">
      <c r="A189">
        <v>30</v>
      </c>
      <c r="B189" s="489" t="str">
        <f>I$7</f>
        <v>S20</v>
      </c>
      <c r="C189" s="489" t="str">
        <f>J$7</f>
        <v>QuadSext</v>
      </c>
      <c r="D189" s="489">
        <f>K$7</f>
        <v>0.4</v>
      </c>
      <c r="E189" s="489">
        <f>K$53/D189</f>
        <v>0</v>
      </c>
      <c r="F189" s="489">
        <f>V$7</f>
        <v>-7.1366798618340574</v>
      </c>
    </row>
    <row r="190" spans="1:6">
      <c r="A190">
        <v>30</v>
      </c>
      <c r="B190" s="489" t="str">
        <f>I$8</f>
        <v>S22</v>
      </c>
      <c r="C190" s="489" t="str">
        <f>J$8</f>
        <v>QuadSext</v>
      </c>
      <c r="D190" s="489">
        <f>K$8</f>
        <v>0.4</v>
      </c>
      <c r="E190" s="489"/>
      <c r="F190" s="489">
        <f>M$8</f>
        <v>-2.0359174999999996</v>
      </c>
    </row>
    <row r="191" spans="1:6">
      <c r="A191">
        <v>30</v>
      </c>
      <c r="B191" s="489" t="str">
        <f t="shared" ref="B191:D192" si="27">I$9</f>
        <v>S24</v>
      </c>
      <c r="C191" s="489" t="str">
        <f t="shared" si="27"/>
        <v>QuadSext</v>
      </c>
      <c r="D191" s="489">
        <f t="shared" si="27"/>
        <v>0.4</v>
      </c>
      <c r="E191" s="489"/>
      <c r="F191" s="489">
        <f>M$9</f>
        <v>3.4278599999999995</v>
      </c>
    </row>
    <row r="192" spans="1:6">
      <c r="A192">
        <v>31</v>
      </c>
      <c r="B192" s="489" t="str">
        <f t="shared" si="27"/>
        <v>S24</v>
      </c>
      <c r="C192" s="489" t="str">
        <f t="shared" si="27"/>
        <v>QuadSext</v>
      </c>
      <c r="D192" s="489">
        <f t="shared" si="27"/>
        <v>0.4</v>
      </c>
      <c r="E192" s="489"/>
      <c r="F192" s="489">
        <f>M$9</f>
        <v>3.4278599999999995</v>
      </c>
    </row>
    <row r="193" spans="1:6">
      <c r="A193">
        <v>31</v>
      </c>
      <c r="B193" s="489" t="str">
        <f>I$8</f>
        <v>S22</v>
      </c>
      <c r="C193" s="489" t="str">
        <f>J$8</f>
        <v>QuadSext</v>
      </c>
      <c r="D193" s="489">
        <f>K$8</f>
        <v>0.4</v>
      </c>
      <c r="E193" s="489"/>
      <c r="F193" s="489">
        <f>M$8</f>
        <v>-2.0359174999999996</v>
      </c>
    </row>
    <row r="194" spans="1:6">
      <c r="A194">
        <v>31</v>
      </c>
      <c r="B194" s="489" t="str">
        <f>I$7</f>
        <v>S20</v>
      </c>
      <c r="C194" s="489" t="str">
        <f>J$7</f>
        <v>QuadSext</v>
      </c>
      <c r="D194" s="489">
        <f>K$7</f>
        <v>0.4</v>
      </c>
      <c r="E194" s="489"/>
      <c r="F194" s="489">
        <f>V$7</f>
        <v>-7.1366798618340574</v>
      </c>
    </row>
    <row r="195" spans="1:6">
      <c r="A195">
        <v>31</v>
      </c>
      <c r="B195" s="489" t="str">
        <f>I$6</f>
        <v>S19</v>
      </c>
      <c r="C195" s="489" t="str">
        <f>J$6</f>
        <v>QuadSext</v>
      </c>
      <c r="D195" s="489">
        <f>K$6</f>
        <v>0.4</v>
      </c>
      <c r="E195" s="489"/>
      <c r="F195" s="489">
        <f>V$6</f>
        <v>12.128855874276224</v>
      </c>
    </row>
    <row r="196" spans="1:6">
      <c r="A196">
        <v>31</v>
      </c>
      <c r="B196" s="489" t="str">
        <f>I$5</f>
        <v>S13</v>
      </c>
      <c r="C196" s="489" t="str">
        <f>J$5</f>
        <v>QuadSext</v>
      </c>
      <c r="D196" s="489">
        <f>K$5</f>
        <v>0.4</v>
      </c>
      <c r="E196" s="489">
        <f>K$54/D196</f>
        <v>0</v>
      </c>
      <c r="F196" s="489">
        <f>V$5</f>
        <v>-7.1366798618340574</v>
      </c>
    </row>
    <row r="197" spans="1:6">
      <c r="A197">
        <v>31</v>
      </c>
      <c r="B197" s="489" t="str">
        <f>I$4</f>
        <v>S6</v>
      </c>
      <c r="C197" s="489" t="str">
        <f>J$4</f>
        <v>QuadSext</v>
      </c>
      <c r="D197" s="489">
        <f>K$4</f>
        <v>0.4</v>
      </c>
      <c r="E197" s="489"/>
      <c r="F197" s="489">
        <f>M$4</f>
        <v>-3.9457974999999998</v>
      </c>
    </row>
    <row r="198" spans="1:6">
      <c r="A198">
        <v>31</v>
      </c>
      <c r="B198" s="489" t="str">
        <f t="shared" ref="B198:D199" si="28">I$3</f>
        <v>S4</v>
      </c>
      <c r="C198" s="489" t="str">
        <f t="shared" si="28"/>
        <v>QuadSext</v>
      </c>
      <c r="D198" s="489">
        <f t="shared" si="28"/>
        <v>0.4</v>
      </c>
      <c r="E198" s="489"/>
      <c r="F198" s="489">
        <f>M$3</f>
        <v>3.1435474999999995</v>
      </c>
    </row>
    <row r="199" spans="1:6">
      <c r="A199">
        <v>32</v>
      </c>
      <c r="B199" s="489" t="str">
        <f t="shared" si="28"/>
        <v>S4</v>
      </c>
      <c r="C199" s="489" t="str">
        <f t="shared" si="28"/>
        <v>QuadSext</v>
      </c>
      <c r="D199" s="489">
        <f t="shared" si="28"/>
        <v>0.4</v>
      </c>
      <c r="E199" s="489"/>
      <c r="F199" s="489">
        <f>M$3</f>
        <v>3.1435474999999995</v>
      </c>
    </row>
    <row r="200" spans="1:6">
      <c r="A200">
        <v>32</v>
      </c>
      <c r="B200" s="489" t="str">
        <f>I$4</f>
        <v>S6</v>
      </c>
      <c r="C200" s="489" t="str">
        <f>J$4</f>
        <v>QuadSext</v>
      </c>
      <c r="D200" s="489">
        <f>K$4</f>
        <v>0.4</v>
      </c>
      <c r="E200" s="489"/>
      <c r="F200" s="489">
        <f>M$4</f>
        <v>-3.9457974999999998</v>
      </c>
    </row>
    <row r="201" spans="1:6">
      <c r="A201">
        <v>32</v>
      </c>
      <c r="B201" s="489" t="str">
        <f>I$5</f>
        <v>S13</v>
      </c>
      <c r="C201" s="489" t="str">
        <f>J$5</f>
        <v>QuadSext</v>
      </c>
      <c r="D201" s="489">
        <f>K$5</f>
        <v>0.4</v>
      </c>
      <c r="E201" s="489">
        <f>K$55/D201</f>
        <v>0</v>
      </c>
      <c r="F201" s="489">
        <f>V$5</f>
        <v>-7.1366798618340574</v>
      </c>
    </row>
    <row r="202" spans="1:6">
      <c r="A202">
        <v>32</v>
      </c>
      <c r="B202" s="489" t="str">
        <f>I$6</f>
        <v>S19</v>
      </c>
      <c r="C202" s="489" t="str">
        <f>J$6</f>
        <v>QuadSext</v>
      </c>
      <c r="D202" s="489">
        <f>K$6</f>
        <v>0.4</v>
      </c>
      <c r="E202" s="489"/>
      <c r="F202" s="489">
        <f>V$6</f>
        <v>12.128855874276224</v>
      </c>
    </row>
    <row r="203" spans="1:6">
      <c r="A203">
        <v>32</v>
      </c>
      <c r="B203" s="489" t="str">
        <f>I$7</f>
        <v>S20</v>
      </c>
      <c r="C203" s="489" t="str">
        <f>J$7</f>
        <v>QuadSext</v>
      </c>
      <c r="D203" s="489">
        <f>K$7</f>
        <v>0.4</v>
      </c>
      <c r="E203" s="489"/>
      <c r="F203" s="489">
        <f>V$7</f>
        <v>-7.1366798618340574</v>
      </c>
    </row>
    <row r="204" spans="1:6">
      <c r="A204">
        <v>32</v>
      </c>
      <c r="B204" s="489" t="str">
        <f>I$8</f>
        <v>S22</v>
      </c>
      <c r="C204" s="489" t="str">
        <f>J$8</f>
        <v>QuadSext</v>
      </c>
      <c r="D204" s="489">
        <f>K$8</f>
        <v>0.4</v>
      </c>
      <c r="E204" s="489"/>
      <c r="F204" s="489">
        <f>M$8</f>
        <v>-2.0359174999999996</v>
      </c>
    </row>
    <row r="205" spans="1:6">
      <c r="A205">
        <v>32</v>
      </c>
      <c r="B205" s="489" t="str">
        <f t="shared" ref="B205:D206" si="29">I$9</f>
        <v>S24</v>
      </c>
      <c r="C205" s="489" t="str">
        <f t="shared" si="29"/>
        <v>QuadSext</v>
      </c>
      <c r="D205" s="489">
        <f t="shared" si="29"/>
        <v>0.4</v>
      </c>
      <c r="E205" s="489"/>
      <c r="F205" s="489">
        <f>M$9</f>
        <v>3.4278599999999995</v>
      </c>
    </row>
    <row r="206" spans="1:6">
      <c r="A206">
        <v>1</v>
      </c>
      <c r="B206" s="489" t="str">
        <f t="shared" si="29"/>
        <v>S24</v>
      </c>
      <c r="C206" s="489" t="str">
        <f t="shared" si="29"/>
        <v>QuadSext</v>
      </c>
      <c r="D206" s="489">
        <f t="shared" si="29"/>
        <v>0.4</v>
      </c>
      <c r="E206" s="489"/>
      <c r="F206" s="489">
        <f>M$9</f>
        <v>3.4278599999999995</v>
      </c>
    </row>
    <row r="207" spans="1:6">
      <c r="A207">
        <v>1</v>
      </c>
      <c r="B207" s="489" t="str">
        <f>I$8</f>
        <v>S22</v>
      </c>
      <c r="C207" s="489" t="str">
        <f>J$8</f>
        <v>QuadSext</v>
      </c>
      <c r="D207" s="489">
        <f>K$8</f>
        <v>0.4</v>
      </c>
      <c r="E207" s="489"/>
      <c r="F207" s="489">
        <f>M$8</f>
        <v>-2.0359174999999996</v>
      </c>
    </row>
    <row r="208" spans="1:6">
      <c r="A208">
        <v>1</v>
      </c>
      <c r="B208" s="489" t="str">
        <f>I$7</f>
        <v>S20</v>
      </c>
      <c r="C208" s="489" t="str">
        <f>J$7</f>
        <v>QuadSext</v>
      </c>
      <c r="D208" s="489">
        <f>K$7</f>
        <v>0.4</v>
      </c>
      <c r="E208" s="489"/>
      <c r="F208" s="489">
        <f>V$7</f>
        <v>-7.1366798618340574</v>
      </c>
    </row>
    <row r="209" spans="1:6">
      <c r="A209">
        <v>1</v>
      </c>
      <c r="B209" s="489" t="str">
        <f>I$6</f>
        <v>S19</v>
      </c>
      <c r="C209" s="489" t="str">
        <f>J$6</f>
        <v>QuadSext</v>
      </c>
      <c r="D209" s="489">
        <f>K$6</f>
        <v>0.4</v>
      </c>
      <c r="E209" s="489"/>
      <c r="F209" s="489">
        <f>V$6</f>
        <v>12.128855874276224</v>
      </c>
    </row>
    <row r="210" spans="1:6">
      <c r="A210">
        <v>1</v>
      </c>
      <c r="B210" s="489" t="str">
        <f>I$5</f>
        <v>S13</v>
      </c>
      <c r="C210" s="489" t="str">
        <f>J$5</f>
        <v>QuadSext</v>
      </c>
      <c r="D210" s="489">
        <f>K$5</f>
        <v>0.4</v>
      </c>
      <c r="E210" s="489"/>
      <c r="F210" s="489">
        <f>V$5</f>
        <v>-7.1366798618340574</v>
      </c>
    </row>
    <row r="211" spans="1:6">
      <c r="A211">
        <v>1</v>
      </c>
      <c r="B211" s="489" t="str">
        <f>I$4</f>
        <v>S6</v>
      </c>
      <c r="C211" s="489" t="str">
        <f>J$4</f>
        <v>QuadSext</v>
      </c>
      <c r="D211" s="489">
        <f>K$4</f>
        <v>0.4</v>
      </c>
      <c r="E211" s="489"/>
      <c r="F211" s="489">
        <f>M$4</f>
        <v>-3.9457974999999998</v>
      </c>
    </row>
    <row r="212" spans="1:6">
      <c r="A212">
        <v>1</v>
      </c>
      <c r="B212" s="489" t="str">
        <f t="shared" ref="B212:D213" si="30">I$3</f>
        <v>S4</v>
      </c>
      <c r="C212" s="489" t="str">
        <f t="shared" si="30"/>
        <v>QuadSext</v>
      </c>
      <c r="D212" s="489">
        <f t="shared" si="30"/>
        <v>0.4</v>
      </c>
      <c r="E212" s="489"/>
      <c r="F212" s="489">
        <f>M$3</f>
        <v>3.1435474999999995</v>
      </c>
    </row>
    <row r="213" spans="1:6">
      <c r="A213">
        <v>2</v>
      </c>
      <c r="B213" s="489" t="str">
        <f t="shared" si="30"/>
        <v>S4</v>
      </c>
      <c r="C213" s="489" t="str">
        <f t="shared" si="30"/>
        <v>QuadSext</v>
      </c>
      <c r="D213" s="489">
        <f t="shared" si="30"/>
        <v>0.4</v>
      </c>
      <c r="E213" s="489"/>
      <c r="F213" s="489">
        <f>M$3</f>
        <v>3.1435474999999995</v>
      </c>
    </row>
    <row r="214" spans="1:6">
      <c r="A214">
        <v>2</v>
      </c>
      <c r="B214" s="489" t="str">
        <f>I$4</f>
        <v>S6</v>
      </c>
      <c r="C214" s="489" t="str">
        <f>J$4</f>
        <v>QuadSext</v>
      </c>
      <c r="D214" s="489">
        <f>K$4</f>
        <v>0.4</v>
      </c>
      <c r="E214" s="489"/>
      <c r="F214" s="489">
        <f>M$4</f>
        <v>-3.9457974999999998</v>
      </c>
    </row>
    <row r="215" spans="1:6">
      <c r="A215">
        <v>2</v>
      </c>
      <c r="B215" s="489" t="str">
        <f>I$5</f>
        <v>S13</v>
      </c>
      <c r="C215" s="489" t="str">
        <f>J$5</f>
        <v>QuadSext</v>
      </c>
      <c r="D215" s="489">
        <f>K$5</f>
        <v>0.4</v>
      </c>
      <c r="E215" s="489"/>
      <c r="F215" s="489">
        <f>V$5</f>
        <v>-7.1366798618340574</v>
      </c>
    </row>
    <row r="216" spans="1:6">
      <c r="A216">
        <v>2</v>
      </c>
      <c r="B216" s="489" t="str">
        <f>I$6</f>
        <v>S19</v>
      </c>
      <c r="C216" s="489" t="str">
        <f>J$6</f>
        <v>QuadSext</v>
      </c>
      <c r="D216" s="489">
        <f>K$6</f>
        <v>0.4</v>
      </c>
      <c r="E216" s="489"/>
      <c r="F216" s="489">
        <f>V$6</f>
        <v>12.128855874276224</v>
      </c>
    </row>
    <row r="217" spans="1:6">
      <c r="A217">
        <v>2</v>
      </c>
      <c r="B217" s="489" t="str">
        <f>I$7</f>
        <v>S20</v>
      </c>
      <c r="C217" s="489" t="str">
        <f>J$7</f>
        <v>QuadSext</v>
      </c>
      <c r="D217" s="489">
        <f>K$7</f>
        <v>0.4</v>
      </c>
      <c r="E217" s="489"/>
      <c r="F217" s="489">
        <f>V$7</f>
        <v>-7.1366798618340574</v>
      </c>
    </row>
    <row r="218" spans="1:6">
      <c r="A218">
        <v>2</v>
      </c>
      <c r="B218" s="489" t="str">
        <f>I$8</f>
        <v>S22</v>
      </c>
      <c r="C218" s="489" t="str">
        <f>J$8</f>
        <v>QuadSext</v>
      </c>
      <c r="D218" s="489">
        <f>K$8</f>
        <v>0.4</v>
      </c>
      <c r="E218" s="489"/>
      <c r="F218" s="489">
        <f>M$8</f>
        <v>-2.0359174999999996</v>
      </c>
    </row>
    <row r="219" spans="1:6">
      <c r="A219">
        <v>2</v>
      </c>
      <c r="B219" s="489" t="str">
        <f t="shared" ref="B219:D220" si="31">I$9</f>
        <v>S24</v>
      </c>
      <c r="C219" s="489" t="str">
        <f t="shared" si="31"/>
        <v>QuadSext</v>
      </c>
      <c r="D219" s="489">
        <f t="shared" si="31"/>
        <v>0.4</v>
      </c>
      <c r="E219" s="489">
        <f>K$56/D219</f>
        <v>0</v>
      </c>
      <c r="F219" s="489">
        <f>M$9</f>
        <v>3.4278599999999995</v>
      </c>
    </row>
    <row r="220" spans="1:6">
      <c r="A220">
        <v>3</v>
      </c>
      <c r="B220" s="489" t="str">
        <f t="shared" si="31"/>
        <v>S24</v>
      </c>
      <c r="C220" s="489" t="str">
        <f t="shared" si="31"/>
        <v>QuadSext</v>
      </c>
      <c r="D220" s="489">
        <f t="shared" si="31"/>
        <v>0.4</v>
      </c>
      <c r="E220" s="489"/>
      <c r="F220" s="489">
        <f>M$9</f>
        <v>3.4278599999999995</v>
      </c>
    </row>
    <row r="221" spans="1:6">
      <c r="A221">
        <v>3</v>
      </c>
      <c r="B221" s="489" t="str">
        <f>I$8</f>
        <v>S22</v>
      </c>
      <c r="C221" s="489" t="str">
        <f>J$8</f>
        <v>QuadSext</v>
      </c>
      <c r="D221" s="489">
        <f>K$8</f>
        <v>0.4</v>
      </c>
      <c r="E221" s="489"/>
      <c r="F221" s="489">
        <f>M$8</f>
        <v>-2.0359174999999996</v>
      </c>
    </row>
    <row r="222" spans="1:6">
      <c r="A222">
        <v>3</v>
      </c>
      <c r="B222" s="489" t="str">
        <f>I$7</f>
        <v>S20</v>
      </c>
      <c r="C222" s="489" t="str">
        <f>J$7</f>
        <v>QuadSext</v>
      </c>
      <c r="D222" s="489">
        <f>K$7</f>
        <v>0.4</v>
      </c>
      <c r="E222" s="489"/>
      <c r="F222" s="489">
        <f>V$7</f>
        <v>-7.1366798618340574</v>
      </c>
    </row>
    <row r="223" spans="1:6">
      <c r="A223">
        <v>3</v>
      </c>
      <c r="B223" s="489" t="str">
        <f>I$6</f>
        <v>S19</v>
      </c>
      <c r="C223" s="489" t="str">
        <f>J$6</f>
        <v>QuadSext</v>
      </c>
      <c r="D223" s="489">
        <f>K$6</f>
        <v>0.4</v>
      </c>
      <c r="E223" s="489"/>
      <c r="F223" s="489">
        <f>V$6</f>
        <v>12.128855874276224</v>
      </c>
    </row>
    <row r="224" spans="1:6">
      <c r="A224">
        <v>3</v>
      </c>
      <c r="B224" s="489" t="str">
        <f>I$5</f>
        <v>S13</v>
      </c>
      <c r="C224" s="489" t="str">
        <f>J$5</f>
        <v>QuadSext</v>
      </c>
      <c r="D224" s="489">
        <f>K$5</f>
        <v>0.4</v>
      </c>
      <c r="E224" s="489">
        <f>K$57/D224</f>
        <v>0</v>
      </c>
      <c r="F224" s="489">
        <f>V$5</f>
        <v>-7.1366798618340574</v>
      </c>
    </row>
    <row r="225" spans="1:6">
      <c r="A225">
        <v>3</v>
      </c>
      <c r="B225" s="489" t="str">
        <f>I$12</f>
        <v>S6-C4</v>
      </c>
      <c r="C225" s="489" t="str">
        <f>J$12</f>
        <v>QuadSext</v>
      </c>
      <c r="D225" s="489">
        <f>K$12</f>
        <v>0.4</v>
      </c>
      <c r="E225" s="489"/>
      <c r="F225" s="489">
        <f>M$12</f>
        <v>-3.9457974999999998</v>
      </c>
    </row>
    <row r="226" spans="1:6">
      <c r="A226">
        <v>3</v>
      </c>
      <c r="B226" s="489" t="str">
        <f>I$11</f>
        <v>S4-C4</v>
      </c>
      <c r="C226" s="489" t="str">
        <f>J$11</f>
        <v>QuadSext</v>
      </c>
      <c r="D226" s="489">
        <f>K$11</f>
        <v>0.4</v>
      </c>
      <c r="E226" s="489"/>
      <c r="F226" s="489">
        <f>M$11</f>
        <v>3.1435474999999995</v>
      </c>
    </row>
  </sheetData>
  <phoneticPr fontId="3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S226"/>
  <sheetViews>
    <sheetView workbookViewId="0">
      <selection activeCell="L3" sqref="L3"/>
    </sheetView>
  </sheetViews>
  <sheetFormatPr defaultColWidth="11.42578125" defaultRowHeight="12.75"/>
  <sheetData>
    <row r="1" spans="1:19" ht="15.75">
      <c r="B1" s="490" t="s">
        <v>667</v>
      </c>
      <c r="H1" s="490" t="s">
        <v>666</v>
      </c>
    </row>
    <row r="2" spans="1:19">
      <c r="B2" t="s">
        <v>1146</v>
      </c>
      <c r="C2" t="s">
        <v>1108</v>
      </c>
      <c r="D2" t="s">
        <v>670</v>
      </c>
      <c r="E2" t="s">
        <v>1145</v>
      </c>
      <c r="H2" t="s">
        <v>1146</v>
      </c>
      <c r="I2" t="s">
        <v>1108</v>
      </c>
      <c r="J2" t="s">
        <v>670</v>
      </c>
      <c r="K2" t="s">
        <v>1145</v>
      </c>
      <c r="M2" s="557" t="s">
        <v>1050</v>
      </c>
      <c r="N2" t="s">
        <v>1118</v>
      </c>
      <c r="O2" t="s">
        <v>466</v>
      </c>
      <c r="P2" t="s">
        <v>560</v>
      </c>
      <c r="Q2" t="s">
        <v>654</v>
      </c>
      <c r="R2" t="s">
        <v>655</v>
      </c>
      <c r="S2" t="s">
        <v>1044</v>
      </c>
    </row>
    <row r="3" spans="1:19">
      <c r="A3">
        <v>4</v>
      </c>
      <c r="B3" s="489" t="str">
        <f>H$11</f>
        <v>S4-C4</v>
      </c>
      <c r="C3" s="489" t="str">
        <f>I$11</f>
        <v>ThinMag</v>
      </c>
      <c r="D3" s="489">
        <f>J$11</f>
        <v>0</v>
      </c>
      <c r="E3" s="489">
        <f>K$11</f>
        <v>1.2574189999999998</v>
      </c>
      <c r="H3" s="489" t="s">
        <v>367</v>
      </c>
      <c r="I3" s="489" t="s">
        <v>770</v>
      </c>
      <c r="J3" s="489"/>
      <c r="K3" s="489">
        <f>M3</f>
        <v>1.2574189999999998</v>
      </c>
      <c r="M3">
        <v>1.2574189999999998</v>
      </c>
      <c r="N3">
        <v>1.0326500000000001</v>
      </c>
      <c r="O3">
        <v>1.2574189999999998</v>
      </c>
      <c r="P3">
        <v>1.2574189999999998</v>
      </c>
      <c r="Q3">
        <v>1.2574189999999998</v>
      </c>
      <c r="R3">
        <v>1.2574189999999998</v>
      </c>
      <c r="S3">
        <v>1.2574189999999998</v>
      </c>
    </row>
    <row r="4" spans="1:19">
      <c r="A4">
        <v>4</v>
      </c>
      <c r="B4" s="489" t="str">
        <f>H$12</f>
        <v>S6-C4</v>
      </c>
      <c r="C4" s="489" t="str">
        <f>I$12</f>
        <v>ThinMag</v>
      </c>
      <c r="D4" s="489">
        <f>J$12</f>
        <v>0</v>
      </c>
      <c r="E4" s="489">
        <f>K$12</f>
        <v>-1.578319</v>
      </c>
      <c r="H4" s="489" t="s">
        <v>493</v>
      </c>
      <c r="I4" s="489" t="str">
        <f t="shared" ref="I4:I9" si="0">I$3</f>
        <v>ThinMag</v>
      </c>
      <c r="J4" s="489"/>
      <c r="K4" s="489">
        <f t="shared" ref="K4:K9" si="1">M4</f>
        <v>-1.578319</v>
      </c>
      <c r="M4">
        <v>-1.578319</v>
      </c>
      <c r="N4">
        <v>-1.1666300000000001</v>
      </c>
      <c r="O4">
        <v>-1.578319</v>
      </c>
      <c r="P4">
        <v>-1.578319</v>
      </c>
      <c r="Q4">
        <v>-1.578319</v>
      </c>
      <c r="R4">
        <v>-1.578319</v>
      </c>
      <c r="S4">
        <v>-1.578319</v>
      </c>
    </row>
    <row r="5" spans="1:19">
      <c r="A5">
        <v>4</v>
      </c>
      <c r="B5" s="489" t="str">
        <f>H$5</f>
        <v>S13</v>
      </c>
      <c r="C5" s="489" t="str">
        <f>I$5</f>
        <v>ThinMag</v>
      </c>
      <c r="D5" s="489">
        <f>J$5</f>
        <v>0</v>
      </c>
      <c r="E5" s="489">
        <f>K$5</f>
        <v>-2.7478633617949475</v>
      </c>
      <c r="H5" s="489" t="s">
        <v>264</v>
      </c>
      <c r="I5" s="489" t="str">
        <f t="shared" si="0"/>
        <v>ThinMag</v>
      </c>
      <c r="J5" s="489"/>
      <c r="K5" s="489">
        <f>M5+0.1*M27</f>
        <v>-2.7478633617949475</v>
      </c>
      <c r="M5">
        <v>-2.7478633617949475</v>
      </c>
      <c r="N5">
        <v>-2.5099100000000001</v>
      </c>
      <c r="O5">
        <v>-2.7628839999999997</v>
      </c>
      <c r="P5">
        <v>-2.7628839999999997</v>
      </c>
      <c r="Q5">
        <v>-2.7628839999999997</v>
      </c>
      <c r="R5">
        <v>-2.7628839999999997</v>
      </c>
      <c r="S5">
        <v>-2.7478633617949475</v>
      </c>
    </row>
    <row r="6" spans="1:19">
      <c r="A6">
        <v>4</v>
      </c>
      <c r="B6" s="489" t="str">
        <f>H$6</f>
        <v>S19</v>
      </c>
      <c r="C6" s="489" t="str">
        <f>I$6</f>
        <v>ThinMag</v>
      </c>
      <c r="D6" s="489">
        <f>J$6</f>
        <v>0</v>
      </c>
      <c r="E6" s="489">
        <f>K$6</f>
        <v>4.6900555675921014</v>
      </c>
      <c r="H6" s="489" t="s">
        <v>758</v>
      </c>
      <c r="I6" s="489" t="str">
        <f t="shared" si="0"/>
        <v>ThinMag</v>
      </c>
      <c r="J6" s="489"/>
      <c r="K6" s="489">
        <f>M6+0.1*M28</f>
        <v>4.6900555675921014</v>
      </c>
      <c r="M6">
        <v>4.6900555675921014</v>
      </c>
      <c r="N6">
        <v>4.2526700000000002</v>
      </c>
      <c r="O6">
        <v>4.6896649999999998</v>
      </c>
      <c r="P6">
        <v>4.6896649999999998</v>
      </c>
      <c r="Q6">
        <v>4.6896649999999998</v>
      </c>
      <c r="R6">
        <v>4.6896649999999998</v>
      </c>
      <c r="S6">
        <v>4.6900555675921014</v>
      </c>
    </row>
    <row r="7" spans="1:19">
      <c r="A7">
        <v>4</v>
      </c>
      <c r="B7" s="489" t="str">
        <f>H$7</f>
        <v>S20</v>
      </c>
      <c r="C7" s="489" t="str">
        <f>I$7</f>
        <v>ThinMag</v>
      </c>
      <c r="D7" s="489">
        <f>J$7</f>
        <v>0</v>
      </c>
      <c r="E7" s="489">
        <f>K$7</f>
        <v>-2.7478633617949475</v>
      </c>
      <c r="H7" s="489" t="s">
        <v>1144</v>
      </c>
      <c r="I7" s="489" t="str">
        <f t="shared" si="0"/>
        <v>ThinMag</v>
      </c>
      <c r="J7" s="489"/>
      <c r="K7" s="489">
        <f>M7+0.1*M29</f>
        <v>-2.7478633617949475</v>
      </c>
      <c r="M7">
        <v>-2.7478633617949475</v>
      </c>
      <c r="N7">
        <f>N5</f>
        <v>-2.5099100000000001</v>
      </c>
      <c r="O7">
        <f>O5</f>
        <v>-2.7628839999999997</v>
      </c>
      <c r="P7">
        <f>P5</f>
        <v>-2.7628839999999997</v>
      </c>
      <c r="Q7">
        <f>Q5</f>
        <v>-2.7628839999999997</v>
      </c>
      <c r="R7">
        <f>R5</f>
        <v>-2.7628839999999997</v>
      </c>
      <c r="S7">
        <v>-2.7478633617949475</v>
      </c>
    </row>
    <row r="8" spans="1:19">
      <c r="A8">
        <v>4</v>
      </c>
      <c r="B8" s="489" t="str">
        <f>H$8</f>
        <v>S22</v>
      </c>
      <c r="C8" s="489" t="str">
        <f>I$8</f>
        <v>ThinMag</v>
      </c>
      <c r="D8" s="489">
        <f>J$8</f>
        <v>0</v>
      </c>
      <c r="E8" s="489">
        <f>K$8</f>
        <v>-0.81436699999999984</v>
      </c>
      <c r="H8" s="489" t="s">
        <v>1194</v>
      </c>
      <c r="I8" s="489" t="str">
        <f t="shared" si="0"/>
        <v>ThinMag</v>
      </c>
      <c r="J8" s="489"/>
      <c r="K8" s="489">
        <f t="shared" si="1"/>
        <v>-0.81436699999999984</v>
      </c>
      <c r="M8">
        <v>-0.81436699999999984</v>
      </c>
      <c r="N8">
        <v>-1.3998999999999999</v>
      </c>
      <c r="O8">
        <v>-0.81436699999999995</v>
      </c>
      <c r="P8">
        <v>-0.81436699999999995</v>
      </c>
      <c r="Q8">
        <v>-0.81436699999999995</v>
      </c>
      <c r="R8">
        <v>-0.81436699999999995</v>
      </c>
      <c r="S8">
        <v>-0.81436699999999984</v>
      </c>
    </row>
    <row r="9" spans="1:19">
      <c r="A9">
        <v>4</v>
      </c>
      <c r="B9" s="489" t="str">
        <f>H$9</f>
        <v>S24</v>
      </c>
      <c r="C9" s="489" t="str">
        <f t="shared" ref="C9:E10" si="2">I$9</f>
        <v>ThinMag</v>
      </c>
      <c r="D9" s="489">
        <f t="shared" si="2"/>
        <v>0</v>
      </c>
      <c r="E9" s="489">
        <f t="shared" si="2"/>
        <v>1.3711439999999999</v>
      </c>
      <c r="H9" s="489" t="s">
        <v>1012</v>
      </c>
      <c r="I9" s="489" t="str">
        <f t="shared" si="0"/>
        <v>ThinMag</v>
      </c>
      <c r="J9" s="489"/>
      <c r="K9" s="489">
        <f t="shared" si="1"/>
        <v>1.3711439999999999</v>
      </c>
      <c r="M9">
        <v>1.3711439999999999</v>
      </c>
      <c r="N9">
        <v>2.20851</v>
      </c>
      <c r="O9">
        <v>1.3711439999999999</v>
      </c>
      <c r="P9">
        <v>1.3711439999999999</v>
      </c>
      <c r="Q9">
        <v>1.3711439999999999</v>
      </c>
      <c r="R9">
        <v>1.3711439999999999</v>
      </c>
      <c r="S9">
        <v>1.3711439999999999</v>
      </c>
    </row>
    <row r="10" spans="1:19">
      <c r="A10">
        <v>5</v>
      </c>
      <c r="B10" s="489" t="str">
        <f>H$9</f>
        <v>S24</v>
      </c>
      <c r="C10" s="489" t="str">
        <f t="shared" si="2"/>
        <v>ThinMag</v>
      </c>
      <c r="D10" s="489">
        <f t="shared" si="2"/>
        <v>0</v>
      </c>
      <c r="E10" s="489">
        <f t="shared" si="2"/>
        <v>1.3711439999999999</v>
      </c>
      <c r="H10" s="489"/>
      <c r="I10" s="489"/>
      <c r="J10" s="489"/>
      <c r="K10" s="489"/>
    </row>
    <row r="11" spans="1:19">
      <c r="A11">
        <v>5</v>
      </c>
      <c r="B11" s="489" t="str">
        <f>H$8</f>
        <v>S22</v>
      </c>
      <c r="C11" s="489" t="str">
        <f>I$8</f>
        <v>ThinMag</v>
      </c>
      <c r="D11" s="489">
        <f>J$8</f>
        <v>0</v>
      </c>
      <c r="E11" s="489">
        <f>K$8</f>
        <v>-0.81436699999999984</v>
      </c>
      <c r="H11" s="489" t="s">
        <v>656</v>
      </c>
      <c r="I11" s="489" t="str">
        <f>I$3</f>
        <v>ThinMag</v>
      </c>
      <c r="J11" s="489"/>
      <c r="K11" s="489">
        <f>M11</f>
        <v>1.2574189999999998</v>
      </c>
      <c r="M11">
        <f t="shared" ref="M11:S11" si="3">M$3</f>
        <v>1.2574189999999998</v>
      </c>
      <c r="N11">
        <f t="shared" si="3"/>
        <v>1.0326500000000001</v>
      </c>
      <c r="O11">
        <f t="shared" si="3"/>
        <v>1.2574189999999998</v>
      </c>
      <c r="P11">
        <f t="shared" si="3"/>
        <v>1.2574189999999998</v>
      </c>
      <c r="Q11">
        <f t="shared" si="3"/>
        <v>1.2574189999999998</v>
      </c>
      <c r="R11">
        <f t="shared" si="3"/>
        <v>1.2574189999999998</v>
      </c>
      <c r="S11">
        <f t="shared" si="3"/>
        <v>1.2574189999999998</v>
      </c>
    </row>
    <row r="12" spans="1:19">
      <c r="A12">
        <v>5</v>
      </c>
      <c r="B12" s="489" t="str">
        <f>H$7</f>
        <v>S20</v>
      </c>
      <c r="C12" s="489" t="str">
        <f>I$7</f>
        <v>ThinMag</v>
      </c>
      <c r="D12" s="489">
        <f>J$7</f>
        <v>0</v>
      </c>
      <c r="E12" s="489">
        <f>K$7</f>
        <v>-2.7478633617949475</v>
      </c>
      <c r="H12" s="489" t="s">
        <v>657</v>
      </c>
      <c r="I12" s="489" t="str">
        <f>I$4</f>
        <v>ThinMag</v>
      </c>
      <c r="J12" s="489"/>
      <c r="K12" s="489">
        <f>M12</f>
        <v>-1.578319</v>
      </c>
      <c r="M12">
        <f t="shared" ref="M12:S12" si="4">M$4</f>
        <v>-1.578319</v>
      </c>
      <c r="N12">
        <f t="shared" si="4"/>
        <v>-1.1666300000000001</v>
      </c>
      <c r="O12">
        <f t="shared" si="4"/>
        <v>-1.578319</v>
      </c>
      <c r="P12">
        <f t="shared" si="4"/>
        <v>-1.578319</v>
      </c>
      <c r="Q12">
        <f t="shared" si="4"/>
        <v>-1.578319</v>
      </c>
      <c r="R12">
        <f t="shared" si="4"/>
        <v>-1.578319</v>
      </c>
      <c r="S12">
        <f t="shared" si="4"/>
        <v>-1.578319</v>
      </c>
    </row>
    <row r="13" spans="1:19">
      <c r="A13">
        <v>5</v>
      </c>
      <c r="B13" s="489" t="str">
        <f>H$6</f>
        <v>S19</v>
      </c>
      <c r="C13" s="489" t="str">
        <f>I$6</f>
        <v>ThinMag</v>
      </c>
      <c r="D13" s="489">
        <f>J$6</f>
        <v>0</v>
      </c>
      <c r="E13" s="489">
        <f>K$6</f>
        <v>4.6900555675921014</v>
      </c>
      <c r="H13" s="489"/>
      <c r="I13" s="489"/>
      <c r="J13" s="489"/>
      <c r="K13" s="489"/>
    </row>
    <row r="14" spans="1:19">
      <c r="A14">
        <v>5</v>
      </c>
      <c r="B14" s="489" t="str">
        <f>H$5</f>
        <v>S13</v>
      </c>
      <c r="C14" s="489" t="str">
        <f>I$5</f>
        <v>ThinMag</v>
      </c>
      <c r="D14" s="489">
        <f>J$5</f>
        <v>0</v>
      </c>
      <c r="E14" s="489">
        <f>K$5</f>
        <v>-2.7478633617949475</v>
      </c>
      <c r="H14" s="489" t="s">
        <v>658</v>
      </c>
      <c r="I14" s="489" t="str">
        <f>I$3</f>
        <v>ThinMag</v>
      </c>
      <c r="J14" s="489"/>
      <c r="K14" s="489">
        <f>M14</f>
        <v>1.2574189999999998</v>
      </c>
      <c r="M14">
        <f>M$3</f>
        <v>1.2574189999999998</v>
      </c>
      <c r="N14">
        <f>N$3</f>
        <v>1.0326500000000001</v>
      </c>
      <c r="O14">
        <f>O$3</f>
        <v>1.2574189999999998</v>
      </c>
      <c r="P14">
        <f>P$3</f>
        <v>1.2574189999999998</v>
      </c>
      <c r="Q14">
        <v>0.96399999999999997</v>
      </c>
      <c r="R14">
        <v>0.96399999999999997</v>
      </c>
      <c r="S14">
        <f>S$3</f>
        <v>1.2574189999999998</v>
      </c>
    </row>
    <row r="15" spans="1:19">
      <c r="A15">
        <v>5</v>
      </c>
      <c r="B15" s="489" t="str">
        <f>H$15</f>
        <v>S6-C6</v>
      </c>
      <c r="C15" s="489" t="str">
        <f>I$15</f>
        <v>ThinMag</v>
      </c>
      <c r="D15" s="489">
        <f>J$15</f>
        <v>0</v>
      </c>
      <c r="E15" s="489">
        <f>K$15</f>
        <v>-1.578319</v>
      </c>
      <c r="H15" s="489" t="s">
        <v>659</v>
      </c>
      <c r="I15" s="489" t="str">
        <f>I$4</f>
        <v>ThinMag</v>
      </c>
      <c r="J15" s="489"/>
      <c r="K15" s="489">
        <f>M15</f>
        <v>-1.578319</v>
      </c>
      <c r="M15">
        <f>M$4</f>
        <v>-1.578319</v>
      </c>
      <c r="N15">
        <f>N$4</f>
        <v>-1.1666300000000001</v>
      </c>
      <c r="O15">
        <f>O$4</f>
        <v>-1.578319</v>
      </c>
      <c r="P15">
        <f>P$4</f>
        <v>-1.578319</v>
      </c>
      <c r="Q15">
        <v>-1.4873408413060434</v>
      </c>
      <c r="R15">
        <v>-1.4873408413060434</v>
      </c>
      <c r="S15">
        <f>S$4</f>
        <v>-1.578319</v>
      </c>
    </row>
    <row r="16" spans="1:19">
      <c r="A16">
        <v>5</v>
      </c>
      <c r="B16" s="489" t="str">
        <f>H$14</f>
        <v>S4-C6</v>
      </c>
      <c r="C16" s="489" t="str">
        <f t="shared" ref="C16:E17" si="5">I$14</f>
        <v>ThinMag</v>
      </c>
      <c r="D16" s="489">
        <f t="shared" si="5"/>
        <v>0</v>
      </c>
      <c r="E16" s="489">
        <f t="shared" si="5"/>
        <v>1.2574189999999998</v>
      </c>
      <c r="H16" s="489"/>
      <c r="I16" s="489"/>
      <c r="J16" s="489"/>
      <c r="K16" s="489"/>
    </row>
    <row r="17" spans="1:19">
      <c r="A17">
        <v>6</v>
      </c>
      <c r="B17" s="489" t="str">
        <f>H$14</f>
        <v>S4-C6</v>
      </c>
      <c r="C17" s="489" t="str">
        <f t="shared" si="5"/>
        <v>ThinMag</v>
      </c>
      <c r="D17" s="489">
        <f t="shared" si="5"/>
        <v>0</v>
      </c>
      <c r="E17" s="489">
        <f t="shared" si="5"/>
        <v>1.2574189999999998</v>
      </c>
      <c r="H17" s="489" t="s">
        <v>660</v>
      </c>
      <c r="I17" s="489" t="str">
        <f>I$8</f>
        <v>ThinMag</v>
      </c>
      <c r="J17" s="489"/>
      <c r="K17" s="489">
        <f>M17</f>
        <v>-0.81436699999999984</v>
      </c>
      <c r="M17">
        <f t="shared" ref="M17:S17" si="6">M$8</f>
        <v>-0.81436699999999984</v>
      </c>
      <c r="N17">
        <f t="shared" si="6"/>
        <v>-1.3998999999999999</v>
      </c>
      <c r="O17">
        <f t="shared" si="6"/>
        <v>-0.81436699999999995</v>
      </c>
      <c r="P17">
        <f t="shared" si="6"/>
        <v>-0.81436699999999995</v>
      </c>
      <c r="Q17">
        <f t="shared" si="6"/>
        <v>-0.81436699999999995</v>
      </c>
      <c r="R17">
        <f t="shared" si="6"/>
        <v>-0.81436699999999995</v>
      </c>
      <c r="S17">
        <f t="shared" si="6"/>
        <v>-0.81436699999999984</v>
      </c>
    </row>
    <row r="18" spans="1:19">
      <c r="A18">
        <v>6</v>
      </c>
      <c r="B18" s="489" t="str">
        <f>H$15</f>
        <v>S6-C6</v>
      </c>
      <c r="C18" s="489" t="str">
        <f>I$15</f>
        <v>ThinMag</v>
      </c>
      <c r="D18" s="489">
        <f>J$15</f>
        <v>0</v>
      </c>
      <c r="E18" s="489">
        <f>K$15</f>
        <v>-1.578319</v>
      </c>
      <c r="H18" s="489" t="s">
        <v>661</v>
      </c>
      <c r="I18" s="489" t="str">
        <f>I$9</f>
        <v>ThinMag</v>
      </c>
      <c r="J18" s="489"/>
      <c r="K18" s="489">
        <f>M18</f>
        <v>1.3711439999999999</v>
      </c>
      <c r="M18">
        <f t="shared" ref="M18:S18" si="7">M$9</f>
        <v>1.3711439999999999</v>
      </c>
      <c r="N18">
        <f t="shared" si="7"/>
        <v>2.20851</v>
      </c>
      <c r="O18">
        <f t="shared" si="7"/>
        <v>1.3711439999999999</v>
      </c>
      <c r="P18">
        <f t="shared" si="7"/>
        <v>1.3711439999999999</v>
      </c>
      <c r="Q18">
        <f t="shared" si="7"/>
        <v>1.3711439999999999</v>
      </c>
      <c r="R18">
        <f t="shared" si="7"/>
        <v>1.3711439999999999</v>
      </c>
      <c r="S18">
        <f t="shared" si="7"/>
        <v>1.3711439999999999</v>
      </c>
    </row>
    <row r="19" spans="1:19">
      <c r="A19">
        <v>6</v>
      </c>
      <c r="B19" s="489" t="str">
        <f>H$5</f>
        <v>S13</v>
      </c>
      <c r="C19" s="489" t="str">
        <f>I$5</f>
        <v>ThinMag</v>
      </c>
      <c r="D19" s="489">
        <f>J$5</f>
        <v>0</v>
      </c>
      <c r="E19" s="489">
        <f>K$5</f>
        <v>-2.7478633617949475</v>
      </c>
      <c r="H19" s="489"/>
      <c r="I19" s="489"/>
      <c r="J19" s="489"/>
      <c r="K19" s="489"/>
    </row>
    <row r="20" spans="1:19">
      <c r="A20">
        <v>6</v>
      </c>
      <c r="B20" s="489" t="str">
        <f>H$6</f>
        <v>S19</v>
      </c>
      <c r="C20" s="489" t="str">
        <f>I$6</f>
        <v>ThinMag</v>
      </c>
      <c r="D20" s="489">
        <f>J$6</f>
        <v>0</v>
      </c>
      <c r="E20" s="489">
        <f>K$6</f>
        <v>4.6900555675921014</v>
      </c>
      <c r="H20" s="489" t="s">
        <v>662</v>
      </c>
      <c r="I20" s="489" t="str">
        <f>I$3</f>
        <v>ThinMag</v>
      </c>
      <c r="J20" s="489"/>
      <c r="K20" s="489">
        <f>M20</f>
        <v>1.2574189999999998</v>
      </c>
      <c r="M20">
        <f>M$3</f>
        <v>1.2574189999999998</v>
      </c>
      <c r="N20">
        <f>N$3</f>
        <v>1.0326500000000001</v>
      </c>
      <c r="O20">
        <f>O$3</f>
        <v>1.2574189999999998</v>
      </c>
      <c r="P20">
        <v>0.96399999999999997</v>
      </c>
      <c r="Q20">
        <f>Q$3</f>
        <v>1.2574189999999998</v>
      </c>
      <c r="R20">
        <v>0.96399999999999997</v>
      </c>
      <c r="S20">
        <f>S$3</f>
        <v>1.2574189999999998</v>
      </c>
    </row>
    <row r="21" spans="1:19">
      <c r="A21">
        <v>6</v>
      </c>
      <c r="B21" s="489" t="str">
        <f>H$7</f>
        <v>S20</v>
      </c>
      <c r="C21" s="489" t="str">
        <f>I$7</f>
        <v>ThinMag</v>
      </c>
      <c r="D21" s="489">
        <f>J$7</f>
        <v>0</v>
      </c>
      <c r="E21" s="489">
        <f>K$7</f>
        <v>-2.7478633617949475</v>
      </c>
      <c r="H21" s="489" t="s">
        <v>663</v>
      </c>
      <c r="I21" s="489" t="str">
        <f>I$4</f>
        <v>ThinMag</v>
      </c>
      <c r="J21" s="489"/>
      <c r="K21" s="489">
        <f>M21</f>
        <v>-1.578319</v>
      </c>
      <c r="M21">
        <f>M$4</f>
        <v>-1.578319</v>
      </c>
      <c r="N21">
        <f>N$4</f>
        <v>-1.1666300000000001</v>
      </c>
      <c r="O21">
        <f>O$4</f>
        <v>-1.578319</v>
      </c>
      <c r="P21">
        <v>-1.4873408413060434</v>
      </c>
      <c r="Q21">
        <f>Q$4</f>
        <v>-1.578319</v>
      </c>
      <c r="R21">
        <v>-1.4873408413060434</v>
      </c>
      <c r="S21">
        <f>S$4</f>
        <v>-1.578319</v>
      </c>
    </row>
    <row r="22" spans="1:19">
      <c r="A22">
        <v>6</v>
      </c>
      <c r="B22" s="489" t="str">
        <f>H$8</f>
        <v>S22</v>
      </c>
      <c r="C22" s="489" t="str">
        <f>I$8</f>
        <v>ThinMag</v>
      </c>
      <c r="D22" s="489">
        <f>J$8</f>
        <v>0</v>
      </c>
      <c r="E22" s="489">
        <f>K$8</f>
        <v>-0.81436699999999984</v>
      </c>
    </row>
    <row r="23" spans="1:19">
      <c r="A23">
        <v>6</v>
      </c>
      <c r="B23" s="489" t="str">
        <f>H$9</f>
        <v>S24</v>
      </c>
      <c r="C23" s="489" t="str">
        <f t="shared" ref="C23:E24" si="8">I$9</f>
        <v>ThinMag</v>
      </c>
      <c r="D23" s="489">
        <f t="shared" si="8"/>
        <v>0</v>
      </c>
      <c r="E23" s="489">
        <f t="shared" si="8"/>
        <v>1.3711439999999999</v>
      </c>
    </row>
    <row r="24" spans="1:19">
      <c r="A24">
        <v>7</v>
      </c>
      <c r="B24" s="489" t="str">
        <f>H$9</f>
        <v>S24</v>
      </c>
      <c r="C24" s="489" t="str">
        <f t="shared" si="8"/>
        <v>ThinMag</v>
      </c>
      <c r="D24" s="489">
        <f t="shared" si="8"/>
        <v>0</v>
      </c>
      <c r="E24" s="489">
        <f t="shared" si="8"/>
        <v>1.3711439999999999</v>
      </c>
    </row>
    <row r="25" spans="1:19" ht="15.75">
      <c r="A25">
        <v>7</v>
      </c>
      <c r="B25" s="489" t="str">
        <f>H$8</f>
        <v>S22</v>
      </c>
      <c r="C25" s="489" t="str">
        <f>I$8</f>
        <v>ThinMag</v>
      </c>
      <c r="D25" s="489">
        <f>J$8</f>
        <v>0</v>
      </c>
      <c r="E25" s="489">
        <f>K$8</f>
        <v>-0.81436699999999984</v>
      </c>
      <c r="H25" s="490" t="s">
        <v>668</v>
      </c>
      <c r="M25" s="490" t="s">
        <v>607</v>
      </c>
    </row>
    <row r="26" spans="1:19">
      <c r="A26">
        <v>7</v>
      </c>
      <c r="B26" s="489" t="str">
        <f>H$7</f>
        <v>S20</v>
      </c>
      <c r="C26" s="489" t="str">
        <f>I$7</f>
        <v>ThinMag</v>
      </c>
      <c r="D26" s="489">
        <f>J$7</f>
        <v>0</v>
      </c>
      <c r="E26" s="489">
        <f>K$7</f>
        <v>-2.7478633617949475</v>
      </c>
      <c r="H26" s="489" t="s">
        <v>1147</v>
      </c>
      <c r="I26" s="489" t="s">
        <v>770</v>
      </c>
      <c r="J26" s="489">
        <v>0</v>
      </c>
      <c r="M26" t="s">
        <v>608</v>
      </c>
      <c r="N26" t="s">
        <v>486</v>
      </c>
      <c r="O26" t="s">
        <v>605</v>
      </c>
    </row>
    <row r="27" spans="1:19">
      <c r="A27">
        <v>7</v>
      </c>
      <c r="B27" s="489" t="str">
        <f>H$6</f>
        <v>S19</v>
      </c>
      <c r="C27" s="489" t="str">
        <f>I$6</f>
        <v>ThinMag</v>
      </c>
      <c r="D27" s="489">
        <f>J$6</f>
        <v>0</v>
      </c>
      <c r="E27" s="489">
        <f>K$6</f>
        <v>4.6900555675921014</v>
      </c>
      <c r="H27" s="489" t="s">
        <v>294</v>
      </c>
      <c r="I27" s="489" t="s">
        <v>770</v>
      </c>
      <c r="J27" s="489">
        <v>0</v>
      </c>
      <c r="L27" s="557" t="s">
        <v>264</v>
      </c>
      <c r="M27">
        <f>M29</f>
        <v>0</v>
      </c>
      <c r="N27">
        <f>Table!D180</f>
        <v>0.11057684960849298</v>
      </c>
      <c r="O27">
        <v>0.17399999999999999</v>
      </c>
    </row>
    <row r="28" spans="1:19">
      <c r="A28">
        <v>7</v>
      </c>
      <c r="B28" s="489" t="str">
        <f>H$5</f>
        <v>S13</v>
      </c>
      <c r="C28" s="489" t="str">
        <f>I$5</f>
        <v>ThinMag</v>
      </c>
      <c r="D28" s="489">
        <f>J$5</f>
        <v>0</v>
      </c>
      <c r="E28" s="489">
        <f>K$5</f>
        <v>-2.7478633617949475</v>
      </c>
      <c r="H28" s="489" t="s">
        <v>295</v>
      </c>
      <c r="I28" s="489" t="s">
        <v>770</v>
      </c>
      <c r="J28" s="489">
        <v>0</v>
      </c>
      <c r="L28" s="557" t="s">
        <v>758</v>
      </c>
      <c r="M28">
        <v>0</v>
      </c>
      <c r="N28">
        <f>Table!D181</f>
        <v>0.41367435813651598</v>
      </c>
      <c r="O28">
        <v>0.34100000000000003</v>
      </c>
    </row>
    <row r="29" spans="1:19">
      <c r="A29">
        <v>7</v>
      </c>
      <c r="B29" s="489" t="str">
        <f>H$4</f>
        <v>S6</v>
      </c>
      <c r="C29" s="489" t="str">
        <f>I$4</f>
        <v>ThinMag</v>
      </c>
      <c r="D29" s="489">
        <f>J$4</f>
        <v>0</v>
      </c>
      <c r="E29" s="489">
        <f>K$4</f>
        <v>-1.578319</v>
      </c>
      <c r="H29" s="489" t="s">
        <v>296</v>
      </c>
      <c r="I29" s="489" t="s">
        <v>770</v>
      </c>
      <c r="J29" s="489">
        <v>0</v>
      </c>
      <c r="L29" s="557" t="s">
        <v>1144</v>
      </c>
      <c r="M29">
        <v>0</v>
      </c>
      <c r="O29">
        <f>(N27-O27)^2+(N28-O28)^2</f>
        <v>9.3040583361382982E-3</v>
      </c>
    </row>
    <row r="30" spans="1:19">
      <c r="A30">
        <v>7</v>
      </c>
      <c r="B30" s="489" t="str">
        <f>H$3</f>
        <v>S4</v>
      </c>
      <c r="C30" s="489" t="str">
        <f t="shared" ref="C30:E31" si="9">I$3</f>
        <v>ThinMag</v>
      </c>
      <c r="D30" s="489">
        <f t="shared" si="9"/>
        <v>0</v>
      </c>
      <c r="E30" s="489">
        <f t="shared" si="9"/>
        <v>1.2574189999999998</v>
      </c>
      <c r="H30" s="489" t="s">
        <v>1148</v>
      </c>
      <c r="I30" s="489" t="s">
        <v>770</v>
      </c>
      <c r="J30" s="489">
        <v>0</v>
      </c>
      <c r="M30" t="s">
        <v>606</v>
      </c>
    </row>
    <row r="31" spans="1:19">
      <c r="A31">
        <v>8</v>
      </c>
      <c r="B31" s="489" t="str">
        <f>H$3</f>
        <v>S4</v>
      </c>
      <c r="C31" s="489" t="str">
        <f t="shared" si="9"/>
        <v>ThinMag</v>
      </c>
      <c r="D31" s="489">
        <f t="shared" si="9"/>
        <v>0</v>
      </c>
      <c r="E31" s="489">
        <f t="shared" si="9"/>
        <v>1.2574189999999998</v>
      </c>
      <c r="H31" s="489" t="s">
        <v>1087</v>
      </c>
      <c r="I31" s="489" t="s">
        <v>770</v>
      </c>
      <c r="J31" s="489">
        <v>0</v>
      </c>
      <c r="M31">
        <f>MIN($O$29)</f>
        <v>9.3040583361382982E-3</v>
      </c>
    </row>
    <row r="32" spans="1:19">
      <c r="A32">
        <v>8</v>
      </c>
      <c r="B32" s="489" t="str">
        <f>H$4</f>
        <v>S6</v>
      </c>
      <c r="C32" s="489" t="str">
        <f>I$4</f>
        <v>ThinMag</v>
      </c>
      <c r="D32" s="489">
        <f>J$4</f>
        <v>0</v>
      </c>
      <c r="E32" s="489">
        <f>K$4</f>
        <v>-1.578319</v>
      </c>
      <c r="H32" s="489" t="s">
        <v>1088</v>
      </c>
      <c r="I32" s="489" t="s">
        <v>770</v>
      </c>
      <c r="J32" s="489">
        <v>0</v>
      </c>
      <c r="M32">
        <f>COUNT($M$27,$M$28)</f>
        <v>2</v>
      </c>
    </row>
    <row r="33" spans="1:13">
      <c r="A33">
        <v>8</v>
      </c>
      <c r="B33" s="489" t="str">
        <f>H$5</f>
        <v>S13</v>
      </c>
      <c r="C33" s="489" t="str">
        <f>I$5</f>
        <v>ThinMag</v>
      </c>
      <c r="D33" s="489">
        <f>J$5</f>
        <v>0</v>
      </c>
      <c r="E33" s="489">
        <f>K$5</f>
        <v>-2.7478633617949475</v>
      </c>
      <c r="H33" s="489" t="s">
        <v>448</v>
      </c>
      <c r="I33" s="489" t="s">
        <v>770</v>
      </c>
      <c r="J33" s="489">
        <v>0</v>
      </c>
      <c r="M33">
        <f>{100;100;0.000001;0.05;FALSE;FALSE;FALSE;1;1;1;0.0001;FALSE}</f>
        <v>100</v>
      </c>
    </row>
    <row r="34" spans="1:13">
      <c r="A34">
        <v>8</v>
      </c>
      <c r="B34" s="489" t="str">
        <f>H$6</f>
        <v>S19</v>
      </c>
      <c r="C34" s="489" t="str">
        <f>I$6</f>
        <v>ThinMag</v>
      </c>
      <c r="D34" s="489">
        <f>J$6</f>
        <v>0</v>
      </c>
      <c r="E34" s="489">
        <f>K$6</f>
        <v>4.6900555675921014</v>
      </c>
      <c r="H34" s="489" t="s">
        <v>449</v>
      </c>
      <c r="I34" s="489" t="s">
        <v>770</v>
      </c>
      <c r="J34" s="489">
        <v>0</v>
      </c>
    </row>
    <row r="35" spans="1:13">
      <c r="A35">
        <v>8</v>
      </c>
      <c r="B35" s="489" t="str">
        <f>H$7</f>
        <v>S20</v>
      </c>
      <c r="C35" s="489" t="str">
        <f>I$7</f>
        <v>ThinMag</v>
      </c>
      <c r="D35" s="489">
        <f>J$7</f>
        <v>0</v>
      </c>
      <c r="E35" s="489">
        <f>K$7</f>
        <v>-2.7478633617949475</v>
      </c>
      <c r="H35" s="489" t="s">
        <v>632</v>
      </c>
      <c r="I35" s="489" t="s">
        <v>770</v>
      </c>
      <c r="J35" s="489">
        <v>0</v>
      </c>
    </row>
    <row r="36" spans="1:13">
      <c r="A36">
        <v>8</v>
      </c>
      <c r="B36" s="489" t="str">
        <f>H$8</f>
        <v>S22</v>
      </c>
      <c r="C36" s="489" t="str">
        <f>I$8</f>
        <v>ThinMag</v>
      </c>
      <c r="D36" s="489">
        <f>J$8</f>
        <v>0</v>
      </c>
      <c r="E36" s="489">
        <f>K$8</f>
        <v>-0.81436699999999984</v>
      </c>
      <c r="H36" s="489" t="s">
        <v>997</v>
      </c>
      <c r="I36" s="489" t="s">
        <v>770</v>
      </c>
      <c r="J36" s="489">
        <v>0</v>
      </c>
    </row>
    <row r="37" spans="1:13">
      <c r="A37">
        <v>8</v>
      </c>
      <c r="B37" s="489" t="str">
        <f>H$9</f>
        <v>S24</v>
      </c>
      <c r="C37" s="489" t="str">
        <f t="shared" ref="C37:E38" si="10">I$9</f>
        <v>ThinMag</v>
      </c>
      <c r="D37" s="489">
        <f t="shared" si="10"/>
        <v>0</v>
      </c>
      <c r="E37" s="489">
        <f t="shared" si="10"/>
        <v>1.3711439999999999</v>
      </c>
      <c r="H37" s="489" t="s">
        <v>996</v>
      </c>
      <c r="I37" s="489" t="s">
        <v>770</v>
      </c>
      <c r="J37" s="489">
        <v>0</v>
      </c>
    </row>
    <row r="38" spans="1:13">
      <c r="A38">
        <v>9</v>
      </c>
      <c r="B38" s="489" t="str">
        <f>H$9</f>
        <v>S24</v>
      </c>
      <c r="C38" s="489" t="str">
        <f t="shared" si="10"/>
        <v>ThinMag</v>
      </c>
      <c r="D38" s="489">
        <f t="shared" si="10"/>
        <v>0</v>
      </c>
      <c r="E38" s="489">
        <f t="shared" si="10"/>
        <v>1.3711439999999999</v>
      </c>
      <c r="H38" s="489" t="s">
        <v>1045</v>
      </c>
      <c r="I38" s="489" t="s">
        <v>770</v>
      </c>
      <c r="J38" s="489">
        <v>0</v>
      </c>
    </row>
    <row r="39" spans="1:13">
      <c r="A39">
        <v>9</v>
      </c>
      <c r="B39" s="489" t="str">
        <f>H$8</f>
        <v>S22</v>
      </c>
      <c r="C39" s="489" t="str">
        <f>I$8</f>
        <v>ThinMag</v>
      </c>
      <c r="D39" s="489">
        <f>J$8</f>
        <v>0</v>
      </c>
      <c r="E39" s="489">
        <f>K$8</f>
        <v>-0.81436699999999984</v>
      </c>
      <c r="H39" s="489" t="s">
        <v>912</v>
      </c>
      <c r="I39" s="489" t="s">
        <v>770</v>
      </c>
      <c r="J39" s="489">
        <v>0</v>
      </c>
    </row>
    <row r="40" spans="1:13">
      <c r="A40">
        <v>9</v>
      </c>
      <c r="B40" s="489" t="str">
        <f>H$7</f>
        <v>S20</v>
      </c>
      <c r="C40" s="489" t="str">
        <f>I$7</f>
        <v>ThinMag</v>
      </c>
      <c r="D40" s="489">
        <f>J$7</f>
        <v>0</v>
      </c>
      <c r="E40" s="489">
        <f>K$7</f>
        <v>-2.7478633617949475</v>
      </c>
      <c r="H40" s="489" t="s">
        <v>913</v>
      </c>
      <c r="I40" s="489" t="s">
        <v>770</v>
      </c>
      <c r="J40" s="489">
        <v>0</v>
      </c>
    </row>
    <row r="41" spans="1:13">
      <c r="A41">
        <v>9</v>
      </c>
      <c r="B41" s="489" t="str">
        <f>H$6</f>
        <v>S19</v>
      </c>
      <c r="C41" s="489" t="str">
        <f>I$6</f>
        <v>ThinMag</v>
      </c>
      <c r="D41" s="489">
        <f>J$6</f>
        <v>0</v>
      </c>
      <c r="E41" s="489">
        <f>K$6</f>
        <v>4.6900555675921014</v>
      </c>
      <c r="H41" s="489" t="s">
        <v>914</v>
      </c>
      <c r="I41" s="489" t="s">
        <v>770</v>
      </c>
      <c r="J41" s="489">
        <v>0</v>
      </c>
    </row>
    <row r="42" spans="1:13">
      <c r="A42">
        <v>9</v>
      </c>
      <c r="B42" s="489" t="str">
        <f>H$5</f>
        <v>S13</v>
      </c>
      <c r="C42" s="489" t="str">
        <f>I$5</f>
        <v>ThinMag</v>
      </c>
      <c r="D42" s="489">
        <f>J$5</f>
        <v>0</v>
      </c>
      <c r="E42" s="489">
        <f>K$5</f>
        <v>-2.7478633617949475</v>
      </c>
      <c r="H42" s="489" t="s">
        <v>915</v>
      </c>
      <c r="I42" s="489" t="s">
        <v>770</v>
      </c>
      <c r="J42" s="489">
        <v>0</v>
      </c>
    </row>
    <row r="43" spans="1:13">
      <c r="A43">
        <v>9</v>
      </c>
      <c r="B43" s="489" t="str">
        <f>H$4</f>
        <v>S6</v>
      </c>
      <c r="C43" s="489" t="str">
        <f>I$4</f>
        <v>ThinMag</v>
      </c>
      <c r="D43" s="489">
        <f>J$4</f>
        <v>0</v>
      </c>
      <c r="E43" s="489">
        <f>K$4</f>
        <v>-1.578319</v>
      </c>
      <c r="H43" s="489" t="s">
        <v>916</v>
      </c>
      <c r="I43" s="489" t="s">
        <v>770</v>
      </c>
      <c r="J43" s="489">
        <v>0</v>
      </c>
    </row>
    <row r="44" spans="1:13">
      <c r="A44">
        <v>9</v>
      </c>
      <c r="B44" s="489" t="str">
        <f>H$3</f>
        <v>S4</v>
      </c>
      <c r="C44" s="489" t="str">
        <f t="shared" ref="C44:E45" si="11">I$3</f>
        <v>ThinMag</v>
      </c>
      <c r="D44" s="489">
        <f t="shared" si="11"/>
        <v>0</v>
      </c>
      <c r="E44" s="489">
        <f t="shared" si="11"/>
        <v>1.2574189999999998</v>
      </c>
      <c r="H44" s="489" t="s">
        <v>826</v>
      </c>
      <c r="I44" s="489" t="s">
        <v>770</v>
      </c>
      <c r="J44" s="489">
        <v>0</v>
      </c>
    </row>
    <row r="45" spans="1:13">
      <c r="A45">
        <v>10</v>
      </c>
      <c r="B45" s="489" t="str">
        <f>H$3</f>
        <v>S4</v>
      </c>
      <c r="C45" s="489" t="str">
        <f t="shared" si="11"/>
        <v>ThinMag</v>
      </c>
      <c r="D45" s="489">
        <f t="shared" si="11"/>
        <v>0</v>
      </c>
      <c r="E45" s="489">
        <f t="shared" si="11"/>
        <v>1.2574189999999998</v>
      </c>
      <c r="H45" s="489" t="s">
        <v>827</v>
      </c>
      <c r="I45" s="489" t="s">
        <v>770</v>
      </c>
      <c r="J45" s="489">
        <v>0</v>
      </c>
    </row>
    <row r="46" spans="1:13">
      <c r="A46">
        <v>10</v>
      </c>
      <c r="B46" s="489" t="str">
        <f>H$4</f>
        <v>S6</v>
      </c>
      <c r="C46" s="489" t="str">
        <f>I$4</f>
        <v>ThinMag</v>
      </c>
      <c r="D46" s="489">
        <f>J$4</f>
        <v>0</v>
      </c>
      <c r="E46" s="489">
        <f>K$4</f>
        <v>-1.578319</v>
      </c>
      <c r="H46" s="489" t="s">
        <v>828</v>
      </c>
      <c r="I46" s="489" t="s">
        <v>770</v>
      </c>
      <c r="J46" s="489">
        <v>0</v>
      </c>
    </row>
    <row r="47" spans="1:13">
      <c r="A47">
        <v>10</v>
      </c>
      <c r="B47" s="489" t="str">
        <f>H$5</f>
        <v>S13</v>
      </c>
      <c r="C47" s="489" t="str">
        <f>I$5</f>
        <v>ThinMag</v>
      </c>
      <c r="D47" s="489">
        <f>J$5</f>
        <v>0</v>
      </c>
      <c r="E47" s="489">
        <f>K$5</f>
        <v>-2.7478633617949475</v>
      </c>
      <c r="H47" s="489" t="s">
        <v>829</v>
      </c>
      <c r="I47" s="489" t="s">
        <v>770</v>
      </c>
      <c r="J47" s="489">
        <v>0</v>
      </c>
    </row>
    <row r="48" spans="1:13">
      <c r="A48">
        <v>10</v>
      </c>
      <c r="B48" s="489" t="str">
        <f>H$6</f>
        <v>S19</v>
      </c>
      <c r="C48" s="489" t="str">
        <f>I$6</f>
        <v>ThinMag</v>
      </c>
      <c r="D48" s="489">
        <f>J$6</f>
        <v>0</v>
      </c>
      <c r="E48" s="489">
        <f>K$6</f>
        <v>4.6900555675921014</v>
      </c>
      <c r="H48" s="489" t="s">
        <v>71</v>
      </c>
      <c r="I48" s="489" t="s">
        <v>770</v>
      </c>
      <c r="J48" s="489">
        <v>0</v>
      </c>
    </row>
    <row r="49" spans="1:10">
      <c r="A49">
        <v>10</v>
      </c>
      <c r="B49" s="489" t="str">
        <f>H$7</f>
        <v>S20</v>
      </c>
      <c r="C49" s="489" t="str">
        <f>I$7</f>
        <v>ThinMag</v>
      </c>
      <c r="D49" s="489">
        <f>J$7</f>
        <v>0</v>
      </c>
      <c r="E49" s="489">
        <f>K$7</f>
        <v>-2.7478633617949475</v>
      </c>
      <c r="H49" s="489" t="s">
        <v>297</v>
      </c>
      <c r="I49" s="489" t="s">
        <v>770</v>
      </c>
      <c r="J49" s="489">
        <v>0</v>
      </c>
    </row>
    <row r="50" spans="1:10">
      <c r="A50">
        <v>10</v>
      </c>
      <c r="B50" s="489" t="str">
        <f>H$17</f>
        <v>S22-C11</v>
      </c>
      <c r="C50" s="489" t="str">
        <f>I$17</f>
        <v>ThinMag</v>
      </c>
      <c r="D50" s="489">
        <f>J$17</f>
        <v>0</v>
      </c>
      <c r="E50" s="489">
        <f>K$17</f>
        <v>-0.81436699999999984</v>
      </c>
      <c r="H50" s="489" t="s">
        <v>298</v>
      </c>
      <c r="I50" s="489" t="s">
        <v>770</v>
      </c>
      <c r="J50" s="489">
        <v>0</v>
      </c>
    </row>
    <row r="51" spans="1:10">
      <c r="A51">
        <v>10</v>
      </c>
      <c r="B51" s="489" t="str">
        <f>H$18</f>
        <v>S24-C11</v>
      </c>
      <c r="C51" s="489" t="str">
        <f t="shared" ref="C51:E52" si="12">I$18</f>
        <v>ThinMag</v>
      </c>
      <c r="D51" s="489">
        <f t="shared" si="12"/>
        <v>0</v>
      </c>
      <c r="E51" s="489">
        <f t="shared" si="12"/>
        <v>1.3711439999999999</v>
      </c>
      <c r="H51" s="489" t="s">
        <v>633</v>
      </c>
      <c r="I51" s="489" t="s">
        <v>770</v>
      </c>
      <c r="J51" s="489">
        <v>0</v>
      </c>
    </row>
    <row r="52" spans="1:10">
      <c r="A52">
        <v>11</v>
      </c>
      <c r="B52" s="489" t="str">
        <f>H$18</f>
        <v>S24-C11</v>
      </c>
      <c r="C52" s="489" t="str">
        <f t="shared" si="12"/>
        <v>ThinMag</v>
      </c>
      <c r="D52" s="489">
        <f t="shared" si="12"/>
        <v>0</v>
      </c>
      <c r="E52" s="489">
        <f t="shared" si="12"/>
        <v>1.3711439999999999</v>
      </c>
      <c r="H52" s="489" t="s">
        <v>921</v>
      </c>
      <c r="I52" s="489" t="s">
        <v>770</v>
      </c>
      <c r="J52" s="489">
        <v>0</v>
      </c>
    </row>
    <row r="53" spans="1:10">
      <c r="A53">
        <v>11</v>
      </c>
      <c r="B53" s="489" t="str">
        <f>H$17</f>
        <v>S22-C11</v>
      </c>
      <c r="C53" s="489" t="str">
        <f>I$17</f>
        <v>ThinMag</v>
      </c>
      <c r="D53" s="489">
        <f>J$17</f>
        <v>0</v>
      </c>
      <c r="E53" s="489">
        <f>K$17</f>
        <v>-0.81436699999999984</v>
      </c>
      <c r="H53" s="489" t="s">
        <v>1085</v>
      </c>
      <c r="I53" s="489" t="s">
        <v>770</v>
      </c>
      <c r="J53" s="489">
        <v>0</v>
      </c>
    </row>
    <row r="54" spans="1:10">
      <c r="A54">
        <v>11</v>
      </c>
      <c r="B54" s="489" t="str">
        <f>H$7</f>
        <v>S20</v>
      </c>
      <c r="C54" s="489" t="str">
        <f>I$7</f>
        <v>ThinMag</v>
      </c>
      <c r="D54" s="489">
        <f>J$7</f>
        <v>0</v>
      </c>
      <c r="E54" s="489">
        <f>K$7</f>
        <v>-2.7478633617949475</v>
      </c>
      <c r="H54" s="489" t="s">
        <v>1086</v>
      </c>
      <c r="I54" s="489" t="s">
        <v>770</v>
      </c>
      <c r="J54" s="489">
        <v>0</v>
      </c>
    </row>
    <row r="55" spans="1:10">
      <c r="A55">
        <v>11</v>
      </c>
      <c r="B55" s="489" t="str">
        <f>H$6</f>
        <v>S19</v>
      </c>
      <c r="C55" s="489" t="str">
        <f>I$6</f>
        <v>ThinMag</v>
      </c>
      <c r="D55" s="489">
        <f>J$6</f>
        <v>0</v>
      </c>
      <c r="E55" s="489">
        <f>K$6</f>
        <v>4.6900555675921014</v>
      </c>
      <c r="H55" s="489" t="s">
        <v>883</v>
      </c>
      <c r="I55" s="489" t="s">
        <v>770</v>
      </c>
      <c r="J55" s="489">
        <v>0</v>
      </c>
    </row>
    <row r="56" spans="1:10">
      <c r="A56">
        <v>11</v>
      </c>
      <c r="B56" s="489" t="str">
        <f>H$5</f>
        <v>S13</v>
      </c>
      <c r="C56" s="489" t="str">
        <f>I$5</f>
        <v>ThinMag</v>
      </c>
      <c r="D56" s="489">
        <f>J$5</f>
        <v>0</v>
      </c>
      <c r="E56" s="489">
        <f>K$5</f>
        <v>-2.7478633617949475</v>
      </c>
      <c r="H56" s="489" t="s">
        <v>884</v>
      </c>
      <c r="I56" s="489" t="s">
        <v>770</v>
      </c>
      <c r="J56" s="489">
        <v>0</v>
      </c>
    </row>
    <row r="57" spans="1:10">
      <c r="A57">
        <v>11</v>
      </c>
      <c r="B57" s="489" t="str">
        <f>H$4</f>
        <v>S6</v>
      </c>
      <c r="C57" s="489" t="str">
        <f>I$4</f>
        <v>ThinMag</v>
      </c>
      <c r="D57" s="489">
        <f>J$4</f>
        <v>0</v>
      </c>
      <c r="E57" s="489">
        <f>K$4</f>
        <v>-1.578319</v>
      </c>
      <c r="H57" s="489" t="s">
        <v>885</v>
      </c>
      <c r="I57" s="489" t="s">
        <v>770</v>
      </c>
      <c r="J57" s="489">
        <v>0</v>
      </c>
    </row>
    <row r="58" spans="1:10">
      <c r="A58">
        <v>11</v>
      </c>
      <c r="B58" s="489" t="str">
        <f>H$3</f>
        <v>S4</v>
      </c>
      <c r="C58" s="489" t="str">
        <f t="shared" ref="C58:E59" si="13">I$3</f>
        <v>ThinMag</v>
      </c>
      <c r="D58" s="489">
        <f t="shared" si="13"/>
        <v>0</v>
      </c>
      <c r="E58" s="489">
        <f t="shared" si="13"/>
        <v>1.2574189999999998</v>
      </c>
    </row>
    <row r="59" spans="1:10">
      <c r="A59">
        <v>12</v>
      </c>
      <c r="B59" s="489" t="str">
        <f>H$3</f>
        <v>S4</v>
      </c>
      <c r="C59" s="489" t="str">
        <f t="shared" si="13"/>
        <v>ThinMag</v>
      </c>
      <c r="D59" s="489">
        <f t="shared" si="13"/>
        <v>0</v>
      </c>
      <c r="E59" s="489">
        <f t="shared" si="13"/>
        <v>1.2574189999999998</v>
      </c>
    </row>
    <row r="60" spans="1:10">
      <c r="A60">
        <v>12</v>
      </c>
      <c r="B60" s="489" t="str">
        <f>H$4</f>
        <v>S6</v>
      </c>
      <c r="C60" s="489" t="str">
        <f>I$4</f>
        <v>ThinMag</v>
      </c>
      <c r="D60" s="489">
        <f>J$4</f>
        <v>0</v>
      </c>
      <c r="E60" s="489">
        <f>K$4</f>
        <v>-1.578319</v>
      </c>
    </row>
    <row r="61" spans="1:10">
      <c r="A61">
        <v>12</v>
      </c>
      <c r="B61" s="489" t="str">
        <f>H$5</f>
        <v>S13</v>
      </c>
      <c r="C61" s="489" t="str">
        <f>I$5</f>
        <v>ThinMag</v>
      </c>
      <c r="D61" s="489">
        <f>J$5</f>
        <v>0</v>
      </c>
      <c r="E61" s="489">
        <f>K$5</f>
        <v>-2.7478633617949475</v>
      </c>
    </row>
    <row r="62" spans="1:10">
      <c r="A62">
        <v>12</v>
      </c>
      <c r="B62" s="489" t="str">
        <f>H$6</f>
        <v>S19</v>
      </c>
      <c r="C62" s="489" t="str">
        <f>I$6</f>
        <v>ThinMag</v>
      </c>
      <c r="D62" s="489">
        <f>J$6</f>
        <v>0</v>
      </c>
      <c r="E62" s="489">
        <f>K$6</f>
        <v>4.6900555675921014</v>
      </c>
    </row>
    <row r="63" spans="1:10">
      <c r="A63">
        <v>12</v>
      </c>
      <c r="B63" s="489" t="str">
        <f>H$7</f>
        <v>S20</v>
      </c>
      <c r="C63" s="489" t="str">
        <f>I$7</f>
        <v>ThinMag</v>
      </c>
      <c r="D63" s="489">
        <f>J$7</f>
        <v>0</v>
      </c>
      <c r="E63" s="489">
        <f>K$7</f>
        <v>-2.7478633617949475</v>
      </c>
    </row>
    <row r="64" spans="1:10">
      <c r="A64">
        <v>12</v>
      </c>
      <c r="B64" s="489" t="str">
        <f>H$8</f>
        <v>S22</v>
      </c>
      <c r="C64" s="489" t="str">
        <f>I$8</f>
        <v>ThinMag</v>
      </c>
      <c r="D64" s="489">
        <f>J$8</f>
        <v>0</v>
      </c>
      <c r="E64" s="489">
        <f>K$8</f>
        <v>-0.81436699999999984</v>
      </c>
    </row>
    <row r="65" spans="1:5">
      <c r="A65">
        <v>12</v>
      </c>
      <c r="B65" s="489" t="str">
        <f>H$9</f>
        <v>S24</v>
      </c>
      <c r="C65" s="489" t="str">
        <f t="shared" ref="C65:E66" si="14">I$9</f>
        <v>ThinMag</v>
      </c>
      <c r="D65" s="489">
        <f t="shared" si="14"/>
        <v>0</v>
      </c>
      <c r="E65" s="489">
        <f t="shared" si="14"/>
        <v>1.3711439999999999</v>
      </c>
    </row>
    <row r="66" spans="1:5">
      <c r="A66">
        <v>13</v>
      </c>
      <c r="B66" s="489" t="str">
        <f>H$9</f>
        <v>S24</v>
      </c>
      <c r="C66" s="489" t="str">
        <f t="shared" si="14"/>
        <v>ThinMag</v>
      </c>
      <c r="D66" s="489">
        <f t="shared" si="14"/>
        <v>0</v>
      </c>
      <c r="E66" s="489">
        <f t="shared" si="14"/>
        <v>1.3711439999999999</v>
      </c>
    </row>
    <row r="67" spans="1:5">
      <c r="A67">
        <v>13</v>
      </c>
      <c r="B67" s="489" t="str">
        <f>H$8</f>
        <v>S22</v>
      </c>
      <c r="C67" s="489" t="str">
        <f>I$8</f>
        <v>ThinMag</v>
      </c>
      <c r="D67" s="489">
        <f>J$8</f>
        <v>0</v>
      </c>
      <c r="E67" s="489">
        <f>K$8</f>
        <v>-0.81436699999999984</v>
      </c>
    </row>
    <row r="68" spans="1:5">
      <c r="A68">
        <v>13</v>
      </c>
      <c r="B68" s="489" t="str">
        <f>H$7</f>
        <v>S20</v>
      </c>
      <c r="C68" s="489" t="str">
        <f>I$7</f>
        <v>ThinMag</v>
      </c>
      <c r="D68" s="489">
        <f>J$7</f>
        <v>0</v>
      </c>
      <c r="E68" s="489">
        <f>K$7</f>
        <v>-2.7478633617949475</v>
      </c>
    </row>
    <row r="69" spans="1:5">
      <c r="A69">
        <v>13</v>
      </c>
      <c r="B69" s="489" t="str">
        <f>H$6</f>
        <v>S19</v>
      </c>
      <c r="C69" s="489" t="str">
        <f>I$6</f>
        <v>ThinMag</v>
      </c>
      <c r="D69" s="489">
        <f>J$6</f>
        <v>0</v>
      </c>
      <c r="E69" s="489">
        <f>K$6</f>
        <v>4.6900555675921014</v>
      </c>
    </row>
    <row r="70" spans="1:5">
      <c r="A70">
        <v>13</v>
      </c>
      <c r="B70" s="489" t="str">
        <f>H$5</f>
        <v>S13</v>
      </c>
      <c r="C70" s="489" t="str">
        <f>I$5</f>
        <v>ThinMag</v>
      </c>
      <c r="D70" s="489">
        <f>J$5</f>
        <v>0</v>
      </c>
      <c r="E70" s="489">
        <f>K$5</f>
        <v>-2.7478633617949475</v>
      </c>
    </row>
    <row r="71" spans="1:5">
      <c r="A71">
        <v>13</v>
      </c>
      <c r="B71" s="489" t="str">
        <f>H$4</f>
        <v>S6</v>
      </c>
      <c r="C71" s="489" t="str">
        <f>I$4</f>
        <v>ThinMag</v>
      </c>
      <c r="D71" s="489">
        <f>J$4</f>
        <v>0</v>
      </c>
      <c r="E71" s="489">
        <f>K$4</f>
        <v>-1.578319</v>
      </c>
    </row>
    <row r="72" spans="1:5">
      <c r="A72">
        <v>13</v>
      </c>
      <c r="B72" s="489" t="str">
        <f>H$3</f>
        <v>S4</v>
      </c>
      <c r="C72" s="489" t="str">
        <f t="shared" ref="C72:E73" si="15">I$3</f>
        <v>ThinMag</v>
      </c>
      <c r="D72" s="489">
        <f t="shared" si="15"/>
        <v>0</v>
      </c>
      <c r="E72" s="489">
        <f t="shared" si="15"/>
        <v>1.2574189999999998</v>
      </c>
    </row>
    <row r="73" spans="1:5">
      <c r="A73">
        <v>14</v>
      </c>
      <c r="B73" s="489" t="str">
        <f>H$3</f>
        <v>S4</v>
      </c>
      <c r="C73" s="489" t="str">
        <f t="shared" si="15"/>
        <v>ThinMag</v>
      </c>
      <c r="D73" s="489">
        <f t="shared" si="15"/>
        <v>0</v>
      </c>
      <c r="E73" s="489">
        <f t="shared" si="15"/>
        <v>1.2574189999999998</v>
      </c>
    </row>
    <row r="74" spans="1:5">
      <c r="A74">
        <v>14</v>
      </c>
      <c r="B74" s="489" t="str">
        <f>H$4</f>
        <v>S6</v>
      </c>
      <c r="C74" s="489" t="str">
        <f>I$4</f>
        <v>ThinMag</v>
      </c>
      <c r="D74" s="489">
        <f>J$4</f>
        <v>0</v>
      </c>
      <c r="E74" s="489">
        <f>K$4</f>
        <v>-1.578319</v>
      </c>
    </row>
    <row r="75" spans="1:5">
      <c r="A75">
        <v>14</v>
      </c>
      <c r="B75" s="489" t="str">
        <f>H$5</f>
        <v>S13</v>
      </c>
      <c r="C75" s="489" t="str">
        <f>I$5</f>
        <v>ThinMag</v>
      </c>
      <c r="D75" s="489">
        <f>J$5</f>
        <v>0</v>
      </c>
      <c r="E75" s="489">
        <f>K$5</f>
        <v>-2.7478633617949475</v>
      </c>
    </row>
    <row r="76" spans="1:5">
      <c r="A76">
        <v>14</v>
      </c>
      <c r="B76" s="489" t="str">
        <f>H$6</f>
        <v>S19</v>
      </c>
      <c r="C76" s="489" t="str">
        <f>I$6</f>
        <v>ThinMag</v>
      </c>
      <c r="D76" s="489">
        <f>J$6</f>
        <v>0</v>
      </c>
      <c r="E76" s="489">
        <f>K$6</f>
        <v>4.6900555675921014</v>
      </c>
    </row>
    <row r="77" spans="1:5">
      <c r="A77">
        <v>14</v>
      </c>
      <c r="B77" s="489" t="str">
        <f>H$7</f>
        <v>S20</v>
      </c>
      <c r="C77" s="489" t="str">
        <f>I$7</f>
        <v>ThinMag</v>
      </c>
      <c r="D77" s="489">
        <f>J$7</f>
        <v>0</v>
      </c>
      <c r="E77" s="489">
        <f>K$7</f>
        <v>-2.7478633617949475</v>
      </c>
    </row>
    <row r="78" spans="1:5">
      <c r="A78">
        <v>14</v>
      </c>
      <c r="B78" s="489" t="str">
        <f>H$8</f>
        <v>S22</v>
      </c>
      <c r="C78" s="489" t="str">
        <f>I$8</f>
        <v>ThinMag</v>
      </c>
      <c r="D78" s="489">
        <f>J$8</f>
        <v>0</v>
      </c>
      <c r="E78" s="489">
        <f>K$8</f>
        <v>-0.81436699999999984</v>
      </c>
    </row>
    <row r="79" spans="1:5">
      <c r="A79">
        <v>14</v>
      </c>
      <c r="B79" s="489" t="str">
        <f>H$9</f>
        <v>S24</v>
      </c>
      <c r="C79" s="489" t="str">
        <f t="shared" ref="C79:E80" si="16">I$9</f>
        <v>ThinMag</v>
      </c>
      <c r="D79" s="489">
        <f t="shared" si="16"/>
        <v>0</v>
      </c>
      <c r="E79" s="489">
        <f t="shared" si="16"/>
        <v>1.3711439999999999</v>
      </c>
    </row>
    <row r="80" spans="1:5">
      <c r="A80">
        <v>15</v>
      </c>
      <c r="B80" s="489" t="str">
        <f>H$9</f>
        <v>S24</v>
      </c>
      <c r="C80" s="489" t="str">
        <f t="shared" si="16"/>
        <v>ThinMag</v>
      </c>
      <c r="D80" s="489">
        <f t="shared" si="16"/>
        <v>0</v>
      </c>
      <c r="E80" s="489">
        <f t="shared" si="16"/>
        <v>1.3711439999999999</v>
      </c>
    </row>
    <row r="81" spans="1:5">
      <c r="A81">
        <v>15</v>
      </c>
      <c r="B81" s="489" t="str">
        <f>H$8</f>
        <v>S22</v>
      </c>
      <c r="C81" s="489" t="str">
        <f>I$8</f>
        <v>ThinMag</v>
      </c>
      <c r="D81" s="489">
        <f>J$8</f>
        <v>0</v>
      </c>
      <c r="E81" s="489">
        <f>K$8</f>
        <v>-0.81436699999999984</v>
      </c>
    </row>
    <row r="82" spans="1:5">
      <c r="A82">
        <v>15</v>
      </c>
      <c r="B82" s="489" t="str">
        <f>H$7</f>
        <v>S20</v>
      </c>
      <c r="C82" s="489" t="str">
        <f>I$7</f>
        <v>ThinMag</v>
      </c>
      <c r="D82" s="489">
        <f>J$7</f>
        <v>0</v>
      </c>
      <c r="E82" s="489">
        <f>K$7</f>
        <v>-2.7478633617949475</v>
      </c>
    </row>
    <row r="83" spans="1:5">
      <c r="A83">
        <v>15</v>
      </c>
      <c r="B83" s="489" t="str">
        <f>H$6</f>
        <v>S19</v>
      </c>
      <c r="C83" s="489" t="str">
        <f>I$6</f>
        <v>ThinMag</v>
      </c>
      <c r="D83" s="489">
        <f>J$6</f>
        <v>0</v>
      </c>
      <c r="E83" s="489">
        <f>K$6</f>
        <v>4.6900555675921014</v>
      </c>
    </row>
    <row r="84" spans="1:5">
      <c r="A84">
        <v>15</v>
      </c>
      <c r="B84" s="489" t="str">
        <f>H$5</f>
        <v>S13</v>
      </c>
      <c r="C84" s="489" t="str">
        <f>I$5</f>
        <v>ThinMag</v>
      </c>
      <c r="D84" s="489">
        <f>J$5</f>
        <v>0</v>
      </c>
      <c r="E84" s="489">
        <f>K$5</f>
        <v>-2.7478633617949475</v>
      </c>
    </row>
    <row r="85" spans="1:5">
      <c r="A85">
        <v>15</v>
      </c>
      <c r="B85" s="489" t="str">
        <f>H$4</f>
        <v>S6</v>
      </c>
      <c r="C85" s="489" t="str">
        <f>I$4</f>
        <v>ThinMag</v>
      </c>
      <c r="D85" s="489">
        <f>J$4</f>
        <v>0</v>
      </c>
      <c r="E85" s="489">
        <f>K$4</f>
        <v>-1.578319</v>
      </c>
    </row>
    <row r="86" spans="1:5">
      <c r="A86">
        <v>15</v>
      </c>
      <c r="B86" s="489" t="str">
        <f>H$3</f>
        <v>S4</v>
      </c>
      <c r="C86" s="489" t="str">
        <f t="shared" ref="C86:E87" si="17">I$3</f>
        <v>ThinMag</v>
      </c>
      <c r="D86" s="489">
        <f t="shared" si="17"/>
        <v>0</v>
      </c>
      <c r="E86" s="489">
        <f t="shared" si="17"/>
        <v>1.2574189999999998</v>
      </c>
    </row>
    <row r="87" spans="1:5">
      <c r="A87">
        <v>16</v>
      </c>
      <c r="B87" s="489" t="str">
        <f>H$3</f>
        <v>S4</v>
      </c>
      <c r="C87" s="489" t="str">
        <f t="shared" si="17"/>
        <v>ThinMag</v>
      </c>
      <c r="D87" s="489">
        <f t="shared" si="17"/>
        <v>0</v>
      </c>
      <c r="E87" s="489">
        <f t="shared" si="17"/>
        <v>1.2574189999999998</v>
      </c>
    </row>
    <row r="88" spans="1:5">
      <c r="A88">
        <v>16</v>
      </c>
      <c r="B88" s="489" t="str">
        <f>H$4</f>
        <v>S6</v>
      </c>
      <c r="C88" s="489" t="str">
        <f>I$4</f>
        <v>ThinMag</v>
      </c>
      <c r="D88" s="489">
        <f>J$4</f>
        <v>0</v>
      </c>
      <c r="E88" s="489">
        <f>K$4</f>
        <v>-1.578319</v>
      </c>
    </row>
    <row r="89" spans="1:5">
      <c r="A89">
        <v>16</v>
      </c>
      <c r="B89" s="489" t="str">
        <f>H$5</f>
        <v>S13</v>
      </c>
      <c r="C89" s="489" t="str">
        <f>I$5</f>
        <v>ThinMag</v>
      </c>
      <c r="D89" s="489">
        <f>J$5</f>
        <v>0</v>
      </c>
      <c r="E89" s="489">
        <f>K$5</f>
        <v>-2.7478633617949475</v>
      </c>
    </row>
    <row r="90" spans="1:5">
      <c r="A90">
        <v>16</v>
      </c>
      <c r="B90" s="489" t="str">
        <f>H$6</f>
        <v>S19</v>
      </c>
      <c r="C90" s="489" t="str">
        <f>I$6</f>
        <v>ThinMag</v>
      </c>
      <c r="D90" s="489">
        <f>J$6</f>
        <v>0</v>
      </c>
      <c r="E90" s="489">
        <f>K$6</f>
        <v>4.6900555675921014</v>
      </c>
    </row>
    <row r="91" spans="1:5">
      <c r="A91">
        <v>16</v>
      </c>
      <c r="B91" s="489" t="str">
        <f>H$7</f>
        <v>S20</v>
      </c>
      <c r="C91" s="489" t="str">
        <f>I$7</f>
        <v>ThinMag</v>
      </c>
      <c r="D91" s="489">
        <f>J$7</f>
        <v>0</v>
      </c>
      <c r="E91" s="489">
        <f>K$7</f>
        <v>-2.7478633617949475</v>
      </c>
    </row>
    <row r="92" spans="1:5">
      <c r="A92">
        <v>16</v>
      </c>
      <c r="B92" s="489" t="str">
        <f>H$8</f>
        <v>S22</v>
      </c>
      <c r="C92" s="489" t="str">
        <f>I$8</f>
        <v>ThinMag</v>
      </c>
      <c r="D92" s="489">
        <f>J$8</f>
        <v>0</v>
      </c>
      <c r="E92" s="489">
        <f>K$8</f>
        <v>-0.81436699999999984</v>
      </c>
    </row>
    <row r="93" spans="1:5">
      <c r="A93">
        <v>16</v>
      </c>
      <c r="B93" s="489" t="str">
        <f>H$9</f>
        <v>S24</v>
      </c>
      <c r="C93" s="489" t="str">
        <f t="shared" ref="C93:E94" si="18">I$9</f>
        <v>ThinMag</v>
      </c>
      <c r="D93" s="489">
        <f t="shared" si="18"/>
        <v>0</v>
      </c>
      <c r="E93" s="489">
        <f t="shared" si="18"/>
        <v>1.3711439999999999</v>
      </c>
    </row>
    <row r="94" spans="1:5">
      <c r="A94">
        <v>17</v>
      </c>
      <c r="B94" s="489" t="str">
        <f>H$9</f>
        <v>S24</v>
      </c>
      <c r="C94" s="489" t="str">
        <f t="shared" si="18"/>
        <v>ThinMag</v>
      </c>
      <c r="D94" s="489">
        <f t="shared" si="18"/>
        <v>0</v>
      </c>
      <c r="E94" s="489">
        <f t="shared" si="18"/>
        <v>1.3711439999999999</v>
      </c>
    </row>
    <row r="95" spans="1:5">
      <c r="A95">
        <v>17</v>
      </c>
      <c r="B95" s="489" t="str">
        <f>H$8</f>
        <v>S22</v>
      </c>
      <c r="C95" s="489" t="str">
        <f>I$8</f>
        <v>ThinMag</v>
      </c>
      <c r="D95" s="489">
        <f>J$8</f>
        <v>0</v>
      </c>
      <c r="E95" s="489">
        <f>K$8</f>
        <v>-0.81436699999999984</v>
      </c>
    </row>
    <row r="96" spans="1:5">
      <c r="A96">
        <v>17</v>
      </c>
      <c r="B96" s="489" t="str">
        <f>H$7</f>
        <v>S20</v>
      </c>
      <c r="C96" s="489" t="str">
        <f>I$7</f>
        <v>ThinMag</v>
      </c>
      <c r="D96" s="489">
        <f>J$7</f>
        <v>0</v>
      </c>
      <c r="E96" s="489">
        <f>K$7</f>
        <v>-2.7478633617949475</v>
      </c>
    </row>
    <row r="97" spans="1:5">
      <c r="A97">
        <v>17</v>
      </c>
      <c r="B97" s="489" t="str">
        <f>H$6</f>
        <v>S19</v>
      </c>
      <c r="C97" s="489" t="str">
        <f>I$6</f>
        <v>ThinMag</v>
      </c>
      <c r="D97" s="489">
        <f>J$6</f>
        <v>0</v>
      </c>
      <c r="E97" s="489">
        <f>K$6</f>
        <v>4.6900555675921014</v>
      </c>
    </row>
    <row r="98" spans="1:5">
      <c r="A98">
        <v>17</v>
      </c>
      <c r="B98" s="489" t="str">
        <f>H$5</f>
        <v>S13</v>
      </c>
      <c r="C98" s="489" t="str">
        <f>I$5</f>
        <v>ThinMag</v>
      </c>
      <c r="D98" s="489">
        <f>J$5</f>
        <v>0</v>
      </c>
      <c r="E98" s="489">
        <f>K$5</f>
        <v>-2.7478633617949475</v>
      </c>
    </row>
    <row r="99" spans="1:5">
      <c r="A99">
        <v>17</v>
      </c>
      <c r="B99" s="489" t="str">
        <f>H$4</f>
        <v>S6</v>
      </c>
      <c r="C99" s="489" t="str">
        <f>I$4</f>
        <v>ThinMag</v>
      </c>
      <c r="D99" s="489">
        <f>J$4</f>
        <v>0</v>
      </c>
      <c r="E99" s="489">
        <f>K$4</f>
        <v>-1.578319</v>
      </c>
    </row>
    <row r="100" spans="1:5">
      <c r="A100">
        <v>17</v>
      </c>
      <c r="B100" s="489" t="str">
        <f>H$3</f>
        <v>S4</v>
      </c>
      <c r="C100" s="489" t="str">
        <f t="shared" ref="C100:E101" si="19">I$3</f>
        <v>ThinMag</v>
      </c>
      <c r="D100" s="489">
        <f t="shared" si="19"/>
        <v>0</v>
      </c>
      <c r="E100" s="489">
        <f t="shared" si="19"/>
        <v>1.2574189999999998</v>
      </c>
    </row>
    <row r="101" spans="1:5">
      <c r="A101">
        <v>18</v>
      </c>
      <c r="B101" s="489" t="str">
        <f>H$3</f>
        <v>S4</v>
      </c>
      <c r="C101" s="489" t="str">
        <f t="shared" si="19"/>
        <v>ThinMag</v>
      </c>
      <c r="D101" s="489">
        <f t="shared" si="19"/>
        <v>0</v>
      </c>
      <c r="E101" s="489">
        <f t="shared" si="19"/>
        <v>1.2574189999999998</v>
      </c>
    </row>
    <row r="102" spans="1:5">
      <c r="A102">
        <v>18</v>
      </c>
      <c r="B102" s="489" t="str">
        <f>H$4</f>
        <v>S6</v>
      </c>
      <c r="C102" s="489" t="str">
        <f>I$4</f>
        <v>ThinMag</v>
      </c>
      <c r="D102" s="489">
        <f>J$4</f>
        <v>0</v>
      </c>
      <c r="E102" s="489">
        <f>K$4</f>
        <v>-1.578319</v>
      </c>
    </row>
    <row r="103" spans="1:5">
      <c r="A103">
        <v>18</v>
      </c>
      <c r="B103" s="489" t="str">
        <f>H$5</f>
        <v>S13</v>
      </c>
      <c r="C103" s="489" t="str">
        <f>I$5</f>
        <v>ThinMag</v>
      </c>
      <c r="D103" s="489">
        <f>J$5</f>
        <v>0</v>
      </c>
      <c r="E103" s="489">
        <f>K$5</f>
        <v>-2.7478633617949475</v>
      </c>
    </row>
    <row r="104" spans="1:5">
      <c r="A104">
        <v>18</v>
      </c>
      <c r="B104" s="489" t="str">
        <f>H$6</f>
        <v>S19</v>
      </c>
      <c r="C104" s="489" t="str">
        <f>I$6</f>
        <v>ThinMag</v>
      </c>
      <c r="D104" s="489">
        <f>J$6</f>
        <v>0</v>
      </c>
      <c r="E104" s="489">
        <f>K$6</f>
        <v>4.6900555675921014</v>
      </c>
    </row>
    <row r="105" spans="1:5">
      <c r="A105">
        <v>18</v>
      </c>
      <c r="B105" s="489" t="str">
        <f>H$7</f>
        <v>S20</v>
      </c>
      <c r="C105" s="489" t="str">
        <f>I$7</f>
        <v>ThinMag</v>
      </c>
      <c r="D105" s="489">
        <f>J$7</f>
        <v>0</v>
      </c>
      <c r="E105" s="489">
        <f>K$7</f>
        <v>-2.7478633617949475</v>
      </c>
    </row>
    <row r="106" spans="1:5">
      <c r="A106">
        <v>18</v>
      </c>
      <c r="B106" s="489" t="str">
        <f>H$8</f>
        <v>S22</v>
      </c>
      <c r="C106" s="489" t="str">
        <f>I$8</f>
        <v>ThinMag</v>
      </c>
      <c r="D106" s="489">
        <f>J$8</f>
        <v>0</v>
      </c>
      <c r="E106" s="489">
        <f>K$8</f>
        <v>-0.81436699999999984</v>
      </c>
    </row>
    <row r="107" spans="1:5">
      <c r="A107">
        <v>18</v>
      </c>
      <c r="B107" s="489" t="str">
        <f>H$9</f>
        <v>S24</v>
      </c>
      <c r="C107" s="489" t="str">
        <f t="shared" ref="C107:E108" si="20">I$9</f>
        <v>ThinMag</v>
      </c>
      <c r="D107" s="489">
        <f t="shared" si="20"/>
        <v>0</v>
      </c>
      <c r="E107" s="489">
        <f t="shared" si="20"/>
        <v>1.3711439999999999</v>
      </c>
    </row>
    <row r="108" spans="1:5">
      <c r="A108">
        <v>19</v>
      </c>
      <c r="B108" s="489" t="str">
        <f>H$9</f>
        <v>S24</v>
      </c>
      <c r="C108" s="489" t="str">
        <f t="shared" si="20"/>
        <v>ThinMag</v>
      </c>
      <c r="D108" s="489">
        <f t="shared" si="20"/>
        <v>0</v>
      </c>
      <c r="E108" s="489">
        <f t="shared" si="20"/>
        <v>1.3711439999999999</v>
      </c>
    </row>
    <row r="109" spans="1:5">
      <c r="A109">
        <v>19</v>
      </c>
      <c r="B109" s="489" t="str">
        <f>H$8</f>
        <v>S22</v>
      </c>
      <c r="C109" s="489" t="str">
        <f>I$8</f>
        <v>ThinMag</v>
      </c>
      <c r="D109" s="489">
        <f>J$8</f>
        <v>0</v>
      </c>
      <c r="E109" s="489">
        <f>K$8</f>
        <v>-0.81436699999999984</v>
      </c>
    </row>
    <row r="110" spans="1:5">
      <c r="A110">
        <v>19</v>
      </c>
      <c r="B110" s="489" t="str">
        <f>H$7</f>
        <v>S20</v>
      </c>
      <c r="C110" s="489" t="str">
        <f>I$7</f>
        <v>ThinMag</v>
      </c>
      <c r="D110" s="489">
        <f>J$7</f>
        <v>0</v>
      </c>
      <c r="E110" s="489">
        <f>K$7</f>
        <v>-2.7478633617949475</v>
      </c>
    </row>
    <row r="111" spans="1:5">
      <c r="A111">
        <v>19</v>
      </c>
      <c r="B111" s="489" t="str">
        <f>H$6</f>
        <v>S19</v>
      </c>
      <c r="C111" s="489" t="str">
        <f>I$6</f>
        <v>ThinMag</v>
      </c>
      <c r="D111" s="489">
        <f>J$6</f>
        <v>0</v>
      </c>
      <c r="E111" s="489">
        <f>K$6</f>
        <v>4.6900555675921014</v>
      </c>
    </row>
    <row r="112" spans="1:5">
      <c r="A112">
        <v>19</v>
      </c>
      <c r="B112" s="489" t="str">
        <f>H$5</f>
        <v>S13</v>
      </c>
      <c r="C112" s="489" t="str">
        <f>I$5</f>
        <v>ThinMag</v>
      </c>
      <c r="D112" s="489">
        <f>J$5</f>
        <v>0</v>
      </c>
      <c r="E112" s="489">
        <f>K$5</f>
        <v>-2.7478633617949475</v>
      </c>
    </row>
    <row r="113" spans="1:5">
      <c r="A113">
        <v>19</v>
      </c>
      <c r="B113" s="489" t="str">
        <f>H$21</f>
        <v>S6-C20</v>
      </c>
      <c r="C113" s="489" t="str">
        <f>I$21</f>
        <v>ThinMag</v>
      </c>
      <c r="D113" s="489">
        <f>J$21</f>
        <v>0</v>
      </c>
      <c r="E113" s="489">
        <f>K$21</f>
        <v>-1.578319</v>
      </c>
    </row>
    <row r="114" spans="1:5">
      <c r="A114">
        <v>19</v>
      </c>
      <c r="B114" s="489" t="str">
        <f>H$20</f>
        <v>S4-C20</v>
      </c>
      <c r="C114" s="489" t="str">
        <f t="shared" ref="C114:E115" si="21">I$20</f>
        <v>ThinMag</v>
      </c>
      <c r="D114" s="489">
        <f t="shared" si="21"/>
        <v>0</v>
      </c>
      <c r="E114" s="489">
        <f t="shared" si="21"/>
        <v>1.2574189999999998</v>
      </c>
    </row>
    <row r="115" spans="1:5">
      <c r="A115">
        <v>20</v>
      </c>
      <c r="B115" s="489" t="str">
        <f>H$20</f>
        <v>S4-C20</v>
      </c>
      <c r="C115" s="489" t="str">
        <f t="shared" si="21"/>
        <v>ThinMag</v>
      </c>
      <c r="D115" s="489">
        <f t="shared" si="21"/>
        <v>0</v>
      </c>
      <c r="E115" s="489">
        <f t="shared" si="21"/>
        <v>1.2574189999999998</v>
      </c>
    </row>
    <row r="116" spans="1:5">
      <c r="A116">
        <v>20</v>
      </c>
      <c r="B116" s="489" t="str">
        <f>H$21</f>
        <v>S6-C20</v>
      </c>
      <c r="C116" s="489" t="str">
        <f>I$21</f>
        <v>ThinMag</v>
      </c>
      <c r="D116" s="489">
        <f>J$21</f>
        <v>0</v>
      </c>
      <c r="E116" s="489">
        <f>K$21</f>
        <v>-1.578319</v>
      </c>
    </row>
    <row r="117" spans="1:5">
      <c r="A117">
        <v>20</v>
      </c>
      <c r="B117" s="489" t="str">
        <f>H$5</f>
        <v>S13</v>
      </c>
      <c r="C117" s="489" t="str">
        <f>I$5</f>
        <v>ThinMag</v>
      </c>
      <c r="D117" s="489">
        <f>J$5</f>
        <v>0</v>
      </c>
      <c r="E117" s="489">
        <f>K$5</f>
        <v>-2.7478633617949475</v>
      </c>
    </row>
    <row r="118" spans="1:5">
      <c r="A118">
        <v>20</v>
      </c>
      <c r="B118" s="489" t="str">
        <f>H$6</f>
        <v>S19</v>
      </c>
      <c r="C118" s="489" t="str">
        <f>I$6</f>
        <v>ThinMag</v>
      </c>
      <c r="D118" s="489">
        <f>J$6</f>
        <v>0</v>
      </c>
      <c r="E118" s="489">
        <f>K$6</f>
        <v>4.6900555675921014</v>
      </c>
    </row>
    <row r="119" spans="1:5">
      <c r="A119">
        <v>20</v>
      </c>
      <c r="B119" s="489" t="str">
        <f>H$7</f>
        <v>S20</v>
      </c>
      <c r="C119" s="489" t="str">
        <f>I$7</f>
        <v>ThinMag</v>
      </c>
      <c r="D119" s="489">
        <f>J$7</f>
        <v>0</v>
      </c>
      <c r="E119" s="489">
        <f>K$7</f>
        <v>-2.7478633617949475</v>
      </c>
    </row>
    <row r="120" spans="1:5">
      <c r="A120">
        <v>20</v>
      </c>
      <c r="B120" s="489" t="str">
        <f>H$8</f>
        <v>S22</v>
      </c>
      <c r="C120" s="489" t="str">
        <f>I$8</f>
        <v>ThinMag</v>
      </c>
      <c r="D120" s="489">
        <f>J$8</f>
        <v>0</v>
      </c>
      <c r="E120" s="489">
        <f>K$8</f>
        <v>-0.81436699999999984</v>
      </c>
    </row>
    <row r="121" spans="1:5">
      <c r="A121">
        <v>20</v>
      </c>
      <c r="B121" s="489" t="str">
        <f>H$9</f>
        <v>S24</v>
      </c>
      <c r="C121" s="489" t="str">
        <f t="shared" ref="C121:E122" si="22">I$9</f>
        <v>ThinMag</v>
      </c>
      <c r="D121" s="489">
        <f t="shared" si="22"/>
        <v>0</v>
      </c>
      <c r="E121" s="489">
        <f t="shared" si="22"/>
        <v>1.3711439999999999</v>
      </c>
    </row>
    <row r="122" spans="1:5">
      <c r="A122">
        <v>21</v>
      </c>
      <c r="B122" s="489" t="str">
        <f>H$9</f>
        <v>S24</v>
      </c>
      <c r="C122" s="489" t="str">
        <f t="shared" si="22"/>
        <v>ThinMag</v>
      </c>
      <c r="D122" s="489">
        <f t="shared" si="22"/>
        <v>0</v>
      </c>
      <c r="E122" s="489">
        <f t="shared" si="22"/>
        <v>1.3711439999999999</v>
      </c>
    </row>
    <row r="123" spans="1:5">
      <c r="A123">
        <v>21</v>
      </c>
      <c r="B123" s="489" t="str">
        <f>H$8</f>
        <v>S22</v>
      </c>
      <c r="C123" s="489" t="str">
        <f>I$8</f>
        <v>ThinMag</v>
      </c>
      <c r="D123" s="489">
        <f>J$8</f>
        <v>0</v>
      </c>
      <c r="E123" s="489">
        <f>K$8</f>
        <v>-0.81436699999999984</v>
      </c>
    </row>
    <row r="124" spans="1:5">
      <c r="A124">
        <v>21</v>
      </c>
      <c r="B124" s="489" t="str">
        <f>H$7</f>
        <v>S20</v>
      </c>
      <c r="C124" s="489" t="str">
        <f>I$7</f>
        <v>ThinMag</v>
      </c>
      <c r="D124" s="489">
        <f>J$7</f>
        <v>0</v>
      </c>
      <c r="E124" s="489">
        <f>K$7</f>
        <v>-2.7478633617949475</v>
      </c>
    </row>
    <row r="125" spans="1:5">
      <c r="A125">
        <v>21</v>
      </c>
      <c r="B125" s="489" t="str">
        <f>H$6</f>
        <v>S19</v>
      </c>
      <c r="C125" s="489" t="str">
        <f>I$6</f>
        <v>ThinMag</v>
      </c>
      <c r="D125" s="489">
        <f>J$6</f>
        <v>0</v>
      </c>
      <c r="E125" s="489">
        <f>K$6</f>
        <v>4.6900555675921014</v>
      </c>
    </row>
    <row r="126" spans="1:5">
      <c r="A126">
        <v>21</v>
      </c>
      <c r="B126" s="489" t="str">
        <f>H$5</f>
        <v>S13</v>
      </c>
      <c r="C126" s="489" t="str">
        <f>I$5</f>
        <v>ThinMag</v>
      </c>
      <c r="D126" s="489">
        <f>J$5</f>
        <v>0</v>
      </c>
      <c r="E126" s="489">
        <f>K$5</f>
        <v>-2.7478633617949475</v>
      </c>
    </row>
    <row r="127" spans="1:5">
      <c r="A127">
        <v>21</v>
      </c>
      <c r="B127" s="489" t="str">
        <f>H$4</f>
        <v>S6</v>
      </c>
      <c r="C127" s="489" t="str">
        <f>I$4</f>
        <v>ThinMag</v>
      </c>
      <c r="D127" s="489">
        <f>J$4</f>
        <v>0</v>
      </c>
      <c r="E127" s="489">
        <f>K$4</f>
        <v>-1.578319</v>
      </c>
    </row>
    <row r="128" spans="1:5">
      <c r="A128">
        <v>21</v>
      </c>
      <c r="B128" s="489" t="str">
        <f>H$3</f>
        <v>S4</v>
      </c>
      <c r="C128" s="489" t="str">
        <f t="shared" ref="C128:E129" si="23">I$3</f>
        <v>ThinMag</v>
      </c>
      <c r="D128" s="489">
        <f t="shared" si="23"/>
        <v>0</v>
      </c>
      <c r="E128" s="489">
        <f t="shared" si="23"/>
        <v>1.2574189999999998</v>
      </c>
    </row>
    <row r="129" spans="1:5">
      <c r="A129">
        <v>22</v>
      </c>
      <c r="B129" s="489" t="str">
        <f>H$3</f>
        <v>S4</v>
      </c>
      <c r="C129" s="489" t="str">
        <f t="shared" si="23"/>
        <v>ThinMag</v>
      </c>
      <c r="D129" s="489">
        <f t="shared" si="23"/>
        <v>0</v>
      </c>
      <c r="E129" s="489">
        <f t="shared" si="23"/>
        <v>1.2574189999999998</v>
      </c>
    </row>
    <row r="130" spans="1:5">
      <c r="A130">
        <v>22</v>
      </c>
      <c r="B130" s="489" t="str">
        <f>H$4</f>
        <v>S6</v>
      </c>
      <c r="C130" s="489" t="str">
        <f>I$4</f>
        <v>ThinMag</v>
      </c>
      <c r="D130" s="489">
        <f>J$4</f>
        <v>0</v>
      </c>
      <c r="E130" s="489">
        <f>K$4</f>
        <v>-1.578319</v>
      </c>
    </row>
    <row r="131" spans="1:5">
      <c r="A131">
        <v>22</v>
      </c>
      <c r="B131" s="489" t="str">
        <f>H$5</f>
        <v>S13</v>
      </c>
      <c r="C131" s="489" t="str">
        <f>I$5</f>
        <v>ThinMag</v>
      </c>
      <c r="D131" s="489">
        <f>J$5</f>
        <v>0</v>
      </c>
      <c r="E131" s="489">
        <f>K$5</f>
        <v>-2.7478633617949475</v>
      </c>
    </row>
    <row r="132" spans="1:5">
      <c r="A132">
        <v>22</v>
      </c>
      <c r="B132" s="489" t="str">
        <f>H$6</f>
        <v>S19</v>
      </c>
      <c r="C132" s="489" t="str">
        <f>I$6</f>
        <v>ThinMag</v>
      </c>
      <c r="D132" s="489">
        <f>J$6</f>
        <v>0</v>
      </c>
      <c r="E132" s="489">
        <f>K$6</f>
        <v>4.6900555675921014</v>
      </c>
    </row>
    <row r="133" spans="1:5">
      <c r="A133">
        <v>22</v>
      </c>
      <c r="B133" s="489" t="str">
        <f>H$7</f>
        <v>S20</v>
      </c>
      <c r="C133" s="489" t="str">
        <f>I$7</f>
        <v>ThinMag</v>
      </c>
      <c r="D133" s="489">
        <f>J$7</f>
        <v>0</v>
      </c>
      <c r="E133" s="489">
        <f>K$7</f>
        <v>-2.7478633617949475</v>
      </c>
    </row>
    <row r="134" spans="1:5">
      <c r="A134">
        <v>22</v>
      </c>
      <c r="B134" s="489" t="str">
        <f>H$8</f>
        <v>S22</v>
      </c>
      <c r="C134" s="489" t="str">
        <f>I$8</f>
        <v>ThinMag</v>
      </c>
      <c r="D134" s="489">
        <f>J$8</f>
        <v>0</v>
      </c>
      <c r="E134" s="489">
        <f>K$8</f>
        <v>-0.81436699999999984</v>
      </c>
    </row>
    <row r="135" spans="1:5">
      <c r="A135">
        <v>22</v>
      </c>
      <c r="B135" s="489" t="str">
        <f>H$9</f>
        <v>S24</v>
      </c>
      <c r="C135" s="489" t="str">
        <f t="shared" ref="C135:E136" si="24">I$9</f>
        <v>ThinMag</v>
      </c>
      <c r="D135" s="489">
        <f t="shared" si="24"/>
        <v>0</v>
      </c>
      <c r="E135" s="489">
        <f t="shared" si="24"/>
        <v>1.3711439999999999</v>
      </c>
    </row>
    <row r="136" spans="1:5">
      <c r="A136">
        <v>23</v>
      </c>
      <c r="B136" s="489" t="str">
        <f>H$9</f>
        <v>S24</v>
      </c>
      <c r="C136" s="489" t="str">
        <f t="shared" si="24"/>
        <v>ThinMag</v>
      </c>
      <c r="D136" s="489">
        <f t="shared" si="24"/>
        <v>0</v>
      </c>
      <c r="E136" s="489">
        <f t="shared" si="24"/>
        <v>1.3711439999999999</v>
      </c>
    </row>
    <row r="137" spans="1:5">
      <c r="A137">
        <v>23</v>
      </c>
      <c r="B137" s="489" t="str">
        <f>H$8</f>
        <v>S22</v>
      </c>
      <c r="C137" s="489" t="str">
        <f>I$8</f>
        <v>ThinMag</v>
      </c>
      <c r="D137" s="489">
        <f>J$8</f>
        <v>0</v>
      </c>
      <c r="E137" s="489">
        <f>K$8</f>
        <v>-0.81436699999999984</v>
      </c>
    </row>
    <row r="138" spans="1:5">
      <c r="A138">
        <v>23</v>
      </c>
      <c r="B138" s="489" t="str">
        <f>H$7</f>
        <v>S20</v>
      </c>
      <c r="C138" s="489" t="str">
        <f>I$7</f>
        <v>ThinMag</v>
      </c>
      <c r="D138" s="489">
        <f>J$7</f>
        <v>0</v>
      </c>
      <c r="E138" s="489">
        <f>K$7</f>
        <v>-2.7478633617949475</v>
      </c>
    </row>
    <row r="139" spans="1:5">
      <c r="A139">
        <v>23</v>
      </c>
      <c r="B139" s="489" t="str">
        <f>H$6</f>
        <v>S19</v>
      </c>
      <c r="C139" s="489" t="str">
        <f>I$6</f>
        <v>ThinMag</v>
      </c>
      <c r="D139" s="489">
        <f>J$6</f>
        <v>0</v>
      </c>
      <c r="E139" s="489">
        <f>K$6</f>
        <v>4.6900555675921014</v>
      </c>
    </row>
    <row r="140" spans="1:5">
      <c r="A140">
        <v>23</v>
      </c>
      <c r="B140" s="489" t="str">
        <f>H$5</f>
        <v>S13</v>
      </c>
      <c r="C140" s="489" t="str">
        <f>I$5</f>
        <v>ThinMag</v>
      </c>
      <c r="D140" s="489">
        <f>J$5</f>
        <v>0</v>
      </c>
      <c r="E140" s="489">
        <f>K$5</f>
        <v>-2.7478633617949475</v>
      </c>
    </row>
    <row r="141" spans="1:5">
      <c r="A141">
        <v>23</v>
      </c>
      <c r="B141" s="489" t="str">
        <f>H$4</f>
        <v>S6</v>
      </c>
      <c r="C141" s="489" t="str">
        <f>I$4</f>
        <v>ThinMag</v>
      </c>
      <c r="D141" s="489">
        <f>J$4</f>
        <v>0</v>
      </c>
      <c r="E141" s="489">
        <f>K$4</f>
        <v>-1.578319</v>
      </c>
    </row>
    <row r="142" spans="1:5">
      <c r="A142">
        <v>23</v>
      </c>
      <c r="B142" s="489" t="str">
        <f>H$3</f>
        <v>S4</v>
      </c>
      <c r="C142" s="489" t="str">
        <f t="shared" ref="C142:E143" si="25">I$3</f>
        <v>ThinMag</v>
      </c>
      <c r="D142" s="489">
        <f t="shared" si="25"/>
        <v>0</v>
      </c>
      <c r="E142" s="489">
        <f t="shared" si="25"/>
        <v>1.2574189999999998</v>
      </c>
    </row>
    <row r="143" spans="1:5">
      <c r="A143">
        <v>24</v>
      </c>
      <c r="B143" s="489" t="str">
        <f>H$3</f>
        <v>S4</v>
      </c>
      <c r="C143" s="489" t="str">
        <f t="shared" si="25"/>
        <v>ThinMag</v>
      </c>
      <c r="D143" s="489">
        <f t="shared" si="25"/>
        <v>0</v>
      </c>
      <c r="E143" s="489">
        <f t="shared" si="25"/>
        <v>1.2574189999999998</v>
      </c>
    </row>
    <row r="144" spans="1:5">
      <c r="A144">
        <v>24</v>
      </c>
      <c r="B144" s="489" t="str">
        <f>H$4</f>
        <v>S6</v>
      </c>
      <c r="C144" s="489" t="str">
        <f>I$4</f>
        <v>ThinMag</v>
      </c>
      <c r="D144" s="489">
        <f>J$4</f>
        <v>0</v>
      </c>
      <c r="E144" s="489">
        <f>K$4</f>
        <v>-1.578319</v>
      </c>
    </row>
    <row r="145" spans="1:5">
      <c r="A145">
        <v>24</v>
      </c>
      <c r="B145" s="489" t="str">
        <f>H$5</f>
        <v>S13</v>
      </c>
      <c r="C145" s="489" t="str">
        <f>I$5</f>
        <v>ThinMag</v>
      </c>
      <c r="D145" s="489">
        <f>J$5</f>
        <v>0</v>
      </c>
      <c r="E145" s="489">
        <f>K$5</f>
        <v>-2.7478633617949475</v>
      </c>
    </row>
    <row r="146" spans="1:5">
      <c r="A146">
        <v>24</v>
      </c>
      <c r="B146" s="489" t="str">
        <f>H$6</f>
        <v>S19</v>
      </c>
      <c r="C146" s="489" t="str">
        <f>I$6</f>
        <v>ThinMag</v>
      </c>
      <c r="D146" s="489">
        <f>J$6</f>
        <v>0</v>
      </c>
      <c r="E146" s="489">
        <f>K$6</f>
        <v>4.6900555675921014</v>
      </c>
    </row>
    <row r="147" spans="1:5">
      <c r="A147">
        <v>24</v>
      </c>
      <c r="B147" s="489" t="str">
        <f>H$7</f>
        <v>S20</v>
      </c>
      <c r="C147" s="489" t="str">
        <f>I$7</f>
        <v>ThinMag</v>
      </c>
      <c r="D147" s="489">
        <f>J$7</f>
        <v>0</v>
      </c>
      <c r="E147" s="489">
        <f>K$7</f>
        <v>-2.7478633617949475</v>
      </c>
    </row>
    <row r="148" spans="1:5">
      <c r="A148">
        <v>24</v>
      </c>
      <c r="B148" s="489" t="str">
        <f>H$8</f>
        <v>S22</v>
      </c>
      <c r="C148" s="489" t="str">
        <f>I$8</f>
        <v>ThinMag</v>
      </c>
      <c r="D148" s="489">
        <f>J$8</f>
        <v>0</v>
      </c>
      <c r="E148" s="489">
        <f>K$8</f>
        <v>-0.81436699999999984</v>
      </c>
    </row>
    <row r="149" spans="1:5">
      <c r="A149">
        <v>24</v>
      </c>
      <c r="B149" s="489" t="str">
        <f>H$9</f>
        <v>S24</v>
      </c>
      <c r="C149" s="489" t="str">
        <f t="shared" ref="C149:E150" si="26">I$9</f>
        <v>ThinMag</v>
      </c>
      <c r="D149" s="489">
        <f t="shared" si="26"/>
        <v>0</v>
      </c>
      <c r="E149" s="489">
        <f t="shared" si="26"/>
        <v>1.3711439999999999</v>
      </c>
    </row>
    <row r="150" spans="1:5">
      <c r="A150">
        <v>25</v>
      </c>
      <c r="B150" s="489" t="str">
        <f>H$9</f>
        <v>S24</v>
      </c>
      <c r="C150" s="489" t="str">
        <f t="shared" si="26"/>
        <v>ThinMag</v>
      </c>
      <c r="D150" s="489">
        <f t="shared" si="26"/>
        <v>0</v>
      </c>
      <c r="E150" s="489">
        <f t="shared" si="26"/>
        <v>1.3711439999999999</v>
      </c>
    </row>
    <row r="151" spans="1:5">
      <c r="A151">
        <v>25</v>
      </c>
      <c r="B151" s="489" t="str">
        <f>H$8</f>
        <v>S22</v>
      </c>
      <c r="C151" s="489" t="str">
        <f>I$8</f>
        <v>ThinMag</v>
      </c>
      <c r="D151" s="489">
        <f>J$8</f>
        <v>0</v>
      </c>
      <c r="E151" s="489">
        <f>K$8</f>
        <v>-0.81436699999999984</v>
      </c>
    </row>
    <row r="152" spans="1:5">
      <c r="A152">
        <v>25</v>
      </c>
      <c r="B152" s="489" t="str">
        <f>H$7</f>
        <v>S20</v>
      </c>
      <c r="C152" s="489" t="str">
        <f>I$7</f>
        <v>ThinMag</v>
      </c>
      <c r="D152" s="489">
        <f>J$7</f>
        <v>0</v>
      </c>
      <c r="E152" s="489">
        <f>K$7</f>
        <v>-2.7478633617949475</v>
      </c>
    </row>
    <row r="153" spans="1:5">
      <c r="A153">
        <v>25</v>
      </c>
      <c r="B153" s="489" t="str">
        <f>H$6</f>
        <v>S19</v>
      </c>
      <c r="C153" s="489" t="str">
        <f>I$6</f>
        <v>ThinMag</v>
      </c>
      <c r="D153" s="489">
        <f>J$6</f>
        <v>0</v>
      </c>
      <c r="E153" s="489">
        <f>K$6</f>
        <v>4.6900555675921014</v>
      </c>
    </row>
    <row r="154" spans="1:5">
      <c r="A154">
        <v>25</v>
      </c>
      <c r="B154" s="489" t="str">
        <f>H$5</f>
        <v>S13</v>
      </c>
      <c r="C154" s="489" t="str">
        <f>I$5</f>
        <v>ThinMag</v>
      </c>
      <c r="D154" s="489">
        <f>J$5</f>
        <v>0</v>
      </c>
      <c r="E154" s="489">
        <f>K$5</f>
        <v>-2.7478633617949475</v>
      </c>
    </row>
    <row r="155" spans="1:5">
      <c r="A155">
        <v>25</v>
      </c>
      <c r="B155" s="489" t="str">
        <f>H$4</f>
        <v>S6</v>
      </c>
      <c r="C155" s="489" t="str">
        <f>I$4</f>
        <v>ThinMag</v>
      </c>
      <c r="D155" s="489">
        <f>J$4</f>
        <v>0</v>
      </c>
      <c r="E155" s="489">
        <f>K$4</f>
        <v>-1.578319</v>
      </c>
    </row>
    <row r="156" spans="1:5">
      <c r="A156">
        <v>25</v>
      </c>
      <c r="B156" s="489" t="str">
        <f>H$3</f>
        <v>S4</v>
      </c>
      <c r="C156" s="489" t="str">
        <f t="shared" ref="C156:E157" si="27">I$3</f>
        <v>ThinMag</v>
      </c>
      <c r="D156" s="489">
        <f t="shared" si="27"/>
        <v>0</v>
      </c>
      <c r="E156" s="489">
        <f t="shared" si="27"/>
        <v>1.2574189999999998</v>
      </c>
    </row>
    <row r="157" spans="1:5">
      <c r="A157">
        <v>26</v>
      </c>
      <c r="B157" s="489" t="str">
        <f>H$3</f>
        <v>S4</v>
      </c>
      <c r="C157" s="489" t="str">
        <f t="shared" si="27"/>
        <v>ThinMag</v>
      </c>
      <c r="D157" s="489">
        <f t="shared" si="27"/>
        <v>0</v>
      </c>
      <c r="E157" s="489">
        <f t="shared" si="27"/>
        <v>1.2574189999999998</v>
      </c>
    </row>
    <row r="158" spans="1:5">
      <c r="A158">
        <v>26</v>
      </c>
      <c r="B158" s="489" t="str">
        <f>H$4</f>
        <v>S6</v>
      </c>
      <c r="C158" s="489" t="str">
        <f>I$4</f>
        <v>ThinMag</v>
      </c>
      <c r="D158" s="489">
        <f>J$4</f>
        <v>0</v>
      </c>
      <c r="E158" s="489">
        <f>K$4</f>
        <v>-1.578319</v>
      </c>
    </row>
    <row r="159" spans="1:5">
      <c r="A159">
        <v>26</v>
      </c>
      <c r="B159" s="489" t="str">
        <f>H$5</f>
        <v>S13</v>
      </c>
      <c r="C159" s="489" t="str">
        <f>I$5</f>
        <v>ThinMag</v>
      </c>
      <c r="D159" s="489">
        <f>J$5</f>
        <v>0</v>
      </c>
      <c r="E159" s="489">
        <f>K$5</f>
        <v>-2.7478633617949475</v>
      </c>
    </row>
    <row r="160" spans="1:5">
      <c r="A160">
        <v>26</v>
      </c>
      <c r="B160" s="489" t="str">
        <f>H$6</f>
        <v>S19</v>
      </c>
      <c r="C160" s="489" t="str">
        <f>I$6</f>
        <v>ThinMag</v>
      </c>
      <c r="D160" s="489">
        <f>J$6</f>
        <v>0</v>
      </c>
      <c r="E160" s="489">
        <f>K$6</f>
        <v>4.6900555675921014</v>
      </c>
    </row>
    <row r="161" spans="1:5">
      <c r="A161">
        <v>26</v>
      </c>
      <c r="B161" s="489" t="str">
        <f>H$7</f>
        <v>S20</v>
      </c>
      <c r="C161" s="489" t="str">
        <f>I$7</f>
        <v>ThinMag</v>
      </c>
      <c r="D161" s="489">
        <f>J$7</f>
        <v>0</v>
      </c>
      <c r="E161" s="489">
        <f>K$7</f>
        <v>-2.7478633617949475</v>
      </c>
    </row>
    <row r="162" spans="1:5">
      <c r="A162">
        <v>26</v>
      </c>
      <c r="B162" s="489" t="str">
        <f>H$8</f>
        <v>S22</v>
      </c>
      <c r="C162" s="489" t="str">
        <f>I$8</f>
        <v>ThinMag</v>
      </c>
      <c r="D162" s="489">
        <f>J$8</f>
        <v>0</v>
      </c>
      <c r="E162" s="489">
        <f>K$8</f>
        <v>-0.81436699999999984</v>
      </c>
    </row>
    <row r="163" spans="1:5">
      <c r="A163">
        <v>26</v>
      </c>
      <c r="B163" s="489" t="str">
        <f>H$9</f>
        <v>S24</v>
      </c>
      <c r="C163" s="489" t="str">
        <f t="shared" ref="C163:E164" si="28">I$9</f>
        <v>ThinMag</v>
      </c>
      <c r="D163" s="489">
        <f t="shared" si="28"/>
        <v>0</v>
      </c>
      <c r="E163" s="489">
        <f t="shared" si="28"/>
        <v>1.3711439999999999</v>
      </c>
    </row>
    <row r="164" spans="1:5">
      <c r="A164">
        <v>27</v>
      </c>
      <c r="B164" s="489" t="str">
        <f>H$9</f>
        <v>S24</v>
      </c>
      <c r="C164" s="489" t="str">
        <f t="shared" si="28"/>
        <v>ThinMag</v>
      </c>
      <c r="D164" s="489">
        <f t="shared" si="28"/>
        <v>0</v>
      </c>
      <c r="E164" s="489">
        <f t="shared" si="28"/>
        <v>1.3711439999999999</v>
      </c>
    </row>
    <row r="165" spans="1:5">
      <c r="A165">
        <v>27</v>
      </c>
      <c r="B165" s="489" t="str">
        <f>H$8</f>
        <v>S22</v>
      </c>
      <c r="C165" s="489" t="str">
        <f>I$8</f>
        <v>ThinMag</v>
      </c>
      <c r="D165" s="489">
        <f>J$8</f>
        <v>0</v>
      </c>
      <c r="E165" s="489">
        <f>K$8</f>
        <v>-0.81436699999999984</v>
      </c>
    </row>
    <row r="166" spans="1:5">
      <c r="A166">
        <v>27</v>
      </c>
      <c r="B166" s="489" t="str">
        <f>H$7</f>
        <v>S20</v>
      </c>
      <c r="C166" s="489" t="str">
        <f>I$7</f>
        <v>ThinMag</v>
      </c>
      <c r="D166" s="489">
        <f>J$7</f>
        <v>0</v>
      </c>
      <c r="E166" s="489">
        <f>K$7</f>
        <v>-2.7478633617949475</v>
      </c>
    </row>
    <row r="167" spans="1:5">
      <c r="A167">
        <v>27</v>
      </c>
      <c r="B167" s="489" t="str">
        <f>H$6</f>
        <v>S19</v>
      </c>
      <c r="C167" s="489" t="str">
        <f>I$6</f>
        <v>ThinMag</v>
      </c>
      <c r="D167" s="489">
        <f>J$6</f>
        <v>0</v>
      </c>
      <c r="E167" s="489">
        <f>K$6</f>
        <v>4.6900555675921014</v>
      </c>
    </row>
    <row r="168" spans="1:5">
      <c r="A168">
        <v>27</v>
      </c>
      <c r="B168" s="489" t="str">
        <f>H$5</f>
        <v>S13</v>
      </c>
      <c r="C168" s="489" t="str">
        <f>I$5</f>
        <v>ThinMag</v>
      </c>
      <c r="D168" s="489">
        <f>J$5</f>
        <v>0</v>
      </c>
      <c r="E168" s="489">
        <f>K$5</f>
        <v>-2.7478633617949475</v>
      </c>
    </row>
    <row r="169" spans="1:5">
      <c r="A169">
        <v>27</v>
      </c>
      <c r="B169" s="489" t="str">
        <f>H$4</f>
        <v>S6</v>
      </c>
      <c r="C169" s="489" t="str">
        <f>I$4</f>
        <v>ThinMag</v>
      </c>
      <c r="D169" s="489">
        <f>J$4</f>
        <v>0</v>
      </c>
      <c r="E169" s="489">
        <f>K$4</f>
        <v>-1.578319</v>
      </c>
    </row>
    <row r="170" spans="1:5">
      <c r="A170">
        <v>27</v>
      </c>
      <c r="B170" s="489" t="str">
        <f>H$3</f>
        <v>S4</v>
      </c>
      <c r="C170" s="489" t="str">
        <f t="shared" ref="C170:E171" si="29">I$3</f>
        <v>ThinMag</v>
      </c>
      <c r="D170" s="489">
        <f t="shared" si="29"/>
        <v>0</v>
      </c>
      <c r="E170" s="489">
        <f t="shared" si="29"/>
        <v>1.2574189999999998</v>
      </c>
    </row>
    <row r="171" spans="1:5">
      <c r="A171">
        <v>28</v>
      </c>
      <c r="B171" s="489" t="str">
        <f>H$3</f>
        <v>S4</v>
      </c>
      <c r="C171" s="489" t="str">
        <f t="shared" si="29"/>
        <v>ThinMag</v>
      </c>
      <c r="D171" s="489">
        <f t="shared" si="29"/>
        <v>0</v>
      </c>
      <c r="E171" s="489">
        <f t="shared" si="29"/>
        <v>1.2574189999999998</v>
      </c>
    </row>
    <row r="172" spans="1:5">
      <c r="A172">
        <v>28</v>
      </c>
      <c r="B172" s="489" t="str">
        <f>H$4</f>
        <v>S6</v>
      </c>
      <c r="C172" s="489" t="str">
        <f>I$4</f>
        <v>ThinMag</v>
      </c>
      <c r="D172" s="489">
        <f>J$4</f>
        <v>0</v>
      </c>
      <c r="E172" s="489">
        <f>K$4</f>
        <v>-1.578319</v>
      </c>
    </row>
    <row r="173" spans="1:5">
      <c r="A173">
        <v>28</v>
      </c>
      <c r="B173" s="489" t="str">
        <f>H$5</f>
        <v>S13</v>
      </c>
      <c r="C173" s="489" t="str">
        <f>I$5</f>
        <v>ThinMag</v>
      </c>
      <c r="D173" s="489">
        <f>J$5</f>
        <v>0</v>
      </c>
      <c r="E173" s="489">
        <f>K$5</f>
        <v>-2.7478633617949475</v>
      </c>
    </row>
    <row r="174" spans="1:5">
      <c r="A174">
        <v>28</v>
      </c>
      <c r="B174" s="489" t="str">
        <f>H$6</f>
        <v>S19</v>
      </c>
      <c r="C174" s="489" t="str">
        <f>I$6</f>
        <v>ThinMag</v>
      </c>
      <c r="D174" s="489">
        <f>J$6</f>
        <v>0</v>
      </c>
      <c r="E174" s="489">
        <f>K$6</f>
        <v>4.6900555675921014</v>
      </c>
    </row>
    <row r="175" spans="1:5">
      <c r="A175">
        <v>28</v>
      </c>
      <c r="B175" s="489" t="str">
        <f>H$7</f>
        <v>S20</v>
      </c>
      <c r="C175" s="489" t="str">
        <f>I$7</f>
        <v>ThinMag</v>
      </c>
      <c r="D175" s="489">
        <f>J$7</f>
        <v>0</v>
      </c>
      <c r="E175" s="489">
        <f>K$7</f>
        <v>-2.7478633617949475</v>
      </c>
    </row>
    <row r="176" spans="1:5">
      <c r="A176">
        <v>28</v>
      </c>
      <c r="B176" s="489" t="str">
        <f>H$8</f>
        <v>S22</v>
      </c>
      <c r="C176" s="489" t="str">
        <f>I$8</f>
        <v>ThinMag</v>
      </c>
      <c r="D176" s="489">
        <f>J$8</f>
        <v>0</v>
      </c>
      <c r="E176" s="489">
        <f>K$8</f>
        <v>-0.81436699999999984</v>
      </c>
    </row>
    <row r="177" spans="1:5">
      <c r="A177">
        <v>28</v>
      </c>
      <c r="B177" s="489" t="str">
        <f>H$9</f>
        <v>S24</v>
      </c>
      <c r="C177" s="489" t="str">
        <f t="shared" ref="C177:E178" si="30">I$9</f>
        <v>ThinMag</v>
      </c>
      <c r="D177" s="489">
        <f t="shared" si="30"/>
        <v>0</v>
      </c>
      <c r="E177" s="489">
        <f t="shared" si="30"/>
        <v>1.3711439999999999</v>
      </c>
    </row>
    <row r="178" spans="1:5">
      <c r="A178">
        <v>29</v>
      </c>
      <c r="B178" s="489" t="str">
        <f>H$9</f>
        <v>S24</v>
      </c>
      <c r="C178" s="489" t="str">
        <f t="shared" si="30"/>
        <v>ThinMag</v>
      </c>
      <c r="D178" s="489">
        <f t="shared" si="30"/>
        <v>0</v>
      </c>
      <c r="E178" s="489">
        <f t="shared" si="30"/>
        <v>1.3711439999999999</v>
      </c>
    </row>
    <row r="179" spans="1:5">
      <c r="A179">
        <v>29</v>
      </c>
      <c r="B179" s="489" t="str">
        <f>H$8</f>
        <v>S22</v>
      </c>
      <c r="C179" s="489" t="str">
        <f>I$8</f>
        <v>ThinMag</v>
      </c>
      <c r="D179" s="489">
        <f>J$8</f>
        <v>0</v>
      </c>
      <c r="E179" s="489">
        <f>K$8</f>
        <v>-0.81436699999999984</v>
      </c>
    </row>
    <row r="180" spans="1:5">
      <c r="A180">
        <v>29</v>
      </c>
      <c r="B180" s="489" t="str">
        <f>H$7</f>
        <v>S20</v>
      </c>
      <c r="C180" s="489" t="str">
        <f>I$7</f>
        <v>ThinMag</v>
      </c>
      <c r="D180" s="489">
        <f>J$7</f>
        <v>0</v>
      </c>
      <c r="E180" s="489">
        <f>K$7</f>
        <v>-2.7478633617949475</v>
      </c>
    </row>
    <row r="181" spans="1:5">
      <c r="A181">
        <v>29</v>
      </c>
      <c r="B181" s="489" t="str">
        <f>H$6</f>
        <v>S19</v>
      </c>
      <c r="C181" s="489" t="str">
        <f>I$6</f>
        <v>ThinMag</v>
      </c>
      <c r="D181" s="489">
        <f>J$6</f>
        <v>0</v>
      </c>
      <c r="E181" s="489">
        <f>K$6</f>
        <v>4.6900555675921014</v>
      </c>
    </row>
    <row r="182" spans="1:5">
      <c r="A182">
        <v>29</v>
      </c>
      <c r="B182" s="489" t="str">
        <f>H$5</f>
        <v>S13</v>
      </c>
      <c r="C182" s="489" t="str">
        <f>I$5</f>
        <v>ThinMag</v>
      </c>
      <c r="D182" s="489">
        <f>J$5</f>
        <v>0</v>
      </c>
      <c r="E182" s="489">
        <f>K$5</f>
        <v>-2.7478633617949475</v>
      </c>
    </row>
    <row r="183" spans="1:5">
      <c r="A183">
        <v>29</v>
      </c>
      <c r="B183" s="489" t="str">
        <f>H$4</f>
        <v>S6</v>
      </c>
      <c r="C183" s="489" t="str">
        <f>I$4</f>
        <v>ThinMag</v>
      </c>
      <c r="D183" s="489">
        <f>J$4</f>
        <v>0</v>
      </c>
      <c r="E183" s="489">
        <f>K$4</f>
        <v>-1.578319</v>
      </c>
    </row>
    <row r="184" spans="1:5">
      <c r="A184">
        <v>29</v>
      </c>
      <c r="B184" s="489" t="str">
        <f>H$3</f>
        <v>S4</v>
      </c>
      <c r="C184" s="489" t="str">
        <f t="shared" ref="C184:E185" si="31">I$3</f>
        <v>ThinMag</v>
      </c>
      <c r="D184" s="489">
        <f t="shared" si="31"/>
        <v>0</v>
      </c>
      <c r="E184" s="489">
        <f t="shared" si="31"/>
        <v>1.2574189999999998</v>
      </c>
    </row>
    <row r="185" spans="1:5">
      <c r="A185">
        <v>30</v>
      </c>
      <c r="B185" s="489" t="str">
        <f>H$3</f>
        <v>S4</v>
      </c>
      <c r="C185" s="489" t="str">
        <f t="shared" si="31"/>
        <v>ThinMag</v>
      </c>
      <c r="D185" s="489">
        <f t="shared" si="31"/>
        <v>0</v>
      </c>
      <c r="E185" s="489">
        <f t="shared" si="31"/>
        <v>1.2574189999999998</v>
      </c>
    </row>
    <row r="186" spans="1:5">
      <c r="A186">
        <v>30</v>
      </c>
      <c r="B186" s="489" t="str">
        <f>H$4</f>
        <v>S6</v>
      </c>
      <c r="C186" s="489" t="str">
        <f>I$4</f>
        <v>ThinMag</v>
      </c>
      <c r="D186" s="489">
        <f>J$4</f>
        <v>0</v>
      </c>
      <c r="E186" s="489">
        <f>K$4</f>
        <v>-1.578319</v>
      </c>
    </row>
    <row r="187" spans="1:5">
      <c r="A187">
        <v>30</v>
      </c>
      <c r="B187" s="489" t="str">
        <f>H$5</f>
        <v>S13</v>
      </c>
      <c r="C187" s="489" t="str">
        <f>I$5</f>
        <v>ThinMag</v>
      </c>
      <c r="D187" s="489">
        <f>J$5</f>
        <v>0</v>
      </c>
      <c r="E187" s="489">
        <f>K$5</f>
        <v>-2.7478633617949475</v>
      </c>
    </row>
    <row r="188" spans="1:5">
      <c r="A188">
        <v>30</v>
      </c>
      <c r="B188" s="489" t="str">
        <f>H$6</f>
        <v>S19</v>
      </c>
      <c r="C188" s="489" t="str">
        <f>I$6</f>
        <v>ThinMag</v>
      </c>
      <c r="D188" s="489">
        <f>J$6</f>
        <v>0</v>
      </c>
      <c r="E188" s="489">
        <f>K$6</f>
        <v>4.6900555675921014</v>
      </c>
    </row>
    <row r="189" spans="1:5">
      <c r="A189">
        <v>30</v>
      </c>
      <c r="B189" s="489" t="str">
        <f>H$7</f>
        <v>S20</v>
      </c>
      <c r="C189" s="489" t="str">
        <f>I$7</f>
        <v>ThinMag</v>
      </c>
      <c r="D189" s="489">
        <f>J$7</f>
        <v>0</v>
      </c>
      <c r="E189" s="489">
        <f>K$7</f>
        <v>-2.7478633617949475</v>
      </c>
    </row>
    <row r="190" spans="1:5">
      <c r="A190">
        <v>30</v>
      </c>
      <c r="B190" s="489" t="str">
        <f>H$8</f>
        <v>S22</v>
      </c>
      <c r="C190" s="489" t="str">
        <f>I$8</f>
        <v>ThinMag</v>
      </c>
      <c r="D190" s="489">
        <f>J$8</f>
        <v>0</v>
      </c>
      <c r="E190" s="489">
        <f>K$8</f>
        <v>-0.81436699999999984</v>
      </c>
    </row>
    <row r="191" spans="1:5">
      <c r="A191">
        <v>30</v>
      </c>
      <c r="B191" s="489" t="str">
        <f>H$9</f>
        <v>S24</v>
      </c>
      <c r="C191" s="489" t="str">
        <f t="shared" ref="C191:E192" si="32">I$9</f>
        <v>ThinMag</v>
      </c>
      <c r="D191" s="489">
        <f t="shared" si="32"/>
        <v>0</v>
      </c>
      <c r="E191" s="489">
        <f t="shared" si="32"/>
        <v>1.3711439999999999</v>
      </c>
    </row>
    <row r="192" spans="1:5">
      <c r="A192">
        <v>31</v>
      </c>
      <c r="B192" s="489" t="str">
        <f>H$9</f>
        <v>S24</v>
      </c>
      <c r="C192" s="489" t="str">
        <f t="shared" si="32"/>
        <v>ThinMag</v>
      </c>
      <c r="D192" s="489">
        <f t="shared" si="32"/>
        <v>0</v>
      </c>
      <c r="E192" s="489">
        <f t="shared" si="32"/>
        <v>1.3711439999999999</v>
      </c>
    </row>
    <row r="193" spans="1:5">
      <c r="A193">
        <v>31</v>
      </c>
      <c r="B193" s="489" t="str">
        <f>H$8</f>
        <v>S22</v>
      </c>
      <c r="C193" s="489" t="str">
        <f>I$8</f>
        <v>ThinMag</v>
      </c>
      <c r="D193" s="489">
        <f>J$8</f>
        <v>0</v>
      </c>
      <c r="E193" s="489">
        <f>K$8</f>
        <v>-0.81436699999999984</v>
      </c>
    </row>
    <row r="194" spans="1:5">
      <c r="A194">
        <v>31</v>
      </c>
      <c r="B194" s="489" t="str">
        <f>H$7</f>
        <v>S20</v>
      </c>
      <c r="C194" s="489" t="str">
        <f>I$7</f>
        <v>ThinMag</v>
      </c>
      <c r="D194" s="489">
        <f>J$7</f>
        <v>0</v>
      </c>
      <c r="E194" s="489">
        <f>K$7</f>
        <v>-2.7478633617949475</v>
      </c>
    </row>
    <row r="195" spans="1:5">
      <c r="A195">
        <v>31</v>
      </c>
      <c r="B195" s="489" t="str">
        <f>H$6</f>
        <v>S19</v>
      </c>
      <c r="C195" s="489" t="str">
        <f>I$6</f>
        <v>ThinMag</v>
      </c>
      <c r="D195" s="489">
        <f>J$6</f>
        <v>0</v>
      </c>
      <c r="E195" s="489">
        <f>K$6</f>
        <v>4.6900555675921014</v>
      </c>
    </row>
    <row r="196" spans="1:5">
      <c r="A196">
        <v>31</v>
      </c>
      <c r="B196" s="489" t="str">
        <f>H$5</f>
        <v>S13</v>
      </c>
      <c r="C196" s="489" t="str">
        <f>I$5</f>
        <v>ThinMag</v>
      </c>
      <c r="D196" s="489">
        <f>J$5</f>
        <v>0</v>
      </c>
      <c r="E196" s="489">
        <f>K$5</f>
        <v>-2.7478633617949475</v>
      </c>
    </row>
    <row r="197" spans="1:5">
      <c r="A197">
        <v>31</v>
      </c>
      <c r="B197" s="489" t="str">
        <f>H$4</f>
        <v>S6</v>
      </c>
      <c r="C197" s="489" t="str">
        <f>I$4</f>
        <v>ThinMag</v>
      </c>
      <c r="D197" s="489">
        <f>J$4</f>
        <v>0</v>
      </c>
      <c r="E197" s="489">
        <f>K$4</f>
        <v>-1.578319</v>
      </c>
    </row>
    <row r="198" spans="1:5">
      <c r="A198">
        <v>31</v>
      </c>
      <c r="B198" s="489" t="str">
        <f>H$3</f>
        <v>S4</v>
      </c>
      <c r="C198" s="489" t="str">
        <f t="shared" ref="C198:E199" si="33">I$3</f>
        <v>ThinMag</v>
      </c>
      <c r="D198" s="489">
        <f t="shared" si="33"/>
        <v>0</v>
      </c>
      <c r="E198" s="489">
        <f t="shared" si="33"/>
        <v>1.2574189999999998</v>
      </c>
    </row>
    <row r="199" spans="1:5">
      <c r="A199">
        <v>32</v>
      </c>
      <c r="B199" s="489" t="str">
        <f>H$3</f>
        <v>S4</v>
      </c>
      <c r="C199" s="489" t="str">
        <f t="shared" si="33"/>
        <v>ThinMag</v>
      </c>
      <c r="D199" s="489">
        <f t="shared" si="33"/>
        <v>0</v>
      </c>
      <c r="E199" s="489">
        <f t="shared" si="33"/>
        <v>1.2574189999999998</v>
      </c>
    </row>
    <row r="200" spans="1:5">
      <c r="A200">
        <v>32</v>
      </c>
      <c r="B200" s="489" t="str">
        <f>H$4</f>
        <v>S6</v>
      </c>
      <c r="C200" s="489" t="str">
        <f>I$4</f>
        <v>ThinMag</v>
      </c>
      <c r="D200" s="489">
        <f>J$4</f>
        <v>0</v>
      </c>
      <c r="E200" s="489">
        <f>K$4</f>
        <v>-1.578319</v>
      </c>
    </row>
    <row r="201" spans="1:5">
      <c r="A201">
        <v>32</v>
      </c>
      <c r="B201" s="489" t="str">
        <f>H$5</f>
        <v>S13</v>
      </c>
      <c r="C201" s="489" t="str">
        <f>I$5</f>
        <v>ThinMag</v>
      </c>
      <c r="D201" s="489">
        <f>J$5</f>
        <v>0</v>
      </c>
      <c r="E201" s="489">
        <f>K$5</f>
        <v>-2.7478633617949475</v>
      </c>
    </row>
    <row r="202" spans="1:5">
      <c r="A202">
        <v>32</v>
      </c>
      <c r="B202" s="489" t="str">
        <f>H$6</f>
        <v>S19</v>
      </c>
      <c r="C202" s="489" t="str">
        <f>I$6</f>
        <v>ThinMag</v>
      </c>
      <c r="D202" s="489">
        <f>J$6</f>
        <v>0</v>
      </c>
      <c r="E202" s="489">
        <f>K$6</f>
        <v>4.6900555675921014</v>
      </c>
    </row>
    <row r="203" spans="1:5">
      <c r="A203">
        <v>32</v>
      </c>
      <c r="B203" s="489" t="str">
        <f>H$7</f>
        <v>S20</v>
      </c>
      <c r="C203" s="489" t="str">
        <f>I$7</f>
        <v>ThinMag</v>
      </c>
      <c r="D203" s="489">
        <f>J$7</f>
        <v>0</v>
      </c>
      <c r="E203" s="489">
        <f>K$7</f>
        <v>-2.7478633617949475</v>
      </c>
    </row>
    <row r="204" spans="1:5">
      <c r="A204">
        <v>32</v>
      </c>
      <c r="B204" s="489" t="str">
        <f>H$8</f>
        <v>S22</v>
      </c>
      <c r="C204" s="489" t="str">
        <f>I$8</f>
        <v>ThinMag</v>
      </c>
      <c r="D204" s="489">
        <f>J$8</f>
        <v>0</v>
      </c>
      <c r="E204" s="489">
        <f>K$8</f>
        <v>-0.81436699999999984</v>
      </c>
    </row>
    <row r="205" spans="1:5">
      <c r="A205">
        <v>32</v>
      </c>
      <c r="B205" s="489" t="str">
        <f>H$9</f>
        <v>S24</v>
      </c>
      <c r="C205" s="489" t="str">
        <f t="shared" ref="C205:E206" si="34">I$9</f>
        <v>ThinMag</v>
      </c>
      <c r="D205" s="489">
        <f t="shared" si="34"/>
        <v>0</v>
      </c>
      <c r="E205" s="489">
        <f t="shared" si="34"/>
        <v>1.3711439999999999</v>
      </c>
    </row>
    <row r="206" spans="1:5">
      <c r="A206">
        <v>1</v>
      </c>
      <c r="B206" s="489" t="str">
        <f>H$9</f>
        <v>S24</v>
      </c>
      <c r="C206" s="489" t="str">
        <f t="shared" si="34"/>
        <v>ThinMag</v>
      </c>
      <c r="D206" s="489">
        <f t="shared" si="34"/>
        <v>0</v>
      </c>
      <c r="E206" s="489">
        <f t="shared" si="34"/>
        <v>1.3711439999999999</v>
      </c>
    </row>
    <row r="207" spans="1:5">
      <c r="A207">
        <v>1</v>
      </c>
      <c r="B207" s="489" t="str">
        <f>H$8</f>
        <v>S22</v>
      </c>
      <c r="C207" s="489" t="str">
        <f>I$8</f>
        <v>ThinMag</v>
      </c>
      <c r="D207" s="489">
        <f>J$8</f>
        <v>0</v>
      </c>
      <c r="E207" s="489">
        <f>K$8</f>
        <v>-0.81436699999999984</v>
      </c>
    </row>
    <row r="208" spans="1:5">
      <c r="A208">
        <v>1</v>
      </c>
      <c r="B208" s="489" t="str">
        <f>H$7</f>
        <v>S20</v>
      </c>
      <c r="C208" s="489" t="str">
        <f>I$7</f>
        <v>ThinMag</v>
      </c>
      <c r="D208" s="489">
        <f>J$7</f>
        <v>0</v>
      </c>
      <c r="E208" s="489">
        <f>K$7</f>
        <v>-2.7478633617949475</v>
      </c>
    </row>
    <row r="209" spans="1:5">
      <c r="A209">
        <v>1</v>
      </c>
      <c r="B209" s="489" t="str">
        <f>H$6</f>
        <v>S19</v>
      </c>
      <c r="C209" s="489" t="str">
        <f>I$6</f>
        <v>ThinMag</v>
      </c>
      <c r="D209" s="489">
        <f>J$6</f>
        <v>0</v>
      </c>
      <c r="E209" s="489">
        <f>K$6</f>
        <v>4.6900555675921014</v>
      </c>
    </row>
    <row r="210" spans="1:5">
      <c r="A210">
        <v>1</v>
      </c>
      <c r="B210" s="489" t="str">
        <f>H$5</f>
        <v>S13</v>
      </c>
      <c r="C210" s="489" t="str">
        <f>I$5</f>
        <v>ThinMag</v>
      </c>
      <c r="D210" s="489">
        <f>J$5</f>
        <v>0</v>
      </c>
      <c r="E210" s="489">
        <f>K$5</f>
        <v>-2.7478633617949475</v>
      </c>
    </row>
    <row r="211" spans="1:5">
      <c r="A211">
        <v>1</v>
      </c>
      <c r="B211" s="489" t="str">
        <f>H$4</f>
        <v>S6</v>
      </c>
      <c r="C211" s="489" t="str">
        <f>I$4</f>
        <v>ThinMag</v>
      </c>
      <c r="D211" s="489">
        <f>J$4</f>
        <v>0</v>
      </c>
      <c r="E211" s="489">
        <f>K$4</f>
        <v>-1.578319</v>
      </c>
    </row>
    <row r="212" spans="1:5">
      <c r="A212">
        <v>1</v>
      </c>
      <c r="B212" s="489" t="str">
        <f>H$3</f>
        <v>S4</v>
      </c>
      <c r="C212" s="489" t="str">
        <f t="shared" ref="C212:E213" si="35">I$3</f>
        <v>ThinMag</v>
      </c>
      <c r="D212" s="489">
        <f t="shared" si="35"/>
        <v>0</v>
      </c>
      <c r="E212" s="489">
        <f t="shared" si="35"/>
        <v>1.2574189999999998</v>
      </c>
    </row>
    <row r="213" spans="1:5">
      <c r="A213">
        <v>2</v>
      </c>
      <c r="B213" s="489" t="str">
        <f>H$3</f>
        <v>S4</v>
      </c>
      <c r="C213" s="489" t="str">
        <f t="shared" si="35"/>
        <v>ThinMag</v>
      </c>
      <c r="D213" s="489">
        <f t="shared" si="35"/>
        <v>0</v>
      </c>
      <c r="E213" s="489">
        <f t="shared" si="35"/>
        <v>1.2574189999999998</v>
      </c>
    </row>
    <row r="214" spans="1:5">
      <c r="A214">
        <v>2</v>
      </c>
      <c r="B214" s="489" t="str">
        <f>H$4</f>
        <v>S6</v>
      </c>
      <c r="C214" s="489" t="str">
        <f>I$4</f>
        <v>ThinMag</v>
      </c>
      <c r="D214" s="489">
        <f>J$4</f>
        <v>0</v>
      </c>
      <c r="E214" s="489">
        <f>K$4</f>
        <v>-1.578319</v>
      </c>
    </row>
    <row r="215" spans="1:5">
      <c r="A215">
        <v>2</v>
      </c>
      <c r="B215" s="489" t="str">
        <f>H$5</f>
        <v>S13</v>
      </c>
      <c r="C215" s="489" t="str">
        <f>I$5</f>
        <v>ThinMag</v>
      </c>
      <c r="D215" s="489">
        <f>J$5</f>
        <v>0</v>
      </c>
      <c r="E215" s="489">
        <f>K$5</f>
        <v>-2.7478633617949475</v>
      </c>
    </row>
    <row r="216" spans="1:5">
      <c r="A216">
        <v>2</v>
      </c>
      <c r="B216" s="489" t="str">
        <f>H$6</f>
        <v>S19</v>
      </c>
      <c r="C216" s="489" t="str">
        <f>I$6</f>
        <v>ThinMag</v>
      </c>
      <c r="D216" s="489">
        <f>J$6</f>
        <v>0</v>
      </c>
      <c r="E216" s="489">
        <f>K$6</f>
        <v>4.6900555675921014</v>
      </c>
    </row>
    <row r="217" spans="1:5">
      <c r="A217">
        <v>2</v>
      </c>
      <c r="B217" s="489" t="str">
        <f>H$7</f>
        <v>S20</v>
      </c>
      <c r="C217" s="489" t="str">
        <f>I$7</f>
        <v>ThinMag</v>
      </c>
      <c r="D217" s="489">
        <f>J$7</f>
        <v>0</v>
      </c>
      <c r="E217" s="489">
        <f>K$7</f>
        <v>-2.7478633617949475</v>
      </c>
    </row>
    <row r="218" spans="1:5">
      <c r="A218">
        <v>2</v>
      </c>
      <c r="B218" s="489" t="str">
        <f>H$8</f>
        <v>S22</v>
      </c>
      <c r="C218" s="489" t="str">
        <f>I$8</f>
        <v>ThinMag</v>
      </c>
      <c r="D218" s="489">
        <f>J$8</f>
        <v>0</v>
      </c>
      <c r="E218" s="489">
        <f>K$8</f>
        <v>-0.81436699999999984</v>
      </c>
    </row>
    <row r="219" spans="1:5">
      <c r="A219">
        <v>2</v>
      </c>
      <c r="B219" s="489" t="str">
        <f>H$9</f>
        <v>S24</v>
      </c>
      <c r="C219" s="489" t="str">
        <f t="shared" ref="C219:E220" si="36">I$9</f>
        <v>ThinMag</v>
      </c>
      <c r="D219" s="489">
        <f t="shared" si="36"/>
        <v>0</v>
      </c>
      <c r="E219" s="489">
        <f t="shared" si="36"/>
        <v>1.3711439999999999</v>
      </c>
    </row>
    <row r="220" spans="1:5">
      <c r="A220">
        <v>3</v>
      </c>
      <c r="B220" s="489" t="str">
        <f>H$9</f>
        <v>S24</v>
      </c>
      <c r="C220" s="489" t="str">
        <f t="shared" si="36"/>
        <v>ThinMag</v>
      </c>
      <c r="D220" s="489">
        <f t="shared" si="36"/>
        <v>0</v>
      </c>
      <c r="E220" s="489">
        <f t="shared" si="36"/>
        <v>1.3711439999999999</v>
      </c>
    </row>
    <row r="221" spans="1:5">
      <c r="A221">
        <v>3</v>
      </c>
      <c r="B221" s="489" t="str">
        <f>H$8</f>
        <v>S22</v>
      </c>
      <c r="C221" s="489" t="str">
        <f>I$8</f>
        <v>ThinMag</v>
      </c>
      <c r="D221" s="489">
        <f>J$8</f>
        <v>0</v>
      </c>
      <c r="E221" s="489">
        <f>K$8</f>
        <v>-0.81436699999999984</v>
      </c>
    </row>
    <row r="222" spans="1:5">
      <c r="A222">
        <v>3</v>
      </c>
      <c r="B222" s="489" t="str">
        <f>H$7</f>
        <v>S20</v>
      </c>
      <c r="C222" s="489" t="str">
        <f>I$7</f>
        <v>ThinMag</v>
      </c>
      <c r="D222" s="489">
        <f>J$7</f>
        <v>0</v>
      </c>
      <c r="E222" s="489">
        <f>K$7</f>
        <v>-2.7478633617949475</v>
      </c>
    </row>
    <row r="223" spans="1:5">
      <c r="A223">
        <v>3</v>
      </c>
      <c r="B223" s="489" t="str">
        <f>H$6</f>
        <v>S19</v>
      </c>
      <c r="C223" s="489" t="str">
        <f>I$6</f>
        <v>ThinMag</v>
      </c>
      <c r="D223" s="489">
        <f>J$6</f>
        <v>0</v>
      </c>
      <c r="E223" s="489">
        <f>K$6</f>
        <v>4.6900555675921014</v>
      </c>
    </row>
    <row r="224" spans="1:5">
      <c r="A224">
        <v>3</v>
      </c>
      <c r="B224" s="489" t="str">
        <f>H$5</f>
        <v>S13</v>
      </c>
      <c r="C224" s="489" t="str">
        <f>I$5</f>
        <v>ThinMag</v>
      </c>
      <c r="D224" s="489">
        <f>J$5</f>
        <v>0</v>
      </c>
      <c r="E224" s="489">
        <f>K$5</f>
        <v>-2.7478633617949475</v>
      </c>
    </row>
    <row r="225" spans="1:5">
      <c r="A225">
        <v>3</v>
      </c>
      <c r="B225" s="489" t="str">
        <f>H$12</f>
        <v>S6-C4</v>
      </c>
      <c r="C225" s="489" t="str">
        <f>I$12</f>
        <v>ThinMag</v>
      </c>
      <c r="D225" s="489">
        <f>J$12</f>
        <v>0</v>
      </c>
      <c r="E225" s="489">
        <f>K$12</f>
        <v>-1.578319</v>
      </c>
    </row>
    <row r="226" spans="1:5">
      <c r="A226">
        <v>3</v>
      </c>
      <c r="B226" s="489" t="str">
        <f>H$11</f>
        <v>S4-C4</v>
      </c>
      <c r="C226" s="489" t="str">
        <f>I$11</f>
        <v>ThinMag</v>
      </c>
      <c r="D226" s="489">
        <f>J$11</f>
        <v>0</v>
      </c>
      <c r="E226" s="489">
        <f>K$11</f>
        <v>1.2574189999999998</v>
      </c>
    </row>
  </sheetData>
  <phoneticPr fontId="42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outlinePr summaryBelow="0" summaryRight="0"/>
  </sheetPr>
  <dimension ref="A1:AC322"/>
  <sheetViews>
    <sheetView workbookViewId="0">
      <selection activeCell="E64" sqref="E64"/>
    </sheetView>
  </sheetViews>
  <sheetFormatPr defaultColWidth="11.42578125" defaultRowHeight="12.75" outlineLevelCol="1"/>
  <cols>
    <col min="1" max="6" width="11.42578125" customWidth="1"/>
    <col min="7" max="9" width="11.28515625" bestFit="1" customWidth="1"/>
    <col min="10" max="10" width="11.28515625" style="390" customWidth="1"/>
    <col min="11" max="11" width="11.28515625" customWidth="1" collapsed="1"/>
    <col min="12" max="12" width="11.28515625" hidden="1" customWidth="1" outlineLevel="1"/>
  </cols>
  <sheetData>
    <row r="1" spans="1:25" ht="15.75">
      <c r="B1" s="490" t="s">
        <v>429</v>
      </c>
      <c r="K1">
        <v>1</v>
      </c>
      <c r="N1" s="490" t="s">
        <v>666</v>
      </c>
    </row>
    <row r="2" spans="1:25">
      <c r="B2" t="s">
        <v>428</v>
      </c>
      <c r="C2" t="s">
        <v>1108</v>
      </c>
      <c r="D2" t="s">
        <v>631</v>
      </c>
      <c r="E2" t="s">
        <v>24</v>
      </c>
      <c r="F2" t="s">
        <v>539</v>
      </c>
      <c r="G2" t="s">
        <v>540</v>
      </c>
      <c r="H2" t="s">
        <v>541</v>
      </c>
      <c r="I2" t="s">
        <v>542</v>
      </c>
      <c r="K2" t="s">
        <v>834</v>
      </c>
      <c r="N2" t="s">
        <v>1146</v>
      </c>
      <c r="O2" t="s">
        <v>1108</v>
      </c>
      <c r="P2" t="s">
        <v>631</v>
      </c>
      <c r="Q2" t="s">
        <v>24</v>
      </c>
      <c r="S2" t="s">
        <v>1050</v>
      </c>
      <c r="T2" t="s">
        <v>430</v>
      </c>
      <c r="U2" t="s">
        <v>466</v>
      </c>
      <c r="V2" t="s">
        <v>560</v>
      </c>
      <c r="W2" t="s">
        <v>654</v>
      </c>
      <c r="X2" t="s">
        <v>655</v>
      </c>
      <c r="Y2" t="s">
        <v>1044</v>
      </c>
    </row>
    <row r="3" spans="1:25">
      <c r="A3">
        <v>4</v>
      </c>
      <c r="B3" s="489" t="str">
        <f>N$12</f>
        <v>QD1-C4</v>
      </c>
      <c r="C3" s="489" t="str">
        <f>O$12</f>
        <v>Quad</v>
      </c>
      <c r="D3" s="489">
        <f>P$12</f>
        <v>0.43804999999999999</v>
      </c>
      <c r="E3" s="489">
        <f>Q$12</f>
        <v>0</v>
      </c>
      <c r="F3" s="489"/>
      <c r="G3" s="550">
        <f>E3*$P$32</f>
        <v>0</v>
      </c>
      <c r="H3" s="550">
        <f>E3*$P$33</f>
        <v>0</v>
      </c>
      <c r="I3" s="550">
        <f>E3*$P$34</f>
        <v>0</v>
      </c>
      <c r="J3" s="556"/>
      <c r="K3">
        <v>0</v>
      </c>
      <c r="L3">
        <f>1+$K$1*$K3</f>
        <v>1</v>
      </c>
      <c r="N3" s="489" t="s">
        <v>568</v>
      </c>
      <c r="O3" s="489" t="s">
        <v>670</v>
      </c>
      <c r="P3" s="489">
        <v>0.43804999999999999</v>
      </c>
      <c r="Q3" s="489">
        <f>S3</f>
        <v>0</v>
      </c>
      <c r="S3">
        <v>0</v>
      </c>
      <c r="T3">
        <v>-0.114872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4</v>
      </c>
      <c r="B4" s="489" t="str">
        <f>N$13</f>
        <v>QF2-C4</v>
      </c>
      <c r="C4" s="489" t="str">
        <f>O$13</f>
        <v>Quad</v>
      </c>
      <c r="D4" s="489">
        <f>P$13</f>
        <v>0.94340999999999997</v>
      </c>
      <c r="E4" s="489">
        <f>Q$13</f>
        <v>0.39100748841534999</v>
      </c>
      <c r="F4" s="489"/>
      <c r="G4" s="550">
        <f t="shared" ref="G4:G67" si="0">E4*$P$32</f>
        <v>0</v>
      </c>
      <c r="H4" s="550">
        <f t="shared" ref="H4:H67" si="1">E4*$P$33</f>
        <v>0</v>
      </c>
      <c r="I4" s="550">
        <f t="shared" ref="I4:I67" si="2">E4*$P$34</f>
        <v>0</v>
      </c>
      <c r="J4" s="556"/>
      <c r="K4">
        <v>-1.0609E-3</v>
      </c>
      <c r="L4">
        <f t="shared" ref="L4:L67" si="3">1+$K$1*$K4</f>
        <v>0.99893909999999997</v>
      </c>
      <c r="N4" s="489" t="s">
        <v>191</v>
      </c>
      <c r="O4" s="489" t="s">
        <v>670</v>
      </c>
      <c r="P4" s="489">
        <v>0.94340999999999997</v>
      </c>
      <c r="Q4" s="489">
        <f t="shared" ref="Q4:Q26" si="4">S4</f>
        <v>0.39100748841534999</v>
      </c>
      <c r="S4">
        <v>0.39100748841534999</v>
      </c>
      <c r="T4">
        <v>0.450488</v>
      </c>
      <c r="U4">
        <v>0.39104849000000003</v>
      </c>
      <c r="V4">
        <v>0.39104849000000003</v>
      </c>
      <c r="W4">
        <v>0.39104849000000003</v>
      </c>
      <c r="X4">
        <v>0.39104849000000003</v>
      </c>
      <c r="Y4">
        <v>0.39100748841534999</v>
      </c>
    </row>
    <row r="5" spans="1:25">
      <c r="A5">
        <v>4</v>
      </c>
      <c r="B5" s="489" t="str">
        <f>N$14</f>
        <v>QD3-C4</v>
      </c>
      <c r="C5" s="489" t="str">
        <f>O$14</f>
        <v>Quad</v>
      </c>
      <c r="D5" s="489">
        <f>P$14</f>
        <v>0.53366999999999998</v>
      </c>
      <c r="E5" s="489">
        <f>Q$14</f>
        <v>-0.603553432914813</v>
      </c>
      <c r="F5" s="489"/>
      <c r="G5" s="550">
        <f t="shared" si="0"/>
        <v>0</v>
      </c>
      <c r="H5" s="550">
        <f t="shared" si="1"/>
        <v>0</v>
      </c>
      <c r="I5" s="550">
        <f t="shared" si="2"/>
        <v>0</v>
      </c>
      <c r="J5" s="556"/>
      <c r="K5">
        <v>-5.1407000000000004E-4</v>
      </c>
      <c r="L5">
        <f t="shared" si="3"/>
        <v>0.99948592999999997</v>
      </c>
      <c r="N5" s="489" t="s">
        <v>157</v>
      </c>
      <c r="O5" s="489" t="s">
        <v>670</v>
      </c>
      <c r="P5" s="489">
        <v>0.53366999999999998</v>
      </c>
      <c r="Q5" s="489">
        <f t="shared" si="4"/>
        <v>-0.603553432914813</v>
      </c>
      <c r="S5">
        <v>-0.603553432914813</v>
      </c>
      <c r="T5">
        <v>-0.61749798</v>
      </c>
      <c r="U5">
        <v>-0.60540360000000004</v>
      </c>
      <c r="V5">
        <v>-0.60540360000000004</v>
      </c>
      <c r="W5">
        <v>-0.60540360000000004</v>
      </c>
      <c r="X5">
        <v>-0.60540360000000004</v>
      </c>
      <c r="Y5">
        <v>-0.603553432914813</v>
      </c>
    </row>
    <row r="6" spans="1:25">
      <c r="A6">
        <v>4</v>
      </c>
      <c r="B6" s="489" t="str">
        <f>N$6</f>
        <v>QD4</v>
      </c>
      <c r="C6" s="489" t="str">
        <f>O$6</f>
        <v>Quad</v>
      </c>
      <c r="D6" s="489">
        <f>P$6</f>
        <v>0.42210999999999999</v>
      </c>
      <c r="E6" s="489">
        <f>Q$6</f>
        <v>-0.60152556163972903</v>
      </c>
      <c r="F6" s="489"/>
      <c r="G6" s="550">
        <f t="shared" si="0"/>
        <v>0</v>
      </c>
      <c r="H6" s="550">
        <f t="shared" si="1"/>
        <v>0</v>
      </c>
      <c r="I6" s="550">
        <f t="shared" si="2"/>
        <v>0</v>
      </c>
      <c r="J6" s="556"/>
      <c r="K6">
        <v>-4.9972999999999999E-4</v>
      </c>
      <c r="L6">
        <f t="shared" si="3"/>
        <v>0.99950026999999997</v>
      </c>
      <c r="N6" s="489" t="s">
        <v>507</v>
      </c>
      <c r="O6" s="489" t="s">
        <v>670</v>
      </c>
      <c r="P6" s="489">
        <v>0.42210999999999999</v>
      </c>
      <c r="Q6" s="489">
        <f t="shared" si="4"/>
        <v>-0.60152556163972903</v>
      </c>
      <c r="S6">
        <v>-0.60152556163972903</v>
      </c>
      <c r="T6">
        <v>-0.66051000000000004</v>
      </c>
      <c r="U6">
        <v>-0.59900147000000004</v>
      </c>
      <c r="V6">
        <v>-0.59900147000000004</v>
      </c>
      <c r="W6">
        <v>-0.59900147000000004</v>
      </c>
      <c r="X6">
        <v>-0.59900147000000004</v>
      </c>
      <c r="Y6">
        <v>-0.60152556163972903</v>
      </c>
    </row>
    <row r="7" spans="1:25">
      <c r="A7">
        <v>4</v>
      </c>
      <c r="B7" s="489" t="str">
        <f>N$7</f>
        <v>QF5</v>
      </c>
      <c r="C7" s="489" t="str">
        <f t="shared" ref="C7:E8" si="5">O$7</f>
        <v>Quad</v>
      </c>
      <c r="D7" s="489">
        <f t="shared" si="5"/>
        <v>0.51961999999999997</v>
      </c>
      <c r="E7" s="489">
        <f t="shared" si="5"/>
        <v>0.73458675277149998</v>
      </c>
      <c r="F7" s="489"/>
      <c r="G7" s="550">
        <f t="shared" si="0"/>
        <v>0</v>
      </c>
      <c r="H7" s="550">
        <f t="shared" si="1"/>
        <v>0</v>
      </c>
      <c r="I7" s="550">
        <f t="shared" si="2"/>
        <v>0</v>
      </c>
      <c r="J7" s="556"/>
      <c r="K7" s="247">
        <v>5.3838000000000002E-5</v>
      </c>
      <c r="L7">
        <f t="shared" si="3"/>
        <v>1.0000538379999999</v>
      </c>
      <c r="N7" s="489" t="s">
        <v>578</v>
      </c>
      <c r="O7" s="489" t="s">
        <v>670</v>
      </c>
      <c r="P7" s="489">
        <v>0.51961999999999997</v>
      </c>
      <c r="Q7" s="489">
        <f t="shared" si="4"/>
        <v>0.73458675277149998</v>
      </c>
      <c r="S7">
        <v>0.73458675277149998</v>
      </c>
      <c r="T7">
        <v>0.74956100999999997</v>
      </c>
      <c r="U7">
        <v>0.73552507</v>
      </c>
      <c r="V7">
        <v>0.73552507</v>
      </c>
      <c r="W7">
        <v>0.73552507</v>
      </c>
      <c r="X7">
        <v>0.73552507</v>
      </c>
      <c r="Y7">
        <v>0.73458675277149998</v>
      </c>
    </row>
    <row r="8" spans="1:25">
      <c r="A8">
        <v>4</v>
      </c>
      <c r="B8" s="489" t="str">
        <f>N$7</f>
        <v>QF5</v>
      </c>
      <c r="C8" s="489" t="str">
        <f t="shared" si="5"/>
        <v>Quad</v>
      </c>
      <c r="D8" s="489">
        <f t="shared" si="5"/>
        <v>0.51961999999999997</v>
      </c>
      <c r="E8" s="489">
        <f t="shared" si="5"/>
        <v>0.73458675277149998</v>
      </c>
      <c r="F8" s="489"/>
      <c r="G8" s="550">
        <f t="shared" si="0"/>
        <v>0</v>
      </c>
      <c r="H8" s="550">
        <f t="shared" si="1"/>
        <v>0</v>
      </c>
      <c r="I8" s="550">
        <f t="shared" si="2"/>
        <v>0</v>
      </c>
      <c r="J8" s="556"/>
      <c r="K8" s="247">
        <v>8.2793000000000005E-5</v>
      </c>
      <c r="L8">
        <f t="shared" si="3"/>
        <v>1.000082793</v>
      </c>
      <c r="N8" s="489" t="s">
        <v>222</v>
      </c>
      <c r="O8" s="489" t="s">
        <v>670</v>
      </c>
      <c r="P8" s="489">
        <v>0.51900999999999997</v>
      </c>
      <c r="Q8" s="489">
        <f>S8+0.01*$N40</f>
        <v>-0.81881189216874428</v>
      </c>
      <c r="S8">
        <v>-0.81881189216874428</v>
      </c>
      <c r="T8">
        <f>-0.75890797</f>
        <v>-0.75890796999999999</v>
      </c>
      <c r="U8">
        <f>-0.82095844</f>
        <v>-0.82095843999999996</v>
      </c>
      <c r="V8">
        <f>-0.82133287</f>
        <v>-0.82133286999999999</v>
      </c>
      <c r="W8">
        <f>-0.82133287</f>
        <v>-0.82133286999999999</v>
      </c>
      <c r="X8">
        <f>-0.82170677</f>
        <v>-0.82170677000000003</v>
      </c>
      <c r="Y8">
        <v>-0.81881189216874428</v>
      </c>
    </row>
    <row r="9" spans="1:25">
      <c r="A9">
        <v>4</v>
      </c>
      <c r="B9" s="489" t="str">
        <f>N$6</f>
        <v>QD4</v>
      </c>
      <c r="C9" s="489" t="str">
        <f>O$6</f>
        <v>Quad</v>
      </c>
      <c r="D9" s="489">
        <f>P$6</f>
        <v>0.42210999999999999</v>
      </c>
      <c r="E9" s="489">
        <f>Q$6</f>
        <v>-0.60152556163972903</v>
      </c>
      <c r="F9" s="489"/>
      <c r="G9" s="550">
        <f t="shared" si="0"/>
        <v>0</v>
      </c>
      <c r="H9" s="550">
        <f t="shared" si="1"/>
        <v>0</v>
      </c>
      <c r="I9" s="550">
        <f t="shared" si="2"/>
        <v>0</v>
      </c>
      <c r="J9" s="556"/>
      <c r="K9">
        <v>-6.7062999999999997E-4</v>
      </c>
      <c r="L9">
        <f t="shared" si="3"/>
        <v>0.99932936999999999</v>
      </c>
      <c r="N9" s="489" t="s">
        <v>765</v>
      </c>
      <c r="O9" s="489" t="s">
        <v>670</v>
      </c>
      <c r="P9" s="489">
        <v>0.92432000000000003</v>
      </c>
      <c r="Q9" s="489">
        <f>S9+0.01*$N41</f>
        <v>0.68156622009687096</v>
      </c>
      <c r="S9">
        <v>0.68156622009687096</v>
      </c>
      <c r="T9">
        <f>0.77604598</f>
        <v>0.77604598000000002</v>
      </c>
      <c r="U9">
        <f>0.68125343</f>
        <v>0.68125343000000005</v>
      </c>
      <c r="V9">
        <f>0.68135798</f>
        <v>0.68135798000000003</v>
      </c>
      <c r="W9">
        <f>0.68135798</f>
        <v>0.68135798000000003</v>
      </c>
      <c r="X9">
        <f>0.68146199</f>
        <v>0.68146198999999996</v>
      </c>
      <c r="Y9">
        <v>0.68156622009687096</v>
      </c>
    </row>
    <row r="10" spans="1:25">
      <c r="A10">
        <v>4</v>
      </c>
      <c r="B10" s="489" t="str">
        <f>N$8</f>
        <v>QD6</v>
      </c>
      <c r="C10" s="489" t="str">
        <f>O$8</f>
        <v>Quad</v>
      </c>
      <c r="D10" s="489">
        <f>P$8</f>
        <v>0.51900999999999997</v>
      </c>
      <c r="E10" s="489">
        <f>Q$8</f>
        <v>-0.81881189216874428</v>
      </c>
      <c r="F10" s="489"/>
      <c r="G10" s="550">
        <f t="shared" si="0"/>
        <v>0</v>
      </c>
      <c r="H10" s="550">
        <f t="shared" si="1"/>
        <v>0</v>
      </c>
      <c r="I10" s="550">
        <f t="shared" si="2"/>
        <v>0</v>
      </c>
      <c r="J10" s="556"/>
      <c r="K10">
        <v>-9.4687000000000005E-4</v>
      </c>
      <c r="L10">
        <f t="shared" si="3"/>
        <v>0.99905312999999996</v>
      </c>
      <c r="N10" s="489" t="s">
        <v>513</v>
      </c>
      <c r="O10" s="489" t="s">
        <v>670</v>
      </c>
      <c r="P10" s="489">
        <v>0.43420999999999998</v>
      </c>
      <c r="Q10" s="489">
        <f t="shared" si="4"/>
        <v>0</v>
      </c>
      <c r="S10">
        <v>0</v>
      </c>
      <c r="T10">
        <v>-0.41251799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4</v>
      </c>
      <c r="B11" s="489" t="str">
        <f>N$9</f>
        <v>QF7</v>
      </c>
      <c r="C11" s="489" t="str">
        <f>O$9</f>
        <v>Quad</v>
      </c>
      <c r="D11" s="489">
        <f>P$9</f>
        <v>0.92432000000000003</v>
      </c>
      <c r="E11" s="489">
        <f>Q$9</f>
        <v>0.68156622009687096</v>
      </c>
      <c r="F11" s="489"/>
      <c r="G11" s="550">
        <f t="shared" si="0"/>
        <v>0</v>
      </c>
      <c r="H11" s="550">
        <f t="shared" si="1"/>
        <v>0</v>
      </c>
      <c r="I11" s="550">
        <f t="shared" si="2"/>
        <v>0</v>
      </c>
      <c r="J11" s="556"/>
      <c r="K11">
        <v>3.8802999999999998E-4</v>
      </c>
      <c r="L11">
        <f t="shared" si="3"/>
        <v>1.0003880300000001</v>
      </c>
      <c r="N11" s="489"/>
      <c r="O11" s="489"/>
      <c r="P11" s="489"/>
      <c r="Q11" s="489"/>
    </row>
    <row r="12" spans="1:25">
      <c r="A12">
        <v>4</v>
      </c>
      <c r="B12" s="489" t="str">
        <f>N$10</f>
        <v>QD8</v>
      </c>
      <c r="C12" s="489" t="str">
        <f t="shared" ref="C12:E13" si="6">O$10</f>
        <v>Quad</v>
      </c>
      <c r="D12" s="489">
        <f t="shared" si="6"/>
        <v>0.43420999999999998</v>
      </c>
      <c r="E12" s="489">
        <f t="shared" si="6"/>
        <v>0</v>
      </c>
      <c r="F12" s="489"/>
      <c r="G12" s="550">
        <f t="shared" si="0"/>
        <v>0</v>
      </c>
      <c r="H12" s="550">
        <f t="shared" si="1"/>
        <v>0</v>
      </c>
      <c r="I12" s="550">
        <f t="shared" si="2"/>
        <v>0</v>
      </c>
      <c r="J12" s="556"/>
      <c r="K12">
        <v>0</v>
      </c>
      <c r="L12">
        <f t="shared" si="3"/>
        <v>1</v>
      </c>
      <c r="N12" s="489" t="s">
        <v>450</v>
      </c>
      <c r="O12" s="489" t="s">
        <v>670</v>
      </c>
      <c r="P12" s="489">
        <f>P$3</f>
        <v>0.43804999999999999</v>
      </c>
      <c r="Q12" s="489">
        <f t="shared" si="4"/>
        <v>0</v>
      </c>
      <c r="S12">
        <f t="shared" ref="S12:Y12" si="7">S$3</f>
        <v>0</v>
      </c>
      <c r="T12">
        <f t="shared" si="7"/>
        <v>-0.114872</v>
      </c>
      <c r="U12">
        <f t="shared" si="7"/>
        <v>0</v>
      </c>
      <c r="V12">
        <f t="shared" si="7"/>
        <v>0</v>
      </c>
      <c r="W12">
        <f t="shared" si="7"/>
        <v>0</v>
      </c>
      <c r="X12">
        <f t="shared" si="7"/>
        <v>0</v>
      </c>
      <c r="Y12">
        <f t="shared" si="7"/>
        <v>0</v>
      </c>
    </row>
    <row r="13" spans="1:25">
      <c r="A13">
        <v>5</v>
      </c>
      <c r="B13" s="489" t="str">
        <f>N$10</f>
        <v>QD8</v>
      </c>
      <c r="C13" s="489" t="str">
        <f t="shared" si="6"/>
        <v>Quad</v>
      </c>
      <c r="D13" s="489">
        <f t="shared" si="6"/>
        <v>0.43420999999999998</v>
      </c>
      <c r="E13" s="489">
        <f t="shared" si="6"/>
        <v>0</v>
      </c>
      <c r="F13" s="489"/>
      <c r="G13" s="550">
        <f t="shared" si="0"/>
        <v>0</v>
      </c>
      <c r="H13" s="550">
        <f t="shared" si="1"/>
        <v>0</v>
      </c>
      <c r="I13" s="550">
        <f t="shared" si="2"/>
        <v>0</v>
      </c>
      <c r="J13" s="556"/>
      <c r="K13">
        <v>0</v>
      </c>
      <c r="L13">
        <f t="shared" si="3"/>
        <v>1</v>
      </c>
      <c r="N13" s="489" t="s">
        <v>451</v>
      </c>
      <c r="O13" s="489" t="s">
        <v>670</v>
      </c>
      <c r="P13" s="489">
        <f t="shared" ref="P13:X13" si="8">P$4</f>
        <v>0.94340999999999997</v>
      </c>
      <c r="Q13" s="489">
        <f t="shared" si="4"/>
        <v>0.39100748841534999</v>
      </c>
      <c r="S13">
        <f>S$4</f>
        <v>0.39100748841534999</v>
      </c>
      <c r="T13">
        <f t="shared" si="8"/>
        <v>0.450488</v>
      </c>
      <c r="U13">
        <f t="shared" si="8"/>
        <v>0.39104849000000003</v>
      </c>
      <c r="V13">
        <f t="shared" si="8"/>
        <v>0.39104849000000003</v>
      </c>
      <c r="W13">
        <f t="shared" si="8"/>
        <v>0.39104849000000003</v>
      </c>
      <c r="X13">
        <f t="shared" si="8"/>
        <v>0.39104849000000003</v>
      </c>
      <c r="Y13">
        <f>Y$4</f>
        <v>0.39100748841534999</v>
      </c>
    </row>
    <row r="14" spans="1:25">
      <c r="A14">
        <v>5</v>
      </c>
      <c r="B14" s="489" t="str">
        <f>N$9</f>
        <v>QF7</v>
      </c>
      <c r="C14" s="489" t="str">
        <f>O$9</f>
        <v>Quad</v>
      </c>
      <c r="D14" s="489">
        <f>P$9</f>
        <v>0.92432000000000003</v>
      </c>
      <c r="E14" s="489">
        <f>Q$9</f>
        <v>0.68156622009687096</v>
      </c>
      <c r="F14" s="489"/>
      <c r="G14" s="550">
        <f t="shared" si="0"/>
        <v>0</v>
      </c>
      <c r="H14" s="550">
        <f t="shared" si="1"/>
        <v>0</v>
      </c>
      <c r="I14" s="550">
        <f t="shared" si="2"/>
        <v>0</v>
      </c>
      <c r="J14" s="556"/>
      <c r="K14">
        <v>8.5170999999999999E-4</v>
      </c>
      <c r="L14">
        <f t="shared" si="3"/>
        <v>1.0008517100000001</v>
      </c>
      <c r="N14" s="489" t="s">
        <v>452</v>
      </c>
      <c r="O14" s="489" t="s">
        <v>670</v>
      </c>
      <c r="P14" s="489">
        <f t="shared" ref="P14:X14" si="9">P$5</f>
        <v>0.53366999999999998</v>
      </c>
      <c r="Q14" s="489">
        <f t="shared" si="4"/>
        <v>-0.603553432914813</v>
      </c>
      <c r="S14">
        <f>S$5</f>
        <v>-0.603553432914813</v>
      </c>
      <c r="T14">
        <f t="shared" si="9"/>
        <v>-0.61749798</v>
      </c>
      <c r="U14">
        <f t="shared" si="9"/>
        <v>-0.60540360000000004</v>
      </c>
      <c r="V14">
        <f t="shared" si="9"/>
        <v>-0.60540360000000004</v>
      </c>
      <c r="W14">
        <f t="shared" si="9"/>
        <v>-0.60540360000000004</v>
      </c>
      <c r="X14">
        <f t="shared" si="9"/>
        <v>-0.60540360000000004</v>
      </c>
      <c r="Y14">
        <f>Y$5</f>
        <v>-0.603553432914813</v>
      </c>
    </row>
    <row r="15" spans="1:25">
      <c r="A15">
        <v>5</v>
      </c>
      <c r="B15" s="489" t="str">
        <f>N$8</f>
        <v>QD6</v>
      </c>
      <c r="C15" s="489" t="str">
        <f>O$8</f>
        <v>Quad</v>
      </c>
      <c r="D15" s="489">
        <f>P$8</f>
        <v>0.51900999999999997</v>
      </c>
      <c r="E15" s="489">
        <f>Q$8</f>
        <v>-0.81881189216874428</v>
      </c>
      <c r="F15" s="489"/>
      <c r="G15" s="550">
        <f t="shared" si="0"/>
        <v>0</v>
      </c>
      <c r="H15" s="550">
        <f t="shared" si="1"/>
        <v>0</v>
      </c>
      <c r="I15" s="550">
        <f t="shared" si="2"/>
        <v>0</v>
      </c>
      <c r="J15" s="556"/>
      <c r="K15">
        <v>-1.3549E-3</v>
      </c>
      <c r="L15">
        <f t="shared" si="3"/>
        <v>0.99864509999999995</v>
      </c>
      <c r="N15" s="489"/>
      <c r="O15" s="489"/>
      <c r="P15" s="489"/>
      <c r="Q15" s="489"/>
    </row>
    <row r="16" spans="1:25">
      <c r="A16">
        <v>5</v>
      </c>
      <c r="B16" s="489" t="str">
        <f>N$6</f>
        <v>QD4</v>
      </c>
      <c r="C16" s="489" t="str">
        <f>O$6</f>
        <v>Quad</v>
      </c>
      <c r="D16" s="489">
        <f>P$6</f>
        <v>0.42210999999999999</v>
      </c>
      <c r="E16" s="489">
        <f>Q$6</f>
        <v>-0.60152556163972903</v>
      </c>
      <c r="F16" s="489"/>
      <c r="G16" s="550">
        <f t="shared" si="0"/>
        <v>0</v>
      </c>
      <c r="H16" s="550">
        <f t="shared" si="1"/>
        <v>0</v>
      </c>
      <c r="I16" s="550">
        <f t="shared" si="2"/>
        <v>0</v>
      </c>
      <c r="J16" s="556"/>
      <c r="K16">
        <v>-1.0938E-3</v>
      </c>
      <c r="L16">
        <f t="shared" si="3"/>
        <v>0.99890619999999997</v>
      </c>
      <c r="N16" s="489" t="s">
        <v>453</v>
      </c>
      <c r="O16" s="489" t="s">
        <v>670</v>
      </c>
      <c r="P16" s="489">
        <f t="shared" ref="P16:V16" si="10">P$3</f>
        <v>0.43804999999999999</v>
      </c>
      <c r="Q16" s="489">
        <f t="shared" si="4"/>
        <v>0</v>
      </c>
      <c r="S16">
        <f>S$3</f>
        <v>0</v>
      </c>
      <c r="T16">
        <f t="shared" si="10"/>
        <v>-0.114872</v>
      </c>
      <c r="U16">
        <f t="shared" si="10"/>
        <v>0</v>
      </c>
      <c r="V16">
        <f t="shared" si="10"/>
        <v>0</v>
      </c>
      <c r="W16">
        <v>0.2</v>
      </c>
      <c r="X16">
        <v>0.2</v>
      </c>
      <c r="Y16">
        <f>Y$3</f>
        <v>0</v>
      </c>
    </row>
    <row r="17" spans="1:29">
      <c r="A17">
        <v>5</v>
      </c>
      <c r="B17" s="489" t="str">
        <f>N$7</f>
        <v>QF5</v>
      </c>
      <c r="C17" s="489" t="str">
        <f t="shared" ref="C17:E18" si="11">O$7</f>
        <v>Quad</v>
      </c>
      <c r="D17" s="489">
        <f t="shared" si="11"/>
        <v>0.51961999999999997</v>
      </c>
      <c r="E17" s="489">
        <f t="shared" si="11"/>
        <v>0.73458675277149998</v>
      </c>
      <c r="F17" s="489"/>
      <c r="G17" s="550">
        <f t="shared" si="0"/>
        <v>0</v>
      </c>
      <c r="H17" s="550">
        <f t="shared" si="1"/>
        <v>0</v>
      </c>
      <c r="I17" s="550">
        <f t="shared" si="2"/>
        <v>0</v>
      </c>
      <c r="J17" s="556"/>
      <c r="K17">
        <v>5.4766999999999999E-4</v>
      </c>
      <c r="L17">
        <f t="shared" si="3"/>
        <v>1.00054767</v>
      </c>
      <c r="N17" s="489" t="s">
        <v>454</v>
      </c>
      <c r="O17" s="489" t="s">
        <v>670</v>
      </c>
      <c r="P17" s="489">
        <f t="shared" ref="P17:V17" si="12">P$4</f>
        <v>0.94340999999999997</v>
      </c>
      <c r="Q17" s="489">
        <f t="shared" si="4"/>
        <v>0.39100748841534999</v>
      </c>
      <c r="S17">
        <f>S$4</f>
        <v>0.39100748841534999</v>
      </c>
      <c r="T17">
        <f t="shared" si="12"/>
        <v>0.450488</v>
      </c>
      <c r="U17">
        <f t="shared" si="12"/>
        <v>0.39104849000000003</v>
      </c>
      <c r="V17">
        <f t="shared" si="12"/>
        <v>0.39104849000000003</v>
      </c>
      <c r="W17">
        <v>0.26560074</v>
      </c>
      <c r="X17">
        <v>0.26561924308230472</v>
      </c>
      <c r="Y17">
        <f>Y$4</f>
        <v>0.39100748841534999</v>
      </c>
    </row>
    <row r="18" spans="1:29">
      <c r="A18">
        <v>5</v>
      </c>
      <c r="B18" s="489" t="str">
        <f>N$7</f>
        <v>QF5</v>
      </c>
      <c r="C18" s="489" t="str">
        <f t="shared" si="11"/>
        <v>Quad</v>
      </c>
      <c r="D18" s="489">
        <f t="shared" si="11"/>
        <v>0.51961999999999997</v>
      </c>
      <c r="E18" s="489">
        <f t="shared" si="11"/>
        <v>0.73458675277149998</v>
      </c>
      <c r="F18" s="489"/>
      <c r="G18" s="550">
        <f t="shared" si="0"/>
        <v>0</v>
      </c>
      <c r="H18" s="550">
        <f t="shared" si="1"/>
        <v>0</v>
      </c>
      <c r="I18" s="550">
        <f t="shared" si="2"/>
        <v>0</v>
      </c>
      <c r="J18" s="556"/>
      <c r="K18">
        <v>4.7059000000000001E-4</v>
      </c>
      <c r="L18">
        <f t="shared" si="3"/>
        <v>1.0004705899999999</v>
      </c>
      <c r="N18" s="489" t="s">
        <v>455</v>
      </c>
      <c r="O18" s="489" t="s">
        <v>670</v>
      </c>
      <c r="P18" s="489">
        <f t="shared" ref="P18:V18" si="13">P$5</f>
        <v>0.53366999999999998</v>
      </c>
      <c r="Q18" s="489">
        <f t="shared" si="4"/>
        <v>-0.603553432914813</v>
      </c>
      <c r="S18">
        <f>S$5</f>
        <v>-0.603553432914813</v>
      </c>
      <c r="T18">
        <f t="shared" si="13"/>
        <v>-0.61749798</v>
      </c>
      <c r="U18">
        <f t="shared" si="13"/>
        <v>-0.60540360000000004</v>
      </c>
      <c r="V18">
        <f t="shared" si="13"/>
        <v>-0.60540360000000004</v>
      </c>
      <c r="W18">
        <v>-0.54576402999999996</v>
      </c>
      <c r="X18">
        <v>-0.54586187557039911</v>
      </c>
      <c r="Y18">
        <f>Y$5</f>
        <v>-0.603553432914813</v>
      </c>
    </row>
    <row r="19" spans="1:29">
      <c r="A19">
        <v>5</v>
      </c>
      <c r="B19" s="489" t="str">
        <f>N$6</f>
        <v>QD4</v>
      </c>
      <c r="C19" s="489" t="str">
        <f>O$6</f>
        <v>Quad</v>
      </c>
      <c r="D19" s="489">
        <f>P$6</f>
        <v>0.42210999999999999</v>
      </c>
      <c r="E19" s="489">
        <f>Q$6</f>
        <v>-0.60152556163972903</v>
      </c>
      <c r="F19" s="489"/>
      <c r="G19" s="550">
        <f t="shared" si="0"/>
        <v>0</v>
      </c>
      <c r="H19" s="550">
        <f t="shared" si="1"/>
        <v>0</v>
      </c>
      <c r="I19" s="550">
        <f t="shared" si="2"/>
        <v>0</v>
      </c>
      <c r="J19" s="556"/>
      <c r="K19">
        <v>-7.9752000000000002E-4</v>
      </c>
      <c r="L19">
        <f t="shared" si="3"/>
        <v>0.99920248</v>
      </c>
      <c r="N19" s="489"/>
      <c r="O19" s="489"/>
      <c r="P19" s="489"/>
      <c r="Q19" s="489"/>
    </row>
    <row r="20" spans="1:29">
      <c r="A20">
        <v>5</v>
      </c>
      <c r="B20" s="489" t="str">
        <f>N$18</f>
        <v>QD3-C6</v>
      </c>
      <c r="C20" s="489" t="str">
        <f>O$18</f>
        <v>Quad</v>
      </c>
      <c r="D20" s="489">
        <f>P$18</f>
        <v>0.53366999999999998</v>
      </c>
      <c r="E20" s="489">
        <f>Q$18</f>
        <v>-0.603553432914813</v>
      </c>
      <c r="F20" s="489"/>
      <c r="G20" s="550">
        <f t="shared" si="0"/>
        <v>0</v>
      </c>
      <c r="H20" s="550">
        <f t="shared" si="1"/>
        <v>0</v>
      </c>
      <c r="I20" s="550">
        <f t="shared" si="2"/>
        <v>0</v>
      </c>
      <c r="J20" s="556"/>
      <c r="K20">
        <v>-1.0097999999999999E-3</v>
      </c>
      <c r="L20">
        <f t="shared" si="3"/>
        <v>0.99899020000000005</v>
      </c>
      <c r="N20" s="489" t="s">
        <v>653</v>
      </c>
      <c r="O20" s="489" t="s">
        <v>670</v>
      </c>
      <c r="P20" s="489">
        <f t="shared" ref="P20:X20" si="14">P$8</f>
        <v>0.51900999999999997</v>
      </c>
      <c r="Q20" s="489">
        <f t="shared" si="4"/>
        <v>-0.81881189216874428</v>
      </c>
      <c r="S20">
        <f>S$8</f>
        <v>-0.81881189216874428</v>
      </c>
      <c r="T20">
        <f t="shared" si="14"/>
        <v>-0.75890796999999999</v>
      </c>
      <c r="U20">
        <f t="shared" si="14"/>
        <v>-0.82095843999999996</v>
      </c>
      <c r="V20">
        <f t="shared" si="14"/>
        <v>-0.82133286999999999</v>
      </c>
      <c r="W20">
        <f t="shared" si="14"/>
        <v>-0.82133286999999999</v>
      </c>
      <c r="X20">
        <f t="shared" si="14"/>
        <v>-0.82170677000000003</v>
      </c>
      <c r="Y20">
        <f>Y$8</f>
        <v>-0.81881189216874428</v>
      </c>
    </row>
    <row r="21" spans="1:29">
      <c r="A21">
        <v>5</v>
      </c>
      <c r="B21" s="489" t="str">
        <f>N$17</f>
        <v>QF2-C6</v>
      </c>
      <c r="C21" s="489" t="str">
        <f>O$17</f>
        <v>Quad</v>
      </c>
      <c r="D21" s="489">
        <f>P$17</f>
        <v>0.94340999999999997</v>
      </c>
      <c r="E21" s="489">
        <f>Q$17</f>
        <v>0.39100748841534999</v>
      </c>
      <c r="F21" s="489"/>
      <c r="G21" s="550">
        <f t="shared" si="0"/>
        <v>0</v>
      </c>
      <c r="H21" s="550">
        <f t="shared" si="1"/>
        <v>0</v>
      </c>
      <c r="I21" s="550">
        <f t="shared" si="2"/>
        <v>0</v>
      </c>
      <c r="J21" s="556"/>
      <c r="K21">
        <v>1.5068E-3</v>
      </c>
      <c r="L21">
        <f t="shared" si="3"/>
        <v>1.0015068</v>
      </c>
      <c r="N21" s="489" t="s">
        <v>456</v>
      </c>
      <c r="O21" s="489" t="s">
        <v>670</v>
      </c>
      <c r="P21" s="489">
        <f t="shared" ref="P21:X21" si="15">P$9</f>
        <v>0.92432000000000003</v>
      </c>
      <c r="Q21" s="489">
        <f t="shared" si="4"/>
        <v>0.68156622009687096</v>
      </c>
      <c r="S21">
        <f>S$9</f>
        <v>0.68156622009687096</v>
      </c>
      <c r="T21">
        <f t="shared" si="15"/>
        <v>0.77604598000000002</v>
      </c>
      <c r="U21">
        <f t="shared" si="15"/>
        <v>0.68125343000000005</v>
      </c>
      <c r="V21">
        <f t="shared" si="15"/>
        <v>0.68135798000000003</v>
      </c>
      <c r="W21">
        <f t="shared" si="15"/>
        <v>0.68135798000000003</v>
      </c>
      <c r="X21">
        <f t="shared" si="15"/>
        <v>0.68146198999999996</v>
      </c>
      <c r="Y21">
        <f>Y$9</f>
        <v>0.68156622009687096</v>
      </c>
    </row>
    <row r="22" spans="1:29">
      <c r="A22">
        <v>5</v>
      </c>
      <c r="B22" s="489" t="str">
        <f>N$16</f>
        <v>QD1-C6</v>
      </c>
      <c r="C22" s="489" t="str">
        <f t="shared" ref="C22:E23" si="16">O$16</f>
        <v>Quad</v>
      </c>
      <c r="D22" s="489">
        <f t="shared" si="16"/>
        <v>0.43804999999999999</v>
      </c>
      <c r="E22" s="489">
        <f t="shared" si="16"/>
        <v>0</v>
      </c>
      <c r="F22" s="489"/>
      <c r="G22" s="550">
        <f t="shared" si="0"/>
        <v>0</v>
      </c>
      <c r="H22" s="550">
        <f t="shared" si="1"/>
        <v>0</v>
      </c>
      <c r="I22" s="550">
        <f t="shared" si="2"/>
        <v>0</v>
      </c>
      <c r="J22" s="556"/>
      <c r="K22">
        <v>0</v>
      </c>
      <c r="L22">
        <f t="shared" si="3"/>
        <v>1</v>
      </c>
      <c r="N22" s="489" t="s">
        <v>457</v>
      </c>
      <c r="O22" s="489" t="s">
        <v>670</v>
      </c>
      <c r="P22" s="489">
        <f t="shared" ref="P22:X22" si="17">P$10</f>
        <v>0.43420999999999998</v>
      </c>
      <c r="Q22" s="489">
        <f t="shared" si="4"/>
        <v>0</v>
      </c>
      <c r="S22">
        <f>S$10</f>
        <v>0</v>
      </c>
      <c r="T22">
        <f t="shared" si="17"/>
        <v>-0.41251799</v>
      </c>
      <c r="U22">
        <f t="shared" si="17"/>
        <v>0</v>
      </c>
      <c r="V22">
        <f t="shared" si="17"/>
        <v>0</v>
      </c>
      <c r="W22">
        <f t="shared" si="17"/>
        <v>0</v>
      </c>
      <c r="X22">
        <f t="shared" si="17"/>
        <v>0</v>
      </c>
      <c r="Y22">
        <f>Y$10</f>
        <v>0</v>
      </c>
    </row>
    <row r="23" spans="1:29">
      <c r="A23">
        <v>6</v>
      </c>
      <c r="B23" s="489" t="str">
        <f>N$16</f>
        <v>QD1-C6</v>
      </c>
      <c r="C23" s="489" t="str">
        <f t="shared" si="16"/>
        <v>Quad</v>
      </c>
      <c r="D23" s="489">
        <f t="shared" si="16"/>
        <v>0.43804999999999999</v>
      </c>
      <c r="E23" s="489">
        <f t="shared" si="16"/>
        <v>0</v>
      </c>
      <c r="F23" s="489"/>
      <c r="G23" s="550">
        <f t="shared" si="0"/>
        <v>0</v>
      </c>
      <c r="H23" s="550">
        <f t="shared" si="1"/>
        <v>0</v>
      </c>
      <c r="I23" s="550">
        <f t="shared" si="2"/>
        <v>0</v>
      </c>
      <c r="J23" s="556"/>
      <c r="K23">
        <v>0</v>
      </c>
      <c r="L23">
        <f t="shared" si="3"/>
        <v>1</v>
      </c>
      <c r="N23" s="489"/>
      <c r="O23" s="489"/>
      <c r="P23" s="489"/>
      <c r="Q23" s="489"/>
    </row>
    <row r="24" spans="1:29">
      <c r="A24">
        <v>6</v>
      </c>
      <c r="B24" s="489" t="str">
        <f>N$17</f>
        <v>QF2-C6</v>
      </c>
      <c r="C24" s="489" t="str">
        <f>O$17</f>
        <v>Quad</v>
      </c>
      <c r="D24" s="489">
        <f>P$17</f>
        <v>0.94340999999999997</v>
      </c>
      <c r="E24" s="489">
        <f>Q$17</f>
        <v>0.39100748841534999</v>
      </c>
      <c r="F24" s="489"/>
      <c r="G24" s="550">
        <f t="shared" si="0"/>
        <v>0</v>
      </c>
      <c r="H24" s="550">
        <f t="shared" si="1"/>
        <v>0</v>
      </c>
      <c r="I24" s="550">
        <f t="shared" si="2"/>
        <v>0</v>
      </c>
      <c r="J24" s="556"/>
      <c r="K24">
        <v>1.4686E-3</v>
      </c>
      <c r="L24">
        <f t="shared" si="3"/>
        <v>1.0014685999999999</v>
      </c>
      <c r="N24" s="489" t="s">
        <v>458</v>
      </c>
      <c r="O24" s="489" t="s">
        <v>670</v>
      </c>
      <c r="P24" s="489">
        <f t="shared" ref="P24:W24" si="18">P$3</f>
        <v>0.43804999999999999</v>
      </c>
      <c r="Q24" s="489">
        <f t="shared" si="4"/>
        <v>0</v>
      </c>
      <c r="S24">
        <f>S$3</f>
        <v>0</v>
      </c>
      <c r="T24">
        <f t="shared" si="18"/>
        <v>-0.114872</v>
      </c>
      <c r="U24">
        <f t="shared" si="18"/>
        <v>0</v>
      </c>
      <c r="V24">
        <v>0.2</v>
      </c>
      <c r="W24">
        <f t="shared" si="18"/>
        <v>0</v>
      </c>
      <c r="X24">
        <v>0.2</v>
      </c>
      <c r="Y24">
        <f>Y$3</f>
        <v>0</v>
      </c>
    </row>
    <row r="25" spans="1:29">
      <c r="A25">
        <v>6</v>
      </c>
      <c r="B25" s="489" t="str">
        <f>N$18</f>
        <v>QD3-C6</v>
      </c>
      <c r="C25" s="489" t="str">
        <f>O$18</f>
        <v>Quad</v>
      </c>
      <c r="D25" s="489">
        <f>P$18</f>
        <v>0.53366999999999998</v>
      </c>
      <c r="E25" s="489">
        <f>Q$18</f>
        <v>-0.603553432914813</v>
      </c>
      <c r="F25" s="489"/>
      <c r="G25" s="550">
        <f t="shared" si="0"/>
        <v>0</v>
      </c>
      <c r="H25" s="550">
        <f t="shared" si="1"/>
        <v>0</v>
      </c>
      <c r="I25" s="550">
        <f t="shared" si="2"/>
        <v>0</v>
      </c>
      <c r="J25" s="556"/>
      <c r="K25">
        <v>-1.1444999999999999E-3</v>
      </c>
      <c r="L25">
        <f t="shared" si="3"/>
        <v>0.99885550000000001</v>
      </c>
      <c r="N25" s="489" t="s">
        <v>459</v>
      </c>
      <c r="O25" s="489" t="s">
        <v>670</v>
      </c>
      <c r="P25" s="489">
        <f t="shared" ref="P25:W25" si="19">P$4</f>
        <v>0.94340999999999997</v>
      </c>
      <c r="Q25" s="489">
        <f t="shared" si="4"/>
        <v>0.39100748841534999</v>
      </c>
      <c r="S25">
        <f>S$4</f>
        <v>0.39100748841534999</v>
      </c>
      <c r="T25">
        <f t="shared" si="19"/>
        <v>0.450488</v>
      </c>
      <c r="U25">
        <f t="shared" si="19"/>
        <v>0.39104849000000003</v>
      </c>
      <c r="V25">
        <v>0.26560074</v>
      </c>
      <c r="W25">
        <f t="shared" si="19"/>
        <v>0.39104849000000003</v>
      </c>
      <c r="X25">
        <v>0.26561924308230472</v>
      </c>
      <c r="Y25">
        <f>Y$4</f>
        <v>0.39100748841534999</v>
      </c>
    </row>
    <row r="26" spans="1:29">
      <c r="A26">
        <v>6</v>
      </c>
      <c r="B26" s="489" t="str">
        <f>N$6</f>
        <v>QD4</v>
      </c>
      <c r="C26" s="489" t="str">
        <f>O$6</f>
        <v>Quad</v>
      </c>
      <c r="D26" s="489">
        <f>P$6</f>
        <v>0.42210999999999999</v>
      </c>
      <c r="E26" s="489">
        <f>Q$6</f>
        <v>-0.60152556163972903</v>
      </c>
      <c r="F26" s="489"/>
      <c r="G26" s="550">
        <f t="shared" si="0"/>
        <v>0</v>
      </c>
      <c r="H26" s="550">
        <f t="shared" si="1"/>
        <v>0</v>
      </c>
      <c r="I26" s="550">
        <f t="shared" si="2"/>
        <v>0</v>
      </c>
      <c r="J26" s="556"/>
      <c r="K26">
        <v>-6.8791999999999996E-4</v>
      </c>
      <c r="L26">
        <f t="shared" si="3"/>
        <v>0.99931208000000005</v>
      </c>
      <c r="N26" s="489" t="s">
        <v>652</v>
      </c>
      <c r="O26" s="489" t="s">
        <v>670</v>
      </c>
      <c r="P26" s="489">
        <f t="shared" ref="P26:W26" si="20">P$5</f>
        <v>0.53366999999999998</v>
      </c>
      <c r="Q26" s="489">
        <f t="shared" si="4"/>
        <v>-0.603553432914813</v>
      </c>
      <c r="S26">
        <f>S$5</f>
        <v>-0.603553432914813</v>
      </c>
      <c r="T26">
        <f t="shared" si="20"/>
        <v>-0.61749798</v>
      </c>
      <c r="U26">
        <f t="shared" si="20"/>
        <v>-0.60540360000000004</v>
      </c>
      <c r="V26">
        <v>-0.54576402999999996</v>
      </c>
      <c r="W26">
        <f t="shared" si="20"/>
        <v>-0.60540360000000004</v>
      </c>
      <c r="X26">
        <v>-0.54586187557039911</v>
      </c>
      <c r="Y26">
        <f>Y$5</f>
        <v>-0.603553432914813</v>
      </c>
    </row>
    <row r="27" spans="1:29">
      <c r="A27">
        <v>6</v>
      </c>
      <c r="B27" s="489" t="str">
        <f>N$7</f>
        <v>QF5</v>
      </c>
      <c r="C27" s="489" t="str">
        <f t="shared" ref="C27:E28" si="21">O$7</f>
        <v>Quad</v>
      </c>
      <c r="D27" s="489">
        <f t="shared" si="21"/>
        <v>0.51961999999999997</v>
      </c>
      <c r="E27" s="489">
        <f t="shared" si="21"/>
        <v>0.73458675277149998</v>
      </c>
      <c r="F27" s="489"/>
      <c r="G27" s="550">
        <f t="shared" si="0"/>
        <v>0</v>
      </c>
      <c r="H27" s="550">
        <f t="shared" si="1"/>
        <v>0</v>
      </c>
      <c r="I27" s="550">
        <f t="shared" si="2"/>
        <v>0</v>
      </c>
      <c r="J27" s="556"/>
      <c r="K27">
        <v>3.7756999999999998E-4</v>
      </c>
      <c r="L27">
        <f t="shared" si="3"/>
        <v>1.0003775699999999</v>
      </c>
    </row>
    <row r="28" spans="1:29">
      <c r="A28">
        <v>6</v>
      </c>
      <c r="B28" s="489" t="str">
        <f>N$7</f>
        <v>QF5</v>
      </c>
      <c r="C28" s="489" t="str">
        <f t="shared" si="21"/>
        <v>Quad</v>
      </c>
      <c r="D28" s="489">
        <f t="shared" si="21"/>
        <v>0.51961999999999997</v>
      </c>
      <c r="E28" s="489">
        <f t="shared" si="21"/>
        <v>0.73458675277149998</v>
      </c>
      <c r="F28" s="489"/>
      <c r="G28" s="550">
        <f t="shared" si="0"/>
        <v>0</v>
      </c>
      <c r="H28" s="550">
        <f t="shared" si="1"/>
        <v>0</v>
      </c>
      <c r="I28" s="550">
        <f t="shared" si="2"/>
        <v>0</v>
      </c>
      <c r="J28" s="556"/>
      <c r="K28">
        <v>3.6687999999999998E-4</v>
      </c>
      <c r="L28">
        <f t="shared" si="3"/>
        <v>1.0003668800000001</v>
      </c>
    </row>
    <row r="29" spans="1:29" ht="15.75">
      <c r="A29">
        <v>6</v>
      </c>
      <c r="B29" s="489" t="str">
        <f>N$6</f>
        <v>QD4</v>
      </c>
      <c r="C29" s="489" t="str">
        <f>O$6</f>
        <v>Quad</v>
      </c>
      <c r="D29" s="489">
        <f>P$6</f>
        <v>0.42210999999999999</v>
      </c>
      <c r="E29" s="489">
        <f>Q$6</f>
        <v>-0.60152556163972903</v>
      </c>
      <c r="F29" s="489"/>
      <c r="G29" s="550">
        <f t="shared" si="0"/>
        <v>0</v>
      </c>
      <c r="H29" s="550">
        <f t="shared" si="1"/>
        <v>0</v>
      </c>
      <c r="I29" s="550">
        <f t="shared" si="2"/>
        <v>0</v>
      </c>
      <c r="J29" s="556"/>
      <c r="K29">
        <v>-6.1563999999999998E-4</v>
      </c>
      <c r="L29">
        <f t="shared" si="3"/>
        <v>0.99938435999999997</v>
      </c>
      <c r="N29" s="490" t="s">
        <v>543</v>
      </c>
      <c r="P29" s="390" t="s">
        <v>848</v>
      </c>
      <c r="Q29" s="390">
        <v>3.2000000000000001E-2</v>
      </c>
    </row>
    <row r="30" spans="1:29">
      <c r="A30">
        <v>6</v>
      </c>
      <c r="B30" s="489" t="str">
        <f>N$8</f>
        <v>QD6</v>
      </c>
      <c r="C30" s="489" t="str">
        <f>O$8</f>
        <v>Quad</v>
      </c>
      <c r="D30" s="489">
        <f>P$8</f>
        <v>0.51900999999999997</v>
      </c>
      <c r="E30" s="489">
        <f>Q$8</f>
        <v>-0.81881189216874428</v>
      </c>
      <c r="F30" s="489"/>
      <c r="G30" s="550">
        <f t="shared" si="0"/>
        <v>0</v>
      </c>
      <c r="H30" s="550">
        <f t="shared" si="1"/>
        <v>0</v>
      </c>
      <c r="I30" s="550">
        <f t="shared" si="2"/>
        <v>0</v>
      </c>
      <c r="J30" s="556"/>
      <c r="K30">
        <v>-5.4263E-4</v>
      </c>
      <c r="L30">
        <f t="shared" si="3"/>
        <v>0.99945737000000001</v>
      </c>
      <c r="R30">
        <v>0</v>
      </c>
      <c r="S30">
        <v>0.1</v>
      </c>
      <c r="T30">
        <v>0.2</v>
      </c>
      <c r="U30">
        <v>0.3</v>
      </c>
      <c r="V30">
        <v>0.4</v>
      </c>
      <c r="W30">
        <v>0.5</v>
      </c>
      <c r="X30">
        <v>0.6</v>
      </c>
      <c r="Y30">
        <v>0.7</v>
      </c>
      <c r="Z30">
        <v>0.8</v>
      </c>
      <c r="AA30">
        <v>0.9</v>
      </c>
      <c r="AB30">
        <v>1</v>
      </c>
      <c r="AC30">
        <v>1.1000000000000001</v>
      </c>
    </row>
    <row r="31" spans="1:29">
      <c r="A31">
        <v>6</v>
      </c>
      <c r="B31" s="489" t="str">
        <f>N$9</f>
        <v>QF7</v>
      </c>
      <c r="C31" s="489" t="str">
        <f>O$9</f>
        <v>Quad</v>
      </c>
      <c r="D31" s="489">
        <f>P$9</f>
        <v>0.92432000000000003</v>
      </c>
      <c r="E31" s="489">
        <f>Q$9</f>
        <v>0.68156622009687096</v>
      </c>
      <c r="F31" s="489"/>
      <c r="G31" s="550">
        <f t="shared" si="0"/>
        <v>0</v>
      </c>
      <c r="H31" s="550">
        <f t="shared" si="1"/>
        <v>0</v>
      </c>
      <c r="I31" s="550">
        <f t="shared" si="2"/>
        <v>0</v>
      </c>
      <c r="J31" s="556"/>
      <c r="K31" s="247">
        <v>-7.7674999999999997E-6</v>
      </c>
      <c r="L31">
        <f t="shared" si="3"/>
        <v>0.99999223250000002</v>
      </c>
      <c r="O31" t="s">
        <v>545</v>
      </c>
      <c r="P31" t="s">
        <v>546</v>
      </c>
      <c r="R31">
        <f t="shared" ref="R31:W31" si="22">$Q$29*R30</f>
        <v>0</v>
      </c>
      <c r="S31">
        <f t="shared" si="22"/>
        <v>3.2000000000000002E-3</v>
      </c>
      <c r="T31">
        <f t="shared" si="22"/>
        <v>6.4000000000000003E-3</v>
      </c>
      <c r="U31">
        <f t="shared" si="22"/>
        <v>9.5999999999999992E-3</v>
      </c>
      <c r="V31">
        <f t="shared" si="22"/>
        <v>1.2800000000000001E-2</v>
      </c>
      <c r="W31">
        <f t="shared" si="22"/>
        <v>1.6E-2</v>
      </c>
      <c r="X31">
        <f t="shared" ref="X31:AC31" si="23">$Q$29*X30</f>
        <v>1.9199999999999998E-2</v>
      </c>
      <c r="Y31">
        <f t="shared" si="23"/>
        <v>2.24E-2</v>
      </c>
      <c r="Z31">
        <f t="shared" si="23"/>
        <v>2.5600000000000001E-2</v>
      </c>
      <c r="AA31">
        <f t="shared" si="23"/>
        <v>2.8800000000000003E-2</v>
      </c>
      <c r="AB31">
        <f t="shared" si="23"/>
        <v>3.2000000000000001E-2</v>
      </c>
      <c r="AC31">
        <f t="shared" si="23"/>
        <v>3.5200000000000002E-2</v>
      </c>
    </row>
    <row r="32" spans="1:29">
      <c r="A32">
        <v>6</v>
      </c>
      <c r="B32" s="489" t="str">
        <f>N$10</f>
        <v>QD8</v>
      </c>
      <c r="C32" s="489" t="str">
        <f t="shared" ref="C32:E33" si="24">O$10</f>
        <v>Quad</v>
      </c>
      <c r="D32" s="489">
        <f t="shared" si="24"/>
        <v>0.43420999999999998</v>
      </c>
      <c r="E32" s="489">
        <f t="shared" si="24"/>
        <v>0</v>
      </c>
      <c r="F32" s="489"/>
      <c r="G32" s="550">
        <f t="shared" si="0"/>
        <v>0</v>
      </c>
      <c r="H32" s="550">
        <f t="shared" si="1"/>
        <v>0</v>
      </c>
      <c r="I32" s="550">
        <f t="shared" si="2"/>
        <v>0</v>
      </c>
      <c r="J32" s="556"/>
      <c r="K32">
        <v>0</v>
      </c>
      <c r="L32">
        <f t="shared" si="3"/>
        <v>1</v>
      </c>
      <c r="N32" s="489" t="s">
        <v>544</v>
      </c>
      <c r="O32" s="551">
        <v>0</v>
      </c>
      <c r="P32" s="551">
        <f>O32/3/$Q$29^2</f>
        <v>0</v>
      </c>
      <c r="R32" s="247">
        <f>3*$P32*R$31^2</f>
        <v>0</v>
      </c>
      <c r="S32" s="247">
        <f t="shared" ref="S32:AC32" si="25">3*$P32*S$31^2</f>
        <v>0</v>
      </c>
      <c r="T32" s="247">
        <f t="shared" si="25"/>
        <v>0</v>
      </c>
      <c r="U32" s="247">
        <f t="shared" si="25"/>
        <v>0</v>
      </c>
      <c r="V32" s="247">
        <f t="shared" si="25"/>
        <v>0</v>
      </c>
      <c r="W32" s="247">
        <f t="shared" si="25"/>
        <v>0</v>
      </c>
      <c r="X32" s="247">
        <f>3*$P32*X$31^2</f>
        <v>0</v>
      </c>
      <c r="Y32" s="247">
        <f t="shared" si="25"/>
        <v>0</v>
      </c>
      <c r="Z32" s="247">
        <f t="shared" si="25"/>
        <v>0</v>
      </c>
      <c r="AA32" s="247">
        <f t="shared" si="25"/>
        <v>0</v>
      </c>
      <c r="AB32" s="247">
        <f t="shared" si="25"/>
        <v>0</v>
      </c>
      <c r="AC32" s="247">
        <f t="shared" si="25"/>
        <v>0</v>
      </c>
    </row>
    <row r="33" spans="1:29">
      <c r="A33">
        <v>7</v>
      </c>
      <c r="B33" s="489" t="str">
        <f>N$10</f>
        <v>QD8</v>
      </c>
      <c r="C33" s="489" t="str">
        <f t="shared" si="24"/>
        <v>Quad</v>
      </c>
      <c r="D33" s="489">
        <f t="shared" si="24"/>
        <v>0.43420999999999998</v>
      </c>
      <c r="E33" s="489">
        <f t="shared" si="24"/>
        <v>0</v>
      </c>
      <c r="F33" s="489"/>
      <c r="G33" s="550">
        <f t="shared" si="0"/>
        <v>0</v>
      </c>
      <c r="H33" s="550">
        <f t="shared" si="1"/>
        <v>0</v>
      </c>
      <c r="I33" s="550">
        <f t="shared" si="2"/>
        <v>0</v>
      </c>
      <c r="J33" s="556"/>
      <c r="K33">
        <v>0</v>
      </c>
      <c r="L33">
        <f t="shared" si="3"/>
        <v>1</v>
      </c>
      <c r="N33" s="489" t="s">
        <v>541</v>
      </c>
      <c r="O33" s="551">
        <v>0</v>
      </c>
      <c r="P33" s="551">
        <f>O33/5/$Q$29^4</f>
        <v>0</v>
      </c>
      <c r="R33" s="247">
        <f>5*$P33*R$31^4</f>
        <v>0</v>
      </c>
      <c r="S33" s="247">
        <f t="shared" ref="S33:AC33" si="26">5*$P33*S$31^4</f>
        <v>0</v>
      </c>
      <c r="T33" s="247">
        <f t="shared" si="26"/>
        <v>0</v>
      </c>
      <c r="U33" s="247">
        <f t="shared" si="26"/>
        <v>0</v>
      </c>
      <c r="V33" s="247">
        <f t="shared" si="26"/>
        <v>0</v>
      </c>
      <c r="W33" s="247">
        <f t="shared" si="26"/>
        <v>0</v>
      </c>
      <c r="X33" s="247">
        <f>5*$P33*X$31^4</f>
        <v>0</v>
      </c>
      <c r="Y33" s="247">
        <f t="shared" si="26"/>
        <v>0</v>
      </c>
      <c r="Z33" s="247">
        <f t="shared" si="26"/>
        <v>0</v>
      </c>
      <c r="AA33" s="247">
        <f t="shared" si="26"/>
        <v>0</v>
      </c>
      <c r="AB33" s="247">
        <f t="shared" si="26"/>
        <v>0</v>
      </c>
      <c r="AC33" s="247">
        <f t="shared" si="26"/>
        <v>0</v>
      </c>
    </row>
    <row r="34" spans="1:29">
      <c r="A34">
        <v>7</v>
      </c>
      <c r="B34" s="489" t="str">
        <f>N$9</f>
        <v>QF7</v>
      </c>
      <c r="C34" s="489" t="str">
        <f>O$9</f>
        <v>Quad</v>
      </c>
      <c r="D34" s="489">
        <f>P$9</f>
        <v>0.92432000000000003</v>
      </c>
      <c r="E34" s="489">
        <f>Q$9</f>
        <v>0.68156622009687096</v>
      </c>
      <c r="F34" s="489"/>
      <c r="G34" s="550">
        <f t="shared" si="0"/>
        <v>0</v>
      </c>
      <c r="H34" s="550">
        <f t="shared" si="1"/>
        <v>0</v>
      </c>
      <c r="I34" s="550">
        <f t="shared" si="2"/>
        <v>0</v>
      </c>
      <c r="J34" s="556"/>
      <c r="K34">
        <v>2.9823000000000002E-4</v>
      </c>
      <c r="L34">
        <f t="shared" si="3"/>
        <v>1.0002982300000001</v>
      </c>
      <c r="N34" s="489" t="s">
        <v>542</v>
      </c>
      <c r="O34" s="551">
        <v>0</v>
      </c>
      <c r="P34" s="551">
        <f>O34/9/$Q$29^8</f>
        <v>0</v>
      </c>
      <c r="R34" s="247">
        <f>9*$P34*R$31^8</f>
        <v>0</v>
      </c>
      <c r="S34" s="247">
        <f t="shared" ref="S34:AC34" si="27">9*$P34*S$31^8</f>
        <v>0</v>
      </c>
      <c r="T34" s="247">
        <f t="shared" si="27"/>
        <v>0</v>
      </c>
      <c r="U34" s="247">
        <f t="shared" si="27"/>
        <v>0</v>
      </c>
      <c r="V34" s="247">
        <f t="shared" si="27"/>
        <v>0</v>
      </c>
      <c r="W34" s="247">
        <f t="shared" si="27"/>
        <v>0</v>
      </c>
      <c r="X34" s="247">
        <f>9*$P34*X$31^8</f>
        <v>0</v>
      </c>
      <c r="Y34" s="247">
        <f t="shared" si="27"/>
        <v>0</v>
      </c>
      <c r="Z34" s="247">
        <f t="shared" si="27"/>
        <v>0</v>
      </c>
      <c r="AA34" s="247">
        <f t="shared" si="27"/>
        <v>0</v>
      </c>
      <c r="AB34" s="247">
        <f t="shared" si="27"/>
        <v>0</v>
      </c>
      <c r="AC34" s="247">
        <f t="shared" si="27"/>
        <v>0</v>
      </c>
    </row>
    <row r="35" spans="1:29">
      <c r="A35">
        <v>7</v>
      </c>
      <c r="B35" s="489" t="str">
        <f>N$8</f>
        <v>QD6</v>
      </c>
      <c r="C35" s="489" t="str">
        <f>O$8</f>
        <v>Quad</v>
      </c>
      <c r="D35" s="489">
        <f>P$8</f>
        <v>0.51900999999999997</v>
      </c>
      <c r="E35" s="489">
        <f>Q$8</f>
        <v>-0.81881189216874428</v>
      </c>
      <c r="F35" s="489"/>
      <c r="G35" s="550">
        <f t="shared" si="0"/>
        <v>0</v>
      </c>
      <c r="H35" s="550">
        <f t="shared" si="1"/>
        <v>0</v>
      </c>
      <c r="I35" s="550">
        <f t="shared" si="2"/>
        <v>0</v>
      </c>
      <c r="J35" s="556"/>
      <c r="K35">
        <v>-1.5703E-3</v>
      </c>
      <c r="L35">
        <f t="shared" si="3"/>
        <v>0.99842969999999998</v>
      </c>
      <c r="N35" t="s">
        <v>547</v>
      </c>
      <c r="P35" s="247"/>
      <c r="R35">
        <f t="shared" ref="R35:W35" si="28">SUM(R32:R34)</f>
        <v>0</v>
      </c>
      <c r="S35">
        <f t="shared" si="28"/>
        <v>0</v>
      </c>
      <c r="T35">
        <f t="shared" si="28"/>
        <v>0</v>
      </c>
      <c r="U35">
        <f t="shared" si="28"/>
        <v>0</v>
      </c>
      <c r="V35">
        <f t="shared" si="28"/>
        <v>0</v>
      </c>
      <c r="W35">
        <f t="shared" si="28"/>
        <v>0</v>
      </c>
      <c r="X35">
        <f t="shared" ref="X35:AC35" si="29">SUM(X32:X34)</f>
        <v>0</v>
      </c>
      <c r="Y35">
        <f t="shared" si="29"/>
        <v>0</v>
      </c>
      <c r="Z35">
        <f t="shared" si="29"/>
        <v>0</v>
      </c>
      <c r="AA35">
        <f t="shared" si="29"/>
        <v>0</v>
      </c>
      <c r="AB35">
        <f t="shared" si="29"/>
        <v>0</v>
      </c>
      <c r="AC35">
        <f t="shared" si="29"/>
        <v>0</v>
      </c>
    </row>
    <row r="36" spans="1:29">
      <c r="A36">
        <v>7</v>
      </c>
      <c r="B36" s="489" t="str">
        <f>N$6</f>
        <v>QD4</v>
      </c>
      <c r="C36" s="489" t="str">
        <f>O$6</f>
        <v>Quad</v>
      </c>
      <c r="D36" s="489">
        <f>P$6</f>
        <v>0.42210999999999999</v>
      </c>
      <c r="E36" s="489">
        <f>Q$6</f>
        <v>-0.60152556163972903</v>
      </c>
      <c r="F36" s="489"/>
      <c r="G36" s="550">
        <f t="shared" si="0"/>
        <v>0</v>
      </c>
      <c r="H36" s="550">
        <f t="shared" si="1"/>
        <v>0</v>
      </c>
      <c r="I36" s="550">
        <f t="shared" si="2"/>
        <v>0</v>
      </c>
      <c r="J36" s="556"/>
      <c r="K36">
        <v>-1.1957000000000001E-3</v>
      </c>
      <c r="L36">
        <f t="shared" si="3"/>
        <v>0.99880429999999998</v>
      </c>
    </row>
    <row r="37" spans="1:29">
      <c r="A37">
        <v>7</v>
      </c>
      <c r="B37" s="489" t="str">
        <f>N$7</f>
        <v>QF5</v>
      </c>
      <c r="C37" s="489" t="str">
        <f t="shared" ref="C37:E38" si="30">O$7</f>
        <v>Quad</v>
      </c>
      <c r="D37" s="489">
        <f t="shared" si="30"/>
        <v>0.51961999999999997</v>
      </c>
      <c r="E37" s="489">
        <f t="shared" si="30"/>
        <v>0.73458675277149998</v>
      </c>
      <c r="F37" s="489"/>
      <c r="G37" s="550">
        <f t="shared" si="0"/>
        <v>0</v>
      </c>
      <c r="H37" s="550">
        <f t="shared" si="1"/>
        <v>0</v>
      </c>
      <c r="I37" s="550">
        <f t="shared" si="2"/>
        <v>0</v>
      </c>
      <c r="J37" s="556"/>
      <c r="K37">
        <v>2.3424000000000001E-4</v>
      </c>
      <c r="L37">
        <f t="shared" si="3"/>
        <v>1.0002342399999999</v>
      </c>
    </row>
    <row r="38" spans="1:29" ht="15.75">
      <c r="A38">
        <v>7</v>
      </c>
      <c r="B38" s="489" t="str">
        <f>N$7</f>
        <v>QF5</v>
      </c>
      <c r="C38" s="489" t="str">
        <f t="shared" si="30"/>
        <v>Quad</v>
      </c>
      <c r="D38" s="489">
        <f t="shared" si="30"/>
        <v>0.51961999999999997</v>
      </c>
      <c r="E38" s="489">
        <f t="shared" si="30"/>
        <v>0.73458675277149998</v>
      </c>
      <c r="F38" s="489"/>
      <c r="G38" s="550">
        <f t="shared" si="0"/>
        <v>0</v>
      </c>
      <c r="H38" s="550">
        <f t="shared" si="1"/>
        <v>0</v>
      </c>
      <c r="I38" s="550">
        <f t="shared" si="2"/>
        <v>0</v>
      </c>
      <c r="J38" s="556"/>
      <c r="K38">
        <v>1.8228999999999999E-4</v>
      </c>
      <c r="L38">
        <f t="shared" si="3"/>
        <v>1.0001822899999999</v>
      </c>
      <c r="N38" s="490" t="s">
        <v>602</v>
      </c>
    </row>
    <row r="39" spans="1:29">
      <c r="A39">
        <v>7</v>
      </c>
      <c r="B39" s="489" t="str">
        <f>N$6</f>
        <v>QD4</v>
      </c>
      <c r="C39" s="489" t="str">
        <f>O$6</f>
        <v>Quad</v>
      </c>
      <c r="D39" s="489">
        <f>P$6</f>
        <v>0.42210999999999999</v>
      </c>
      <c r="E39" s="489">
        <f>Q$6</f>
        <v>-0.60152556163972903</v>
      </c>
      <c r="F39" s="489"/>
      <c r="G39" s="550">
        <f t="shared" si="0"/>
        <v>0</v>
      </c>
      <c r="H39" s="550">
        <f t="shared" si="1"/>
        <v>0</v>
      </c>
      <c r="I39" s="550">
        <f t="shared" si="2"/>
        <v>0</v>
      </c>
      <c r="J39" s="556"/>
      <c r="K39">
        <v>-9.1189999999999999E-4</v>
      </c>
      <c r="L39">
        <f t="shared" si="3"/>
        <v>0.99908810000000003</v>
      </c>
      <c r="N39" t="s">
        <v>603</v>
      </c>
      <c r="O39" t="s">
        <v>604</v>
      </c>
      <c r="P39" t="s">
        <v>605</v>
      </c>
    </row>
    <row r="40" spans="1:29">
      <c r="A40">
        <v>7</v>
      </c>
      <c r="B40" s="489" t="str">
        <f>N$5</f>
        <v>QD3</v>
      </c>
      <c r="C40" s="489" t="str">
        <f>O$5</f>
        <v>Quad</v>
      </c>
      <c r="D40" s="489">
        <f>P$5</f>
        <v>0.53366999999999998</v>
      </c>
      <c r="E40" s="489">
        <f>Q$5</f>
        <v>-0.603553432914813</v>
      </c>
      <c r="F40" s="489"/>
      <c r="G40" s="550">
        <f t="shared" si="0"/>
        <v>0</v>
      </c>
      <c r="H40" s="550">
        <f t="shared" si="1"/>
        <v>0</v>
      </c>
      <c r="I40" s="550">
        <f t="shared" si="2"/>
        <v>0</v>
      </c>
      <c r="J40" s="556"/>
      <c r="K40">
        <v>-9.1370000000000004E-4</v>
      </c>
      <c r="L40">
        <f t="shared" si="3"/>
        <v>0.99908629999999998</v>
      </c>
      <c r="N40">
        <v>0</v>
      </c>
      <c r="O40">
        <f>Table!D153</f>
        <v>36.469511897653589</v>
      </c>
      <c r="P40">
        <v>36.44</v>
      </c>
    </row>
    <row r="41" spans="1:29">
      <c r="A41">
        <v>7</v>
      </c>
      <c r="B41" s="489" t="str">
        <f>N$4</f>
        <v>QF2</v>
      </c>
      <c r="C41" s="489" t="str">
        <f>O$4</f>
        <v>Quad</v>
      </c>
      <c r="D41" s="489">
        <f>P$4</f>
        <v>0.94340999999999997</v>
      </c>
      <c r="E41" s="489">
        <f>Q$4</f>
        <v>0.39100748841534999</v>
      </c>
      <c r="F41" s="489"/>
      <c r="G41" s="550">
        <f t="shared" si="0"/>
        <v>0</v>
      </c>
      <c r="H41" s="550">
        <f t="shared" si="1"/>
        <v>0</v>
      </c>
      <c r="I41" s="550">
        <f t="shared" si="2"/>
        <v>0</v>
      </c>
      <c r="J41" s="556"/>
      <c r="K41">
        <v>-1.6538E-3</v>
      </c>
      <c r="L41">
        <f t="shared" si="3"/>
        <v>0.99834619999999996</v>
      </c>
      <c r="N41">
        <v>0</v>
      </c>
      <c r="O41">
        <f>Table!D154</f>
        <v>14.384174552740534</v>
      </c>
      <c r="P41">
        <v>13.39</v>
      </c>
    </row>
    <row r="42" spans="1:29">
      <c r="A42">
        <v>7</v>
      </c>
      <c r="B42" s="489" t="str">
        <f>N$3</f>
        <v>QD1</v>
      </c>
      <c r="C42" s="489" t="str">
        <f t="shared" ref="C42:E43" si="31">O$3</f>
        <v>Quad</v>
      </c>
      <c r="D42" s="489">
        <f t="shared" si="31"/>
        <v>0.43804999999999999</v>
      </c>
      <c r="E42" s="489">
        <f t="shared" si="31"/>
        <v>0</v>
      </c>
      <c r="F42" s="489"/>
      <c r="G42" s="550">
        <f t="shared" si="0"/>
        <v>0</v>
      </c>
      <c r="H42" s="550">
        <f t="shared" si="1"/>
        <v>0</v>
      </c>
      <c r="I42" s="550">
        <f t="shared" si="2"/>
        <v>0</v>
      </c>
      <c r="J42" s="556"/>
      <c r="K42">
        <v>0</v>
      </c>
      <c r="L42">
        <f t="shared" si="3"/>
        <v>1</v>
      </c>
      <c r="P42">
        <f>(O40-P40)^2+(O41-P41)^2</f>
        <v>0.98925399341995579</v>
      </c>
    </row>
    <row r="43" spans="1:29">
      <c r="A43">
        <v>8</v>
      </c>
      <c r="B43" s="489" t="str">
        <f>N$3</f>
        <v>QD1</v>
      </c>
      <c r="C43" s="489" t="str">
        <f t="shared" si="31"/>
        <v>Quad</v>
      </c>
      <c r="D43" s="489">
        <f t="shared" si="31"/>
        <v>0.43804999999999999</v>
      </c>
      <c r="E43" s="489">
        <f t="shared" si="31"/>
        <v>0</v>
      </c>
      <c r="F43" s="489"/>
      <c r="G43" s="550">
        <f t="shared" si="0"/>
        <v>0</v>
      </c>
      <c r="H43" s="550">
        <f t="shared" si="1"/>
        <v>0</v>
      </c>
      <c r="I43" s="550">
        <f t="shared" si="2"/>
        <v>0</v>
      </c>
      <c r="J43" s="556"/>
      <c r="K43">
        <v>0</v>
      </c>
      <c r="L43">
        <f t="shared" si="3"/>
        <v>1</v>
      </c>
      <c r="N43" t="s">
        <v>606</v>
      </c>
    </row>
    <row r="44" spans="1:29">
      <c r="A44">
        <v>8</v>
      </c>
      <c r="B44" s="489" t="str">
        <f>N$4</f>
        <v>QF2</v>
      </c>
      <c r="C44" s="489" t="str">
        <f>O$4</f>
        <v>Quad</v>
      </c>
      <c r="D44" s="489">
        <f>P$4</f>
        <v>0.94340999999999997</v>
      </c>
      <c r="E44" s="489">
        <f>Q$4</f>
        <v>0.39100748841534999</v>
      </c>
      <c r="F44" s="489"/>
      <c r="G44" s="550">
        <f t="shared" si="0"/>
        <v>0</v>
      </c>
      <c r="H44" s="550">
        <f t="shared" si="1"/>
        <v>0</v>
      </c>
      <c r="I44" s="550">
        <f t="shared" si="2"/>
        <v>0</v>
      </c>
      <c r="J44" s="556"/>
      <c r="K44">
        <v>-2.3421000000000002E-3</v>
      </c>
      <c r="L44">
        <f t="shared" si="3"/>
        <v>0.99765789999999999</v>
      </c>
      <c r="N44">
        <f>MIN($P$42)</f>
        <v>0.98925399341995579</v>
      </c>
    </row>
    <row r="45" spans="1:29">
      <c r="A45">
        <v>8</v>
      </c>
      <c r="B45" s="489" t="str">
        <f>N$5</f>
        <v>QD3</v>
      </c>
      <c r="C45" s="489" t="str">
        <f>O$5</f>
        <v>Quad</v>
      </c>
      <c r="D45" s="489">
        <f>P$5</f>
        <v>0.53366999999999998</v>
      </c>
      <c r="E45" s="489">
        <f>Q$5</f>
        <v>-0.603553432914813</v>
      </c>
      <c r="F45" s="489"/>
      <c r="G45" s="550">
        <f t="shared" si="0"/>
        <v>0</v>
      </c>
      <c r="H45" s="550">
        <f t="shared" si="1"/>
        <v>0</v>
      </c>
      <c r="I45" s="550">
        <f t="shared" si="2"/>
        <v>0</v>
      </c>
      <c r="J45" s="556"/>
      <c r="K45" s="247">
        <v>-3.3714999999999998E-5</v>
      </c>
      <c r="L45">
        <f t="shared" si="3"/>
        <v>0.99996628499999995</v>
      </c>
      <c r="N45">
        <f>COUNT($N$40,$N$41)</f>
        <v>2</v>
      </c>
    </row>
    <row r="46" spans="1:29">
      <c r="A46">
        <v>8</v>
      </c>
      <c r="B46" s="489" t="str">
        <f>N$6</f>
        <v>QD4</v>
      </c>
      <c r="C46" s="489" t="str">
        <f>O$6</f>
        <v>Quad</v>
      </c>
      <c r="D46" s="489">
        <f>P$6</f>
        <v>0.42210999999999999</v>
      </c>
      <c r="E46" s="489">
        <f>Q$6</f>
        <v>-0.60152556163972903</v>
      </c>
      <c r="F46" s="489"/>
      <c r="G46" s="550">
        <f t="shared" si="0"/>
        <v>0</v>
      </c>
      <c r="H46" s="550">
        <f t="shared" si="1"/>
        <v>0</v>
      </c>
      <c r="I46" s="550">
        <f t="shared" si="2"/>
        <v>0</v>
      </c>
      <c r="J46" s="556"/>
      <c r="K46">
        <v>-1.2224E-4</v>
      </c>
      <c r="L46">
        <f t="shared" si="3"/>
        <v>0.99987775999999995</v>
      </c>
      <c r="N46">
        <f>{100;100;0.000001;0.05;FALSE;FALSE;FALSE;1;1;1;0.0001;FALSE}</f>
        <v>100</v>
      </c>
    </row>
    <row r="47" spans="1:29">
      <c r="A47">
        <v>8</v>
      </c>
      <c r="B47" s="489" t="str">
        <f>N$7</f>
        <v>QF5</v>
      </c>
      <c r="C47" s="489" t="str">
        <f t="shared" ref="C47:E48" si="32">O$7</f>
        <v>Quad</v>
      </c>
      <c r="D47" s="489">
        <f t="shared" si="32"/>
        <v>0.51961999999999997</v>
      </c>
      <c r="E47" s="489">
        <f t="shared" si="32"/>
        <v>0.73458675277149998</v>
      </c>
      <c r="F47" s="489"/>
      <c r="G47" s="550">
        <f t="shared" si="0"/>
        <v>0</v>
      </c>
      <c r="H47" s="550">
        <f t="shared" si="1"/>
        <v>0</v>
      </c>
      <c r="I47" s="550">
        <f t="shared" si="2"/>
        <v>0</v>
      </c>
      <c r="J47" s="556"/>
      <c r="K47">
        <v>-2.7859E-4</v>
      </c>
      <c r="L47">
        <f t="shared" si="3"/>
        <v>0.99972141000000003</v>
      </c>
    </row>
    <row r="48" spans="1:29">
      <c r="A48">
        <v>8</v>
      </c>
      <c r="B48" s="489" t="str">
        <f>N$7</f>
        <v>QF5</v>
      </c>
      <c r="C48" s="489" t="str">
        <f t="shared" si="32"/>
        <v>Quad</v>
      </c>
      <c r="D48" s="489">
        <f t="shared" si="32"/>
        <v>0.51961999999999997</v>
      </c>
      <c r="E48" s="489">
        <f t="shared" si="32"/>
        <v>0.73458675277149998</v>
      </c>
      <c r="F48" s="489"/>
      <c r="G48" s="550">
        <f t="shared" si="0"/>
        <v>0</v>
      </c>
      <c r="H48" s="550">
        <f t="shared" si="1"/>
        <v>0</v>
      </c>
      <c r="I48" s="550">
        <f t="shared" si="2"/>
        <v>0</v>
      </c>
      <c r="J48" s="556"/>
      <c r="K48">
        <v>-2.6833E-4</v>
      </c>
      <c r="L48">
        <f t="shared" si="3"/>
        <v>0.99973166999999996</v>
      </c>
    </row>
    <row r="49" spans="1:12">
      <c r="A49">
        <v>8</v>
      </c>
      <c r="B49" s="489" t="str">
        <f>N$6</f>
        <v>QD4</v>
      </c>
      <c r="C49" s="489" t="str">
        <f>O$6</f>
        <v>Quad</v>
      </c>
      <c r="D49" s="489">
        <f>P$6</f>
        <v>0.42210999999999999</v>
      </c>
      <c r="E49" s="489">
        <f>Q$6</f>
        <v>-0.60152556163972903</v>
      </c>
      <c r="F49" s="489"/>
      <c r="G49" s="550">
        <f t="shared" si="0"/>
        <v>0</v>
      </c>
      <c r="H49" s="550">
        <f t="shared" si="1"/>
        <v>0</v>
      </c>
      <c r="I49" s="550">
        <f t="shared" si="2"/>
        <v>0</v>
      </c>
      <c r="J49" s="556"/>
      <c r="K49">
        <v>-2.3237999999999999E-4</v>
      </c>
      <c r="L49">
        <f t="shared" si="3"/>
        <v>0.99976761999999997</v>
      </c>
    </row>
    <row r="50" spans="1:12">
      <c r="A50">
        <v>8</v>
      </c>
      <c r="B50" s="489" t="str">
        <f>N$8</f>
        <v>QD6</v>
      </c>
      <c r="C50" s="489" t="str">
        <f>O$8</f>
        <v>Quad</v>
      </c>
      <c r="D50" s="489">
        <f>P$8</f>
        <v>0.51900999999999997</v>
      </c>
      <c r="E50" s="489">
        <f>Q$8</f>
        <v>-0.81881189216874428</v>
      </c>
      <c r="F50" s="489"/>
      <c r="G50" s="550">
        <f t="shared" si="0"/>
        <v>0</v>
      </c>
      <c r="H50" s="550">
        <f t="shared" si="1"/>
        <v>0</v>
      </c>
      <c r="I50" s="550">
        <f t="shared" si="2"/>
        <v>0</v>
      </c>
      <c r="J50" s="556"/>
      <c r="K50">
        <v>-4.5843000000000001E-4</v>
      </c>
      <c r="L50">
        <f t="shared" si="3"/>
        <v>0.99954156999999999</v>
      </c>
    </row>
    <row r="51" spans="1:12">
      <c r="A51">
        <v>8</v>
      </c>
      <c r="B51" s="489" t="str">
        <f>N$9</f>
        <v>QF7</v>
      </c>
      <c r="C51" s="489" t="str">
        <f>O$9</f>
        <v>Quad</v>
      </c>
      <c r="D51" s="489">
        <f>P$9</f>
        <v>0.92432000000000003</v>
      </c>
      <c r="E51" s="489">
        <f>Q$9</f>
        <v>0.68156622009687096</v>
      </c>
      <c r="F51" s="489"/>
      <c r="G51" s="550">
        <f t="shared" si="0"/>
        <v>0</v>
      </c>
      <c r="H51" s="550">
        <f t="shared" si="1"/>
        <v>0</v>
      </c>
      <c r="I51" s="550">
        <f t="shared" si="2"/>
        <v>0</v>
      </c>
      <c r="J51" s="556"/>
      <c r="K51">
        <v>-2.6718E-4</v>
      </c>
      <c r="L51">
        <f t="shared" si="3"/>
        <v>0.99973281999999997</v>
      </c>
    </row>
    <row r="52" spans="1:12">
      <c r="A52">
        <v>8</v>
      </c>
      <c r="B52" s="489" t="str">
        <f>N$10</f>
        <v>QD8</v>
      </c>
      <c r="C52" s="489" t="str">
        <f t="shared" ref="C52:E53" si="33">O$10</f>
        <v>Quad</v>
      </c>
      <c r="D52" s="489">
        <f t="shared" si="33"/>
        <v>0.43420999999999998</v>
      </c>
      <c r="E52" s="489">
        <f t="shared" si="33"/>
        <v>0</v>
      </c>
      <c r="F52" s="489"/>
      <c r="G52" s="550">
        <f t="shared" si="0"/>
        <v>0</v>
      </c>
      <c r="H52" s="550">
        <f t="shared" si="1"/>
        <v>0</v>
      </c>
      <c r="I52" s="550">
        <f t="shared" si="2"/>
        <v>0</v>
      </c>
      <c r="J52" s="556"/>
      <c r="K52">
        <v>0</v>
      </c>
      <c r="L52">
        <f t="shared" si="3"/>
        <v>1</v>
      </c>
    </row>
    <row r="53" spans="1:12">
      <c r="A53">
        <v>9</v>
      </c>
      <c r="B53" s="489" t="str">
        <f>N$10</f>
        <v>QD8</v>
      </c>
      <c r="C53" s="489" t="str">
        <f t="shared" si="33"/>
        <v>Quad</v>
      </c>
      <c r="D53" s="489">
        <f t="shared" si="33"/>
        <v>0.43420999999999998</v>
      </c>
      <c r="E53" s="489">
        <f t="shared" si="33"/>
        <v>0</v>
      </c>
      <c r="F53" s="489"/>
      <c r="G53" s="550">
        <f t="shared" si="0"/>
        <v>0</v>
      </c>
      <c r="H53" s="550">
        <f t="shared" si="1"/>
        <v>0</v>
      </c>
      <c r="I53" s="550">
        <f t="shared" si="2"/>
        <v>0</v>
      </c>
      <c r="J53" s="556"/>
      <c r="K53">
        <v>0</v>
      </c>
      <c r="L53">
        <f t="shared" si="3"/>
        <v>1</v>
      </c>
    </row>
    <row r="54" spans="1:12">
      <c r="A54">
        <v>9</v>
      </c>
      <c r="B54" s="489" t="str">
        <f>N$9</f>
        <v>QF7</v>
      </c>
      <c r="C54" s="489" t="str">
        <f>O$9</f>
        <v>Quad</v>
      </c>
      <c r="D54" s="489">
        <f>P$9</f>
        <v>0.92432000000000003</v>
      </c>
      <c r="E54" s="489">
        <f>Q$9</f>
        <v>0.68156622009687096</v>
      </c>
      <c r="F54" s="489"/>
      <c r="G54" s="550">
        <f t="shared" si="0"/>
        <v>0</v>
      </c>
      <c r="H54" s="550">
        <f t="shared" si="1"/>
        <v>0</v>
      </c>
      <c r="I54" s="550">
        <f t="shared" si="2"/>
        <v>0</v>
      </c>
      <c r="J54" s="556"/>
      <c r="K54">
        <v>1.4482000000000001E-4</v>
      </c>
      <c r="L54">
        <f t="shared" si="3"/>
        <v>1.00014482</v>
      </c>
    </row>
    <row r="55" spans="1:12">
      <c r="A55">
        <v>9</v>
      </c>
      <c r="B55" s="489" t="str">
        <f>N$8</f>
        <v>QD6</v>
      </c>
      <c r="C55" s="489" t="str">
        <f>O$8</f>
        <v>Quad</v>
      </c>
      <c r="D55" s="489">
        <f>P$8</f>
        <v>0.51900999999999997</v>
      </c>
      <c r="E55" s="489">
        <f>Q$8</f>
        <v>-0.81881189216874428</v>
      </c>
      <c r="F55" s="489"/>
      <c r="G55" s="550">
        <f t="shared" si="0"/>
        <v>0</v>
      </c>
      <c r="H55" s="550">
        <f t="shared" si="1"/>
        <v>0</v>
      </c>
      <c r="I55" s="550">
        <f t="shared" si="2"/>
        <v>0</v>
      </c>
      <c r="J55" s="556"/>
      <c r="K55">
        <v>-5.1670999999999998E-4</v>
      </c>
      <c r="L55">
        <f t="shared" si="3"/>
        <v>0.99948329000000002</v>
      </c>
    </row>
    <row r="56" spans="1:12">
      <c r="A56">
        <v>9</v>
      </c>
      <c r="B56" s="489" t="str">
        <f>N$6</f>
        <v>QD4</v>
      </c>
      <c r="C56" s="489" t="str">
        <f>O$6</f>
        <v>Quad</v>
      </c>
      <c r="D56" s="489">
        <f>P$6</f>
        <v>0.42210999999999999</v>
      </c>
      <c r="E56" s="489">
        <f>Q$6</f>
        <v>-0.60152556163972903</v>
      </c>
      <c r="F56" s="489"/>
      <c r="G56" s="550">
        <f t="shared" si="0"/>
        <v>0</v>
      </c>
      <c r="H56" s="550">
        <f t="shared" si="1"/>
        <v>0</v>
      </c>
      <c r="I56" s="550">
        <f t="shared" si="2"/>
        <v>0</v>
      </c>
      <c r="J56" s="556"/>
      <c r="K56">
        <v>-4.2002000000000001E-4</v>
      </c>
      <c r="L56">
        <f t="shared" si="3"/>
        <v>0.99957998000000003</v>
      </c>
    </row>
    <row r="57" spans="1:12">
      <c r="A57">
        <v>9</v>
      </c>
      <c r="B57" s="489" t="str">
        <f>N$7</f>
        <v>QF5</v>
      </c>
      <c r="C57" s="489" t="str">
        <f t="shared" ref="C57:E58" si="34">O$7</f>
        <v>Quad</v>
      </c>
      <c r="D57" s="489">
        <f t="shared" si="34"/>
        <v>0.51961999999999997</v>
      </c>
      <c r="E57" s="489">
        <f t="shared" si="34"/>
        <v>0.73458675277149998</v>
      </c>
      <c r="F57" s="489"/>
      <c r="G57" s="550">
        <f t="shared" si="0"/>
        <v>0</v>
      </c>
      <c r="H57" s="550">
        <f t="shared" si="1"/>
        <v>0</v>
      </c>
      <c r="I57" s="550">
        <f t="shared" si="2"/>
        <v>0</v>
      </c>
      <c r="J57" s="556"/>
      <c r="K57">
        <v>2.0975E-4</v>
      </c>
      <c r="L57">
        <f t="shared" si="3"/>
        <v>1.00020975</v>
      </c>
    </row>
    <row r="58" spans="1:12">
      <c r="A58">
        <v>9</v>
      </c>
      <c r="B58" s="489" t="str">
        <f>N$7</f>
        <v>QF5</v>
      </c>
      <c r="C58" s="489" t="str">
        <f t="shared" si="34"/>
        <v>Quad</v>
      </c>
      <c r="D58" s="489">
        <f t="shared" si="34"/>
        <v>0.51961999999999997</v>
      </c>
      <c r="E58" s="489">
        <f t="shared" si="34"/>
        <v>0.73458675277149998</v>
      </c>
      <c r="F58" s="489"/>
      <c r="G58" s="550">
        <f t="shared" si="0"/>
        <v>0</v>
      </c>
      <c r="H58" s="550">
        <f t="shared" si="1"/>
        <v>0</v>
      </c>
      <c r="I58" s="550">
        <f t="shared" si="2"/>
        <v>0</v>
      </c>
      <c r="J58" s="556"/>
      <c r="K58">
        <v>1.5532E-4</v>
      </c>
      <c r="L58">
        <f t="shared" si="3"/>
        <v>1.00015532</v>
      </c>
    </row>
    <row r="59" spans="1:12">
      <c r="A59">
        <v>9</v>
      </c>
      <c r="B59" s="489" t="str">
        <f>N$6</f>
        <v>QD4</v>
      </c>
      <c r="C59" s="489" t="str">
        <f>O$6</f>
        <v>Quad</v>
      </c>
      <c r="D59" s="489">
        <f>P$6</f>
        <v>0.42210999999999999</v>
      </c>
      <c r="E59" s="489">
        <f>Q$6</f>
        <v>-0.60152556163972903</v>
      </c>
      <c r="F59" s="489"/>
      <c r="G59" s="550">
        <f t="shared" si="0"/>
        <v>0</v>
      </c>
      <c r="H59" s="550">
        <f t="shared" si="1"/>
        <v>0</v>
      </c>
      <c r="I59" s="550">
        <f t="shared" si="2"/>
        <v>0</v>
      </c>
      <c r="J59" s="556"/>
      <c r="K59">
        <v>-2.1489999999999999E-4</v>
      </c>
      <c r="L59">
        <f t="shared" si="3"/>
        <v>0.99978509999999998</v>
      </c>
    </row>
    <row r="60" spans="1:12">
      <c r="A60">
        <v>9</v>
      </c>
      <c r="B60" s="489" t="str">
        <f>N$5</f>
        <v>QD3</v>
      </c>
      <c r="C60" s="489" t="str">
        <f>O$5</f>
        <v>Quad</v>
      </c>
      <c r="D60" s="489">
        <f>P$5</f>
        <v>0.53366999999999998</v>
      </c>
      <c r="E60" s="489">
        <f>Q$5</f>
        <v>-0.603553432914813</v>
      </c>
      <c r="F60" s="489"/>
      <c r="G60" s="550">
        <f t="shared" si="0"/>
        <v>0</v>
      </c>
      <c r="H60" s="550">
        <f t="shared" si="1"/>
        <v>0</v>
      </c>
      <c r="I60" s="550">
        <f t="shared" si="2"/>
        <v>0</v>
      </c>
      <c r="J60" s="556"/>
      <c r="K60">
        <v>-1.3279000000000001E-4</v>
      </c>
      <c r="L60">
        <f t="shared" si="3"/>
        <v>0.99986721000000001</v>
      </c>
    </row>
    <row r="61" spans="1:12">
      <c r="A61">
        <v>9</v>
      </c>
      <c r="B61" s="489" t="str">
        <f>N$4</f>
        <v>QF2</v>
      </c>
      <c r="C61" s="489" t="str">
        <f>O$4</f>
        <v>Quad</v>
      </c>
      <c r="D61" s="489">
        <f>P$4</f>
        <v>0.94340999999999997</v>
      </c>
      <c r="E61" s="489">
        <f>Q$4</f>
        <v>0.39100748841534999</v>
      </c>
      <c r="F61" s="489"/>
      <c r="G61" s="550">
        <f t="shared" si="0"/>
        <v>0</v>
      </c>
      <c r="H61" s="550">
        <f t="shared" si="1"/>
        <v>0</v>
      </c>
      <c r="I61" s="550">
        <f t="shared" si="2"/>
        <v>0</v>
      </c>
      <c r="J61" s="556"/>
      <c r="K61">
        <v>2.4757000000000002E-4</v>
      </c>
      <c r="L61">
        <f t="shared" si="3"/>
        <v>1.00024757</v>
      </c>
    </row>
    <row r="62" spans="1:12">
      <c r="A62">
        <v>9</v>
      </c>
      <c r="B62" s="489" t="str">
        <f>N$3</f>
        <v>QD1</v>
      </c>
      <c r="C62" s="489" t="str">
        <f t="shared" ref="C62:E63" si="35">O$3</f>
        <v>Quad</v>
      </c>
      <c r="D62" s="489">
        <f t="shared" si="35"/>
        <v>0.43804999999999999</v>
      </c>
      <c r="E62" s="489">
        <f t="shared" si="35"/>
        <v>0</v>
      </c>
      <c r="F62" s="489"/>
      <c r="G62" s="550">
        <f t="shared" si="0"/>
        <v>0</v>
      </c>
      <c r="H62" s="550">
        <f t="shared" si="1"/>
        <v>0</v>
      </c>
      <c r="I62" s="550">
        <f t="shared" si="2"/>
        <v>0</v>
      </c>
      <c r="J62" s="556"/>
      <c r="K62">
        <v>0</v>
      </c>
      <c r="L62">
        <f t="shared" si="3"/>
        <v>1</v>
      </c>
    </row>
    <row r="63" spans="1:12">
      <c r="A63">
        <v>10</v>
      </c>
      <c r="B63" s="489" t="str">
        <f>N$3</f>
        <v>QD1</v>
      </c>
      <c r="C63" s="489" t="str">
        <f t="shared" si="35"/>
        <v>Quad</v>
      </c>
      <c r="D63" s="489">
        <f t="shared" si="35"/>
        <v>0.43804999999999999</v>
      </c>
      <c r="E63" s="489">
        <f t="shared" si="35"/>
        <v>0</v>
      </c>
      <c r="F63" s="489"/>
      <c r="G63" s="550">
        <f t="shared" si="0"/>
        <v>0</v>
      </c>
      <c r="H63" s="550">
        <f t="shared" si="1"/>
        <v>0</v>
      </c>
      <c r="I63" s="550">
        <f t="shared" si="2"/>
        <v>0</v>
      </c>
      <c r="J63" s="556"/>
      <c r="K63">
        <v>0</v>
      </c>
      <c r="L63">
        <f t="shared" si="3"/>
        <v>1</v>
      </c>
    </row>
    <row r="64" spans="1:12">
      <c r="A64">
        <v>10</v>
      </c>
      <c r="B64" s="489" t="str">
        <f>N$4</f>
        <v>QF2</v>
      </c>
      <c r="C64" s="489" t="str">
        <f>O$4</f>
        <v>Quad</v>
      </c>
      <c r="D64" s="489">
        <f>P$4</f>
        <v>0.94340999999999997</v>
      </c>
      <c r="E64" s="489">
        <f>Q$4</f>
        <v>0.39100748841534999</v>
      </c>
      <c r="F64" s="489"/>
      <c r="G64" s="550">
        <f t="shared" si="0"/>
        <v>0</v>
      </c>
      <c r="H64" s="550">
        <f t="shared" si="1"/>
        <v>0</v>
      </c>
      <c r="I64" s="550">
        <f t="shared" si="2"/>
        <v>0</v>
      </c>
      <c r="J64" s="556"/>
      <c r="K64">
        <v>3.2171000000000001E-4</v>
      </c>
      <c r="L64">
        <f t="shared" si="3"/>
        <v>1.0003217099999999</v>
      </c>
    </row>
    <row r="65" spans="1:12">
      <c r="A65">
        <v>10</v>
      </c>
      <c r="B65" s="489" t="str">
        <f>N$5</f>
        <v>QD3</v>
      </c>
      <c r="C65" s="489" t="str">
        <f>O$5</f>
        <v>Quad</v>
      </c>
      <c r="D65" s="489">
        <f>P$5</f>
        <v>0.53366999999999998</v>
      </c>
      <c r="E65" s="489">
        <f>Q$5</f>
        <v>-0.603553432914813</v>
      </c>
      <c r="F65" s="489"/>
      <c r="G65" s="550">
        <f t="shared" si="0"/>
        <v>0</v>
      </c>
      <c r="H65" s="550">
        <f t="shared" si="1"/>
        <v>0</v>
      </c>
      <c r="I65" s="550">
        <f t="shared" si="2"/>
        <v>0</v>
      </c>
      <c r="J65" s="556"/>
      <c r="K65">
        <v>-2.0028E-4</v>
      </c>
      <c r="L65">
        <f t="shared" si="3"/>
        <v>0.99979971999999995</v>
      </c>
    </row>
    <row r="66" spans="1:12">
      <c r="A66">
        <v>10</v>
      </c>
      <c r="B66" s="489" t="str">
        <f>N$6</f>
        <v>QD4</v>
      </c>
      <c r="C66" s="489" t="str">
        <f>O$6</f>
        <v>Quad</v>
      </c>
      <c r="D66" s="489">
        <f>P$6</f>
        <v>0.42210999999999999</v>
      </c>
      <c r="E66" s="489">
        <f>Q$6</f>
        <v>-0.60152556163972903</v>
      </c>
      <c r="F66" s="489"/>
      <c r="G66" s="550">
        <f t="shared" si="0"/>
        <v>0</v>
      </c>
      <c r="H66" s="550">
        <f t="shared" si="1"/>
        <v>0</v>
      </c>
      <c r="I66" s="550">
        <f t="shared" si="2"/>
        <v>0</v>
      </c>
      <c r="J66" s="556"/>
      <c r="K66" s="247">
        <v>-9.1784000000000001E-5</v>
      </c>
      <c r="L66">
        <f t="shared" si="3"/>
        <v>0.99990821600000002</v>
      </c>
    </row>
    <row r="67" spans="1:12">
      <c r="A67">
        <v>10</v>
      </c>
      <c r="B67" s="489" t="str">
        <f>N$7</f>
        <v>QF5</v>
      </c>
      <c r="C67" s="489" t="str">
        <f t="shared" ref="C67:E68" si="36">O$7</f>
        <v>Quad</v>
      </c>
      <c r="D67" s="489">
        <f t="shared" si="36"/>
        <v>0.51961999999999997</v>
      </c>
      <c r="E67" s="489">
        <f t="shared" si="36"/>
        <v>0.73458675277149998</v>
      </c>
      <c r="F67" s="489"/>
      <c r="G67" s="550">
        <f t="shared" si="0"/>
        <v>0</v>
      </c>
      <c r="H67" s="550">
        <f t="shared" si="1"/>
        <v>0</v>
      </c>
      <c r="I67" s="550">
        <f t="shared" si="2"/>
        <v>0</v>
      </c>
      <c r="J67" s="556"/>
      <c r="K67">
        <v>1.1369E-4</v>
      </c>
      <c r="L67">
        <f t="shared" si="3"/>
        <v>1.0001136900000001</v>
      </c>
    </row>
    <row r="68" spans="1:12">
      <c r="A68">
        <v>10</v>
      </c>
      <c r="B68" s="489" t="str">
        <f>N$7</f>
        <v>QF5</v>
      </c>
      <c r="C68" s="489" t="str">
        <f t="shared" si="36"/>
        <v>Quad</v>
      </c>
      <c r="D68" s="489">
        <f t="shared" si="36"/>
        <v>0.51961999999999997</v>
      </c>
      <c r="E68" s="489">
        <f t="shared" si="36"/>
        <v>0.73458675277149998</v>
      </c>
      <c r="F68" s="489"/>
      <c r="G68" s="550">
        <f t="shared" ref="G68:G131" si="37">E68*$P$32</f>
        <v>0</v>
      </c>
      <c r="H68" s="550">
        <f t="shared" ref="H68:H131" si="38">E68*$P$33</f>
        <v>0</v>
      </c>
      <c r="I68" s="550">
        <f t="shared" ref="I68:I131" si="39">E68*$P$34</f>
        <v>0</v>
      </c>
      <c r="J68" s="556"/>
      <c r="K68" s="247">
        <v>7.1329999999999996E-5</v>
      </c>
      <c r="L68">
        <f t="shared" ref="L68:L131" si="40">1+$K$1*$K68</f>
        <v>1.0000713299999999</v>
      </c>
    </row>
    <row r="69" spans="1:12">
      <c r="A69">
        <v>10</v>
      </c>
      <c r="B69" s="489" t="str">
        <f>N$6</f>
        <v>QD4</v>
      </c>
      <c r="C69" s="489" t="str">
        <f>O$6</f>
        <v>Quad</v>
      </c>
      <c r="D69" s="489">
        <f>P$6</f>
        <v>0.42210999999999999</v>
      </c>
      <c r="E69" s="489">
        <f>Q$6</f>
        <v>-0.60152556163972903</v>
      </c>
      <c r="F69" s="489"/>
      <c r="G69" s="550">
        <f t="shared" si="37"/>
        <v>0</v>
      </c>
      <c r="H69" s="550">
        <f t="shared" si="38"/>
        <v>0</v>
      </c>
      <c r="I69" s="550">
        <f t="shared" si="39"/>
        <v>0</v>
      </c>
      <c r="J69" s="556"/>
      <c r="K69" s="247">
        <v>7.4160999999999997E-5</v>
      </c>
      <c r="L69">
        <f t="shared" si="40"/>
        <v>1.0000741609999999</v>
      </c>
    </row>
    <row r="70" spans="1:12">
      <c r="A70">
        <v>10</v>
      </c>
      <c r="B70" s="489" t="str">
        <f>N$20</f>
        <v>QD6-C11</v>
      </c>
      <c r="C70" s="489" t="str">
        <f>O$20</f>
        <v>Quad</v>
      </c>
      <c r="D70" s="489">
        <f>P$20</f>
        <v>0.51900999999999997</v>
      </c>
      <c r="E70" s="489">
        <f>Q$20</f>
        <v>-0.81881189216874428</v>
      </c>
      <c r="F70" s="489"/>
      <c r="G70" s="550">
        <f t="shared" si="37"/>
        <v>0</v>
      </c>
      <c r="H70" s="550">
        <f t="shared" si="38"/>
        <v>0</v>
      </c>
      <c r="I70" s="550">
        <f t="shared" si="39"/>
        <v>0</v>
      </c>
      <c r="J70" s="556"/>
      <c r="K70">
        <v>1.6725999999999999E-4</v>
      </c>
      <c r="L70">
        <f t="shared" si="40"/>
        <v>1.00016726</v>
      </c>
    </row>
    <row r="71" spans="1:12">
      <c r="A71">
        <v>10</v>
      </c>
      <c r="B71" s="489" t="str">
        <f>N$21</f>
        <v>QF7-C11</v>
      </c>
      <c r="C71" s="489" t="str">
        <f>O$21</f>
        <v>Quad</v>
      </c>
      <c r="D71" s="489">
        <f>P$21</f>
        <v>0.92432000000000003</v>
      </c>
      <c r="E71" s="489">
        <f>Q$21</f>
        <v>0.68156622009687096</v>
      </c>
      <c r="F71" s="489"/>
      <c r="G71" s="550">
        <f t="shared" si="37"/>
        <v>0</v>
      </c>
      <c r="H71" s="550">
        <f t="shared" si="38"/>
        <v>0</v>
      </c>
      <c r="I71" s="550">
        <f t="shared" si="39"/>
        <v>0</v>
      </c>
      <c r="J71" s="556"/>
      <c r="K71">
        <v>1.3489E-4</v>
      </c>
      <c r="L71">
        <f t="shared" si="40"/>
        <v>1.00013489</v>
      </c>
    </row>
    <row r="72" spans="1:12">
      <c r="A72">
        <v>10</v>
      </c>
      <c r="B72" s="489" t="str">
        <f>N$22</f>
        <v>QD8-C11</v>
      </c>
      <c r="C72" s="489" t="str">
        <f t="shared" ref="C72:E73" si="41">O$22</f>
        <v>Quad</v>
      </c>
      <c r="D72" s="489">
        <f t="shared" si="41"/>
        <v>0.43420999999999998</v>
      </c>
      <c r="E72" s="489">
        <f t="shared" si="41"/>
        <v>0</v>
      </c>
      <c r="F72" s="489"/>
      <c r="G72" s="550">
        <f t="shared" si="37"/>
        <v>0</v>
      </c>
      <c r="H72" s="550">
        <f t="shared" si="38"/>
        <v>0</v>
      </c>
      <c r="I72" s="550">
        <f t="shared" si="39"/>
        <v>0</v>
      </c>
      <c r="J72" s="556"/>
      <c r="K72">
        <v>0</v>
      </c>
      <c r="L72">
        <f t="shared" si="40"/>
        <v>1</v>
      </c>
    </row>
    <row r="73" spans="1:12">
      <c r="A73">
        <v>11</v>
      </c>
      <c r="B73" s="489" t="str">
        <f>N$22</f>
        <v>QD8-C11</v>
      </c>
      <c r="C73" s="489" t="str">
        <f t="shared" si="41"/>
        <v>Quad</v>
      </c>
      <c r="D73" s="489">
        <f t="shared" si="41"/>
        <v>0.43420999999999998</v>
      </c>
      <c r="E73" s="489">
        <f t="shared" si="41"/>
        <v>0</v>
      </c>
      <c r="F73" s="489"/>
      <c r="G73" s="550">
        <f t="shared" si="37"/>
        <v>0</v>
      </c>
      <c r="H73" s="550">
        <f t="shared" si="38"/>
        <v>0</v>
      </c>
      <c r="I73" s="550">
        <f t="shared" si="39"/>
        <v>0</v>
      </c>
      <c r="J73" s="556"/>
      <c r="K73">
        <v>0</v>
      </c>
      <c r="L73">
        <f t="shared" si="40"/>
        <v>1</v>
      </c>
    </row>
    <row r="74" spans="1:12">
      <c r="A74">
        <v>11</v>
      </c>
      <c r="B74" s="489" t="str">
        <f>N$21</f>
        <v>QF7-C11</v>
      </c>
      <c r="C74" s="489" t="str">
        <f>O$21</f>
        <v>Quad</v>
      </c>
      <c r="D74" s="489">
        <f>P$21</f>
        <v>0.92432000000000003</v>
      </c>
      <c r="E74" s="489">
        <f>Q$21</f>
        <v>0.68156622009687096</v>
      </c>
      <c r="F74" s="489"/>
      <c r="G74" s="550">
        <f t="shared" si="37"/>
        <v>0</v>
      </c>
      <c r="H74" s="550">
        <f t="shared" si="38"/>
        <v>0</v>
      </c>
      <c r="I74" s="550">
        <f t="shared" si="39"/>
        <v>0</v>
      </c>
      <c r="J74" s="556"/>
      <c r="K74">
        <v>3.0600000000000001E-4</v>
      </c>
      <c r="L74">
        <f t="shared" si="40"/>
        <v>1.0003059999999999</v>
      </c>
    </row>
    <row r="75" spans="1:12">
      <c r="A75">
        <v>11</v>
      </c>
      <c r="B75" s="489" t="str">
        <f>N$20</f>
        <v>QD6-C11</v>
      </c>
      <c r="C75" s="489" t="str">
        <f>O$20</f>
        <v>Quad</v>
      </c>
      <c r="D75" s="489">
        <f>P$20</f>
        <v>0.51900999999999997</v>
      </c>
      <c r="E75" s="489">
        <f>Q$20</f>
        <v>-0.81881189216874428</v>
      </c>
      <c r="F75" s="489"/>
      <c r="G75" s="550">
        <f t="shared" si="37"/>
        <v>0</v>
      </c>
      <c r="H75" s="550">
        <f t="shared" si="38"/>
        <v>0</v>
      </c>
      <c r="I75" s="550">
        <f t="shared" si="39"/>
        <v>0</v>
      </c>
      <c r="J75" s="556"/>
      <c r="K75">
        <v>-6.2772999999999995E-4</v>
      </c>
      <c r="L75">
        <f t="shared" si="40"/>
        <v>0.99937226999999995</v>
      </c>
    </row>
    <row r="76" spans="1:12">
      <c r="A76">
        <v>11</v>
      </c>
      <c r="B76" s="489" t="str">
        <f>N$6</f>
        <v>QD4</v>
      </c>
      <c r="C76" s="489" t="str">
        <f>O$6</f>
        <v>Quad</v>
      </c>
      <c r="D76" s="489">
        <f>P$6</f>
        <v>0.42210999999999999</v>
      </c>
      <c r="E76" s="489">
        <f>Q$6</f>
        <v>-0.60152556163972903</v>
      </c>
      <c r="F76" s="489"/>
      <c r="G76" s="550">
        <f t="shared" si="37"/>
        <v>0</v>
      </c>
      <c r="H76" s="550">
        <f t="shared" si="38"/>
        <v>0</v>
      </c>
      <c r="I76" s="550">
        <f t="shared" si="39"/>
        <v>0</v>
      </c>
      <c r="J76" s="556"/>
      <c r="K76">
        <v>-3.8293000000000002E-4</v>
      </c>
      <c r="L76">
        <f t="shared" si="40"/>
        <v>0.99961707</v>
      </c>
    </row>
    <row r="77" spans="1:12">
      <c r="A77">
        <v>11</v>
      </c>
      <c r="B77" s="489" t="str">
        <f>N$7</f>
        <v>QF5</v>
      </c>
      <c r="C77" s="489" t="str">
        <f t="shared" ref="C77:E78" si="42">O$7</f>
        <v>Quad</v>
      </c>
      <c r="D77" s="489">
        <f t="shared" si="42"/>
        <v>0.51961999999999997</v>
      </c>
      <c r="E77" s="489">
        <f t="shared" si="42"/>
        <v>0.73458675277149998</v>
      </c>
      <c r="F77" s="489"/>
      <c r="G77" s="550">
        <f t="shared" si="37"/>
        <v>0</v>
      </c>
      <c r="H77" s="550">
        <f t="shared" si="38"/>
        <v>0</v>
      </c>
      <c r="I77" s="550">
        <f t="shared" si="39"/>
        <v>0</v>
      </c>
      <c r="J77" s="556"/>
      <c r="K77" s="247">
        <v>-3.3136000000000003E-5</v>
      </c>
      <c r="L77">
        <f t="shared" si="40"/>
        <v>0.99996686400000001</v>
      </c>
    </row>
    <row r="78" spans="1:12">
      <c r="A78">
        <v>11</v>
      </c>
      <c r="B78" s="489" t="str">
        <f>N$7</f>
        <v>QF5</v>
      </c>
      <c r="C78" s="489" t="str">
        <f t="shared" si="42"/>
        <v>Quad</v>
      </c>
      <c r="D78" s="489">
        <f t="shared" si="42"/>
        <v>0.51961999999999997</v>
      </c>
      <c r="E78" s="489">
        <f t="shared" si="42"/>
        <v>0.73458675277149998</v>
      </c>
      <c r="F78" s="489"/>
      <c r="G78" s="550">
        <f t="shared" si="37"/>
        <v>0</v>
      </c>
      <c r="H78" s="550">
        <f t="shared" si="38"/>
        <v>0</v>
      </c>
      <c r="I78" s="550">
        <f t="shared" si="39"/>
        <v>0</v>
      </c>
      <c r="J78" s="556"/>
      <c r="K78" s="247">
        <v>-7.1225999999999999E-5</v>
      </c>
      <c r="L78">
        <f t="shared" si="40"/>
        <v>0.99992877400000002</v>
      </c>
    </row>
    <row r="79" spans="1:12">
      <c r="A79">
        <v>11</v>
      </c>
      <c r="B79" s="489" t="str">
        <f>N$6</f>
        <v>QD4</v>
      </c>
      <c r="C79" s="489" t="str">
        <f>O$6</f>
        <v>Quad</v>
      </c>
      <c r="D79" s="489">
        <f>P$6</f>
        <v>0.42210999999999999</v>
      </c>
      <c r="E79" s="489">
        <f>Q$6</f>
        <v>-0.60152556163972903</v>
      </c>
      <c r="F79" s="489"/>
      <c r="G79" s="550">
        <f t="shared" si="37"/>
        <v>0</v>
      </c>
      <c r="H79" s="550">
        <f t="shared" si="38"/>
        <v>0</v>
      </c>
      <c r="I79" s="550">
        <f t="shared" si="39"/>
        <v>0</v>
      </c>
      <c r="J79" s="556"/>
      <c r="K79">
        <v>-1.8230000000000001E-4</v>
      </c>
      <c r="L79">
        <f t="shared" si="40"/>
        <v>0.99981770000000003</v>
      </c>
    </row>
    <row r="80" spans="1:12">
      <c r="A80">
        <v>11</v>
      </c>
      <c r="B80" s="489" t="str">
        <f>N$5</f>
        <v>QD3</v>
      </c>
      <c r="C80" s="489" t="str">
        <f>O$5</f>
        <v>Quad</v>
      </c>
      <c r="D80" s="489">
        <f>P$5</f>
        <v>0.53366999999999998</v>
      </c>
      <c r="E80" s="489">
        <f>Q$5</f>
        <v>-0.603553432914813</v>
      </c>
      <c r="F80" s="489"/>
      <c r="G80" s="550">
        <f t="shared" si="37"/>
        <v>0</v>
      </c>
      <c r="H80" s="550">
        <f t="shared" si="38"/>
        <v>0</v>
      </c>
      <c r="I80" s="550">
        <f t="shared" si="39"/>
        <v>0</v>
      </c>
      <c r="J80" s="556"/>
      <c r="K80" s="247">
        <v>2.7274E-5</v>
      </c>
      <c r="L80">
        <f t="shared" si="40"/>
        <v>1.000027274</v>
      </c>
    </row>
    <row r="81" spans="1:12">
      <c r="A81">
        <v>11</v>
      </c>
      <c r="B81" s="489" t="str">
        <f>N$4</f>
        <v>QF2</v>
      </c>
      <c r="C81" s="489" t="str">
        <f>O$4</f>
        <v>Quad</v>
      </c>
      <c r="D81" s="489">
        <f>P$4</f>
        <v>0.94340999999999997</v>
      </c>
      <c r="E81" s="489">
        <f>Q$4</f>
        <v>0.39100748841534999</v>
      </c>
      <c r="F81" s="489"/>
      <c r="G81" s="550">
        <f t="shared" si="37"/>
        <v>0</v>
      </c>
      <c r="H81" s="550">
        <f t="shared" si="38"/>
        <v>0</v>
      </c>
      <c r="I81" s="550">
        <f t="shared" si="39"/>
        <v>0</v>
      </c>
      <c r="J81" s="556"/>
      <c r="K81">
        <v>-1.3803000000000001E-3</v>
      </c>
      <c r="L81">
        <f t="shared" si="40"/>
        <v>0.9986197</v>
      </c>
    </row>
    <row r="82" spans="1:12">
      <c r="A82">
        <v>11</v>
      </c>
      <c r="B82" s="489" t="str">
        <f>N$3</f>
        <v>QD1</v>
      </c>
      <c r="C82" s="489" t="str">
        <f t="shared" ref="C82:E83" si="43">O$3</f>
        <v>Quad</v>
      </c>
      <c r="D82" s="489">
        <f t="shared" si="43"/>
        <v>0.43804999999999999</v>
      </c>
      <c r="E82" s="489">
        <f t="shared" si="43"/>
        <v>0</v>
      </c>
      <c r="F82" s="489"/>
      <c r="G82" s="550">
        <f t="shared" si="37"/>
        <v>0</v>
      </c>
      <c r="H82" s="550">
        <f t="shared" si="38"/>
        <v>0</v>
      </c>
      <c r="I82" s="550">
        <f t="shared" si="39"/>
        <v>0</v>
      </c>
      <c r="J82" s="556"/>
      <c r="K82">
        <v>0</v>
      </c>
      <c r="L82">
        <f t="shared" si="40"/>
        <v>1</v>
      </c>
    </row>
    <row r="83" spans="1:12">
      <c r="A83">
        <v>12</v>
      </c>
      <c r="B83" s="489" t="str">
        <f>N$3</f>
        <v>QD1</v>
      </c>
      <c r="C83" s="489" t="str">
        <f t="shared" si="43"/>
        <v>Quad</v>
      </c>
      <c r="D83" s="489">
        <f t="shared" si="43"/>
        <v>0.43804999999999999</v>
      </c>
      <c r="E83" s="489">
        <f t="shared" si="43"/>
        <v>0</v>
      </c>
      <c r="F83" s="489"/>
      <c r="G83" s="550">
        <f t="shared" si="37"/>
        <v>0</v>
      </c>
      <c r="H83" s="550">
        <f t="shared" si="38"/>
        <v>0</v>
      </c>
      <c r="I83" s="550">
        <f t="shared" si="39"/>
        <v>0</v>
      </c>
      <c r="J83" s="556"/>
      <c r="K83">
        <v>0</v>
      </c>
      <c r="L83">
        <f t="shared" si="40"/>
        <v>1</v>
      </c>
    </row>
    <row r="84" spans="1:12">
      <c r="A84">
        <v>12</v>
      </c>
      <c r="B84" s="489" t="str">
        <f>N$4</f>
        <v>QF2</v>
      </c>
      <c r="C84" s="489" t="str">
        <f>O$4</f>
        <v>Quad</v>
      </c>
      <c r="D84" s="489">
        <f>P$4</f>
        <v>0.94340999999999997</v>
      </c>
      <c r="E84" s="489">
        <f>Q$4</f>
        <v>0.39100748841534999</v>
      </c>
      <c r="F84" s="489"/>
      <c r="G84" s="550">
        <f t="shared" si="37"/>
        <v>0</v>
      </c>
      <c r="H84" s="550">
        <f t="shared" si="38"/>
        <v>0</v>
      </c>
      <c r="I84" s="550">
        <f t="shared" si="39"/>
        <v>0</v>
      </c>
      <c r="J84" s="556"/>
      <c r="K84">
        <v>-1.7503E-3</v>
      </c>
      <c r="L84">
        <f t="shared" si="40"/>
        <v>0.99824970000000002</v>
      </c>
    </row>
    <row r="85" spans="1:12">
      <c r="A85">
        <v>12</v>
      </c>
      <c r="B85" s="489" t="str">
        <f>N$5</f>
        <v>QD3</v>
      </c>
      <c r="C85" s="489" t="str">
        <f>O$5</f>
        <v>Quad</v>
      </c>
      <c r="D85" s="489">
        <f>P$5</f>
        <v>0.53366999999999998</v>
      </c>
      <c r="E85" s="489">
        <f>Q$5</f>
        <v>-0.603553432914813</v>
      </c>
      <c r="F85" s="489"/>
      <c r="G85" s="550">
        <f t="shared" si="37"/>
        <v>0</v>
      </c>
      <c r="H85" s="550">
        <f t="shared" si="38"/>
        <v>0</v>
      </c>
      <c r="I85" s="550">
        <f t="shared" si="39"/>
        <v>0</v>
      </c>
      <c r="J85" s="556"/>
      <c r="K85" s="247">
        <v>8.2960999999999994E-5</v>
      </c>
      <c r="L85">
        <f t="shared" si="40"/>
        <v>1.0000829609999999</v>
      </c>
    </row>
    <row r="86" spans="1:12">
      <c r="A86">
        <v>12</v>
      </c>
      <c r="B86" s="489" t="str">
        <f>N$6</f>
        <v>QD4</v>
      </c>
      <c r="C86" s="489" t="str">
        <f>O$6</f>
        <v>Quad</v>
      </c>
      <c r="D86" s="489">
        <f>P$6</f>
        <v>0.42210999999999999</v>
      </c>
      <c r="E86" s="489">
        <f>Q$6</f>
        <v>-0.60152556163972903</v>
      </c>
      <c r="F86" s="489"/>
      <c r="G86" s="550">
        <f t="shared" si="37"/>
        <v>0</v>
      </c>
      <c r="H86" s="550">
        <f t="shared" si="38"/>
        <v>0</v>
      </c>
      <c r="I86" s="550">
        <f t="shared" si="39"/>
        <v>0</v>
      </c>
      <c r="J86" s="556"/>
      <c r="K86" s="247">
        <v>-1.7390000000000001E-5</v>
      </c>
      <c r="L86">
        <f t="shared" si="40"/>
        <v>0.99998260999999999</v>
      </c>
    </row>
    <row r="87" spans="1:12">
      <c r="A87">
        <v>12</v>
      </c>
      <c r="B87" s="489" t="str">
        <f>N$7</f>
        <v>QF5</v>
      </c>
      <c r="C87" s="489" t="str">
        <f t="shared" ref="C87:E88" si="44">O$7</f>
        <v>Quad</v>
      </c>
      <c r="D87" s="489">
        <f t="shared" si="44"/>
        <v>0.51961999999999997</v>
      </c>
      <c r="E87" s="489">
        <f t="shared" si="44"/>
        <v>0.73458675277149998</v>
      </c>
      <c r="F87" s="489"/>
      <c r="G87" s="550">
        <f t="shared" si="37"/>
        <v>0</v>
      </c>
      <c r="H87" s="550">
        <f t="shared" si="38"/>
        <v>0</v>
      </c>
      <c r="I87" s="550">
        <f t="shared" si="39"/>
        <v>0</v>
      </c>
      <c r="J87" s="556"/>
      <c r="K87">
        <v>-1.7039999999999999E-4</v>
      </c>
      <c r="L87">
        <f t="shared" si="40"/>
        <v>0.99982959999999999</v>
      </c>
    </row>
    <row r="88" spans="1:12">
      <c r="A88">
        <v>12</v>
      </c>
      <c r="B88" s="489" t="str">
        <f>N$7</f>
        <v>QF5</v>
      </c>
      <c r="C88" s="489" t="str">
        <f t="shared" si="44"/>
        <v>Quad</v>
      </c>
      <c r="D88" s="489">
        <f t="shared" si="44"/>
        <v>0.51961999999999997</v>
      </c>
      <c r="E88" s="489">
        <f t="shared" si="44"/>
        <v>0.73458675277149998</v>
      </c>
      <c r="F88" s="489"/>
      <c r="G88" s="550">
        <f t="shared" si="37"/>
        <v>0</v>
      </c>
      <c r="H88" s="550">
        <f t="shared" si="38"/>
        <v>0</v>
      </c>
      <c r="I88" s="550">
        <f t="shared" si="39"/>
        <v>0</v>
      </c>
      <c r="J88" s="556"/>
      <c r="K88">
        <v>-2.1996E-4</v>
      </c>
      <c r="L88">
        <f t="shared" si="40"/>
        <v>0.99978003999999998</v>
      </c>
    </row>
    <row r="89" spans="1:12">
      <c r="A89">
        <v>12</v>
      </c>
      <c r="B89" s="489" t="str">
        <f>N$6</f>
        <v>QD4</v>
      </c>
      <c r="C89" s="489" t="str">
        <f>O$6</f>
        <v>Quad</v>
      </c>
      <c r="D89" s="489">
        <f>P$6</f>
        <v>0.42210999999999999</v>
      </c>
      <c r="E89" s="489">
        <f>Q$6</f>
        <v>-0.60152556163972903</v>
      </c>
      <c r="F89" s="489"/>
      <c r="G89" s="550">
        <f t="shared" si="37"/>
        <v>0</v>
      </c>
      <c r="H89" s="550">
        <f t="shared" si="38"/>
        <v>0</v>
      </c>
      <c r="I89" s="550">
        <f t="shared" si="39"/>
        <v>0</v>
      </c>
      <c r="J89" s="556"/>
      <c r="K89" s="247">
        <v>6.3021999999999994E-5</v>
      </c>
      <c r="L89">
        <f t="shared" si="40"/>
        <v>1.000063022</v>
      </c>
    </row>
    <row r="90" spans="1:12">
      <c r="A90">
        <v>12</v>
      </c>
      <c r="B90" s="489" t="str">
        <f>N$8</f>
        <v>QD6</v>
      </c>
      <c r="C90" s="489" t="str">
        <f>O$8</f>
        <v>Quad</v>
      </c>
      <c r="D90" s="489">
        <f>P$8</f>
        <v>0.51900999999999997</v>
      </c>
      <c r="E90" s="489">
        <f>Q$8</f>
        <v>-0.81881189216874428</v>
      </c>
      <c r="F90" s="489"/>
      <c r="G90" s="550">
        <f t="shared" si="37"/>
        <v>0</v>
      </c>
      <c r="H90" s="550">
        <f t="shared" si="38"/>
        <v>0</v>
      </c>
      <c r="I90" s="550">
        <f t="shared" si="39"/>
        <v>0</v>
      </c>
      <c r="J90" s="556"/>
      <c r="K90">
        <v>-1.4757E-4</v>
      </c>
      <c r="L90">
        <f t="shared" si="40"/>
        <v>0.99985243000000001</v>
      </c>
    </row>
    <row r="91" spans="1:12">
      <c r="A91">
        <v>12</v>
      </c>
      <c r="B91" s="489" t="str">
        <f>N$9</f>
        <v>QF7</v>
      </c>
      <c r="C91" s="489" t="str">
        <f>O$9</f>
        <v>Quad</v>
      </c>
      <c r="D91" s="489">
        <f>P$9</f>
        <v>0.92432000000000003</v>
      </c>
      <c r="E91" s="489">
        <f>Q$9</f>
        <v>0.68156622009687096</v>
      </c>
      <c r="F91" s="489"/>
      <c r="G91" s="550">
        <f t="shared" si="37"/>
        <v>0</v>
      </c>
      <c r="H91" s="550">
        <f t="shared" si="38"/>
        <v>0</v>
      </c>
      <c r="I91" s="550">
        <f t="shared" si="39"/>
        <v>0</v>
      </c>
      <c r="J91" s="556"/>
      <c r="K91">
        <v>6.5384999999999998E-4</v>
      </c>
      <c r="L91">
        <f t="shared" si="40"/>
        <v>1.00065385</v>
      </c>
    </row>
    <row r="92" spans="1:12">
      <c r="A92">
        <v>12</v>
      </c>
      <c r="B92" s="489" t="str">
        <f>N$10</f>
        <v>QD8</v>
      </c>
      <c r="C92" s="489" t="str">
        <f t="shared" ref="C92:E93" si="45">O$10</f>
        <v>Quad</v>
      </c>
      <c r="D92" s="489">
        <f t="shared" si="45"/>
        <v>0.43420999999999998</v>
      </c>
      <c r="E92" s="489">
        <f t="shared" si="45"/>
        <v>0</v>
      </c>
      <c r="F92" s="489"/>
      <c r="G92" s="550">
        <f t="shared" si="37"/>
        <v>0</v>
      </c>
      <c r="H92" s="550">
        <f t="shared" si="38"/>
        <v>0</v>
      </c>
      <c r="I92" s="550">
        <f t="shared" si="39"/>
        <v>0</v>
      </c>
      <c r="J92" s="556"/>
      <c r="K92">
        <v>0</v>
      </c>
      <c r="L92">
        <f t="shared" si="40"/>
        <v>1</v>
      </c>
    </row>
    <row r="93" spans="1:12">
      <c r="A93">
        <v>13</v>
      </c>
      <c r="B93" s="489" t="str">
        <f>N$10</f>
        <v>QD8</v>
      </c>
      <c r="C93" s="489" t="str">
        <f t="shared" si="45"/>
        <v>Quad</v>
      </c>
      <c r="D93" s="489">
        <f t="shared" si="45"/>
        <v>0.43420999999999998</v>
      </c>
      <c r="E93" s="489">
        <f t="shared" si="45"/>
        <v>0</v>
      </c>
      <c r="F93" s="489"/>
      <c r="G93" s="550">
        <f t="shared" si="37"/>
        <v>0</v>
      </c>
      <c r="H93" s="550">
        <f t="shared" si="38"/>
        <v>0</v>
      </c>
      <c r="I93" s="550">
        <f t="shared" si="39"/>
        <v>0</v>
      </c>
      <c r="J93" s="556"/>
      <c r="K93">
        <v>0</v>
      </c>
      <c r="L93">
        <f t="shared" si="40"/>
        <v>1</v>
      </c>
    </row>
    <row r="94" spans="1:12">
      <c r="A94">
        <v>13</v>
      </c>
      <c r="B94" s="489" t="str">
        <f>N$9</f>
        <v>QF7</v>
      </c>
      <c r="C94" s="489" t="str">
        <f>O$9</f>
        <v>Quad</v>
      </c>
      <c r="D94" s="489">
        <f>P$9</f>
        <v>0.92432000000000003</v>
      </c>
      <c r="E94" s="489">
        <f>Q$9</f>
        <v>0.68156622009687096</v>
      </c>
      <c r="F94" s="489"/>
      <c r="G94" s="550">
        <f t="shared" si="37"/>
        <v>0</v>
      </c>
      <c r="H94" s="550">
        <f t="shared" si="38"/>
        <v>0</v>
      </c>
      <c r="I94" s="550">
        <f t="shared" si="39"/>
        <v>0</v>
      </c>
      <c r="J94" s="556"/>
      <c r="K94">
        <v>1.3152999999999999E-3</v>
      </c>
      <c r="L94">
        <f t="shared" si="40"/>
        <v>1.0013152999999999</v>
      </c>
    </row>
    <row r="95" spans="1:12">
      <c r="A95">
        <v>13</v>
      </c>
      <c r="B95" s="489" t="str">
        <f>N$8</f>
        <v>QD6</v>
      </c>
      <c r="C95" s="489" t="str">
        <f>O$8</f>
        <v>Quad</v>
      </c>
      <c r="D95" s="489">
        <f>P$8</f>
        <v>0.51900999999999997</v>
      </c>
      <c r="E95" s="489">
        <f>Q$8</f>
        <v>-0.81881189216874428</v>
      </c>
      <c r="F95" s="489"/>
      <c r="G95" s="550">
        <f t="shared" si="37"/>
        <v>0</v>
      </c>
      <c r="H95" s="550">
        <f t="shared" si="38"/>
        <v>0</v>
      </c>
      <c r="I95" s="550">
        <f t="shared" si="39"/>
        <v>0</v>
      </c>
      <c r="J95" s="556"/>
      <c r="K95">
        <v>-4.0608000000000002E-4</v>
      </c>
      <c r="L95">
        <f t="shared" si="40"/>
        <v>0.99959392000000002</v>
      </c>
    </row>
    <row r="96" spans="1:12">
      <c r="A96">
        <v>13</v>
      </c>
      <c r="B96" s="489" t="str">
        <f>N$6</f>
        <v>QD4</v>
      </c>
      <c r="C96" s="489" t="str">
        <f>O$6</f>
        <v>Quad</v>
      </c>
      <c r="D96" s="489">
        <f>P$6</f>
        <v>0.42210999999999999</v>
      </c>
      <c r="E96" s="489">
        <f>Q$6</f>
        <v>-0.60152556163972903</v>
      </c>
      <c r="F96" s="489"/>
      <c r="G96" s="550">
        <f t="shared" si="37"/>
        <v>0</v>
      </c>
      <c r="H96" s="550">
        <f t="shared" si="38"/>
        <v>0</v>
      </c>
      <c r="I96" s="550">
        <f t="shared" si="39"/>
        <v>0</v>
      </c>
      <c r="J96" s="556"/>
      <c r="K96">
        <v>-2.5775E-4</v>
      </c>
      <c r="L96">
        <f t="shared" si="40"/>
        <v>0.99974225000000005</v>
      </c>
    </row>
    <row r="97" spans="1:12">
      <c r="A97">
        <v>13</v>
      </c>
      <c r="B97" s="489" t="str">
        <f>N$7</f>
        <v>QF5</v>
      </c>
      <c r="C97" s="489" t="str">
        <f t="shared" ref="C97:E98" si="46">O$7</f>
        <v>Quad</v>
      </c>
      <c r="D97" s="489">
        <f t="shared" si="46"/>
        <v>0.51961999999999997</v>
      </c>
      <c r="E97" s="489">
        <f t="shared" si="46"/>
        <v>0.73458675277149998</v>
      </c>
      <c r="F97" s="489"/>
      <c r="G97" s="550">
        <f t="shared" si="37"/>
        <v>0</v>
      </c>
      <c r="H97" s="550">
        <f t="shared" si="38"/>
        <v>0</v>
      </c>
      <c r="I97" s="550">
        <f t="shared" si="39"/>
        <v>0</v>
      </c>
      <c r="J97" s="556"/>
      <c r="K97">
        <v>3.6924000000000001E-4</v>
      </c>
      <c r="L97">
        <f t="shared" si="40"/>
        <v>1.0003692399999999</v>
      </c>
    </row>
    <row r="98" spans="1:12">
      <c r="A98">
        <v>13</v>
      </c>
      <c r="B98" s="489" t="str">
        <f>N$7</f>
        <v>QF5</v>
      </c>
      <c r="C98" s="489" t="str">
        <f t="shared" si="46"/>
        <v>Quad</v>
      </c>
      <c r="D98" s="489">
        <f t="shared" si="46"/>
        <v>0.51961999999999997</v>
      </c>
      <c r="E98" s="489">
        <f t="shared" si="46"/>
        <v>0.73458675277149998</v>
      </c>
      <c r="F98" s="489"/>
      <c r="G98" s="550">
        <f t="shared" si="37"/>
        <v>0</v>
      </c>
      <c r="H98" s="550">
        <f t="shared" si="38"/>
        <v>0</v>
      </c>
      <c r="I98" s="550">
        <f t="shared" si="39"/>
        <v>0</v>
      </c>
      <c r="J98" s="556"/>
      <c r="K98">
        <v>3.5619999999999998E-4</v>
      </c>
      <c r="L98">
        <f t="shared" si="40"/>
        <v>1.0003561999999999</v>
      </c>
    </row>
    <row r="99" spans="1:12">
      <c r="A99">
        <v>13</v>
      </c>
      <c r="B99" s="489" t="str">
        <f>N$6</f>
        <v>QD4</v>
      </c>
      <c r="C99" s="489" t="str">
        <f>O$6</f>
        <v>Quad</v>
      </c>
      <c r="D99" s="489">
        <f>P$6</f>
        <v>0.42210999999999999</v>
      </c>
      <c r="E99" s="489">
        <f>Q$6</f>
        <v>-0.60152556163972903</v>
      </c>
      <c r="F99" s="489"/>
      <c r="G99" s="550">
        <f t="shared" si="37"/>
        <v>0</v>
      </c>
      <c r="H99" s="550">
        <f t="shared" si="38"/>
        <v>0</v>
      </c>
      <c r="I99" s="550">
        <f t="shared" si="39"/>
        <v>0</v>
      </c>
      <c r="J99" s="556"/>
      <c r="K99">
        <v>-1.3577000000000001E-4</v>
      </c>
      <c r="L99">
        <f t="shared" si="40"/>
        <v>0.99986423000000002</v>
      </c>
    </row>
    <row r="100" spans="1:12">
      <c r="A100">
        <v>13</v>
      </c>
      <c r="B100" s="489" t="str">
        <f>N$5</f>
        <v>QD3</v>
      </c>
      <c r="C100" s="489" t="str">
        <f>O$5</f>
        <v>Quad</v>
      </c>
      <c r="D100" s="489">
        <f>P$5</f>
        <v>0.53366999999999998</v>
      </c>
      <c r="E100" s="489">
        <f>Q$5</f>
        <v>-0.603553432914813</v>
      </c>
      <c r="F100" s="489"/>
      <c r="G100" s="550">
        <f t="shared" si="37"/>
        <v>0</v>
      </c>
      <c r="H100" s="550">
        <f t="shared" si="38"/>
        <v>0</v>
      </c>
      <c r="I100" s="550">
        <f t="shared" si="39"/>
        <v>0</v>
      </c>
      <c r="J100" s="556"/>
      <c r="K100">
        <v>1.3096000000000001E-4</v>
      </c>
      <c r="L100">
        <f t="shared" si="40"/>
        <v>1.0001309599999999</v>
      </c>
    </row>
    <row r="101" spans="1:12">
      <c r="A101">
        <v>13</v>
      </c>
      <c r="B101" s="489" t="str">
        <f>N$4</f>
        <v>QF2</v>
      </c>
      <c r="C101" s="489" t="str">
        <f>O$4</f>
        <v>Quad</v>
      </c>
      <c r="D101" s="489">
        <f>P$4</f>
        <v>0.94340999999999997</v>
      </c>
      <c r="E101" s="489">
        <f>Q$4</f>
        <v>0.39100748841534999</v>
      </c>
      <c r="F101" s="489"/>
      <c r="G101" s="550">
        <f t="shared" si="37"/>
        <v>0</v>
      </c>
      <c r="H101" s="550">
        <f t="shared" si="38"/>
        <v>0</v>
      </c>
      <c r="I101" s="550">
        <f t="shared" si="39"/>
        <v>0</v>
      </c>
      <c r="J101" s="556"/>
      <c r="K101">
        <v>1.2705999999999999E-4</v>
      </c>
      <c r="L101">
        <f t="shared" si="40"/>
        <v>1.0001270600000001</v>
      </c>
    </row>
    <row r="102" spans="1:12">
      <c r="A102">
        <v>13</v>
      </c>
      <c r="B102" s="489" t="str">
        <f>N$3</f>
        <v>QD1</v>
      </c>
      <c r="C102" s="489" t="str">
        <f t="shared" ref="C102:E103" si="47">O$3</f>
        <v>Quad</v>
      </c>
      <c r="D102" s="489">
        <f t="shared" si="47"/>
        <v>0.43804999999999999</v>
      </c>
      <c r="E102" s="489">
        <f t="shared" si="47"/>
        <v>0</v>
      </c>
      <c r="F102" s="489"/>
      <c r="G102" s="550">
        <f t="shared" si="37"/>
        <v>0</v>
      </c>
      <c r="H102" s="550">
        <f t="shared" si="38"/>
        <v>0</v>
      </c>
      <c r="I102" s="550">
        <f t="shared" si="39"/>
        <v>0</v>
      </c>
      <c r="J102" s="556"/>
      <c r="K102">
        <v>0</v>
      </c>
      <c r="L102">
        <f t="shared" si="40"/>
        <v>1</v>
      </c>
    </row>
    <row r="103" spans="1:12">
      <c r="A103">
        <v>14</v>
      </c>
      <c r="B103" s="489" t="str">
        <f>N$3</f>
        <v>QD1</v>
      </c>
      <c r="C103" s="489" t="str">
        <f t="shared" si="47"/>
        <v>Quad</v>
      </c>
      <c r="D103" s="489">
        <f t="shared" si="47"/>
        <v>0.43804999999999999</v>
      </c>
      <c r="E103" s="489">
        <f t="shared" si="47"/>
        <v>0</v>
      </c>
      <c r="F103" s="489"/>
      <c r="G103" s="550">
        <f t="shared" si="37"/>
        <v>0</v>
      </c>
      <c r="H103" s="550">
        <f t="shared" si="38"/>
        <v>0</v>
      </c>
      <c r="I103" s="550">
        <f t="shared" si="39"/>
        <v>0</v>
      </c>
      <c r="J103" s="556"/>
      <c r="K103">
        <v>0</v>
      </c>
      <c r="L103">
        <f t="shared" si="40"/>
        <v>1</v>
      </c>
    </row>
    <row r="104" spans="1:12">
      <c r="A104">
        <v>14</v>
      </c>
      <c r="B104" s="489" t="str">
        <f>N$4</f>
        <v>QF2</v>
      </c>
      <c r="C104" s="489" t="str">
        <f>O$4</f>
        <v>Quad</v>
      </c>
      <c r="D104" s="489">
        <f>P$4</f>
        <v>0.94340999999999997</v>
      </c>
      <c r="E104" s="489">
        <f>Q$4</f>
        <v>0.39100748841534999</v>
      </c>
      <c r="F104" s="489"/>
      <c r="G104" s="550">
        <f t="shared" si="37"/>
        <v>0</v>
      </c>
      <c r="H104" s="550">
        <f t="shared" si="38"/>
        <v>0</v>
      </c>
      <c r="I104" s="550">
        <f t="shared" si="39"/>
        <v>0</v>
      </c>
      <c r="J104" s="556"/>
      <c r="K104">
        <v>1.2907999999999999E-3</v>
      </c>
      <c r="L104">
        <f t="shared" si="40"/>
        <v>1.0012908</v>
      </c>
    </row>
    <row r="105" spans="1:12">
      <c r="A105">
        <v>14</v>
      </c>
      <c r="B105" s="489" t="str">
        <f>N$5</f>
        <v>QD3</v>
      </c>
      <c r="C105" s="489" t="str">
        <f>O$5</f>
        <v>Quad</v>
      </c>
      <c r="D105" s="489">
        <f>P$5</f>
        <v>0.53366999999999998</v>
      </c>
      <c r="E105" s="489">
        <f>Q$5</f>
        <v>-0.603553432914813</v>
      </c>
      <c r="F105" s="489"/>
      <c r="G105" s="550">
        <f t="shared" si="37"/>
        <v>0</v>
      </c>
      <c r="H105" s="550">
        <f t="shared" si="38"/>
        <v>0</v>
      </c>
      <c r="I105" s="550">
        <f t="shared" si="39"/>
        <v>0</v>
      </c>
      <c r="J105" s="556"/>
      <c r="K105">
        <v>-2.7593000000000002E-4</v>
      </c>
      <c r="L105">
        <f t="shared" si="40"/>
        <v>0.99972406999999996</v>
      </c>
    </row>
    <row r="106" spans="1:12">
      <c r="A106">
        <v>14</v>
      </c>
      <c r="B106" s="489" t="str">
        <f>N$6</f>
        <v>QD4</v>
      </c>
      <c r="C106" s="489" t="str">
        <f>O$6</f>
        <v>Quad</v>
      </c>
      <c r="D106" s="489">
        <f>P$6</f>
        <v>0.42210999999999999</v>
      </c>
      <c r="E106" s="489">
        <f>Q$6</f>
        <v>-0.60152556163972903</v>
      </c>
      <c r="F106" s="489"/>
      <c r="G106" s="550">
        <f t="shared" si="37"/>
        <v>0</v>
      </c>
      <c r="H106" s="550">
        <f t="shared" si="38"/>
        <v>0</v>
      </c>
      <c r="I106" s="550">
        <f t="shared" si="39"/>
        <v>0</v>
      </c>
      <c r="J106" s="556"/>
      <c r="K106" s="247">
        <v>4.6947000000000003E-5</v>
      </c>
      <c r="L106">
        <f t="shared" si="40"/>
        <v>1.000046947</v>
      </c>
    </row>
    <row r="107" spans="1:12">
      <c r="A107">
        <v>14</v>
      </c>
      <c r="B107" s="489" t="str">
        <f>N$7</f>
        <v>QF5</v>
      </c>
      <c r="C107" s="489" t="str">
        <f t="shared" ref="C107:E108" si="48">O$7</f>
        <v>Quad</v>
      </c>
      <c r="D107" s="489">
        <f t="shared" si="48"/>
        <v>0.51961999999999997</v>
      </c>
      <c r="E107" s="489">
        <f t="shared" si="48"/>
        <v>0.73458675277149998</v>
      </c>
      <c r="F107" s="489"/>
      <c r="G107" s="550">
        <f t="shared" si="37"/>
        <v>0</v>
      </c>
      <c r="H107" s="550">
        <f t="shared" si="38"/>
        <v>0</v>
      </c>
      <c r="I107" s="550">
        <f t="shared" si="39"/>
        <v>0</v>
      </c>
      <c r="J107" s="556"/>
      <c r="K107" s="247">
        <v>-8.8827999999999997E-5</v>
      </c>
      <c r="L107">
        <f t="shared" si="40"/>
        <v>0.99991117200000001</v>
      </c>
    </row>
    <row r="108" spans="1:12">
      <c r="A108">
        <v>14</v>
      </c>
      <c r="B108" s="489" t="str">
        <f>N$7</f>
        <v>QF5</v>
      </c>
      <c r="C108" s="489" t="str">
        <f t="shared" si="48"/>
        <v>Quad</v>
      </c>
      <c r="D108" s="489">
        <f t="shared" si="48"/>
        <v>0.51961999999999997</v>
      </c>
      <c r="E108" s="489">
        <f t="shared" si="48"/>
        <v>0.73458675277149998</v>
      </c>
      <c r="F108" s="489"/>
      <c r="G108" s="550">
        <f t="shared" si="37"/>
        <v>0</v>
      </c>
      <c r="H108" s="550">
        <f t="shared" si="38"/>
        <v>0</v>
      </c>
      <c r="I108" s="550">
        <f t="shared" si="39"/>
        <v>0</v>
      </c>
      <c r="J108" s="556"/>
      <c r="K108" s="247">
        <v>-9.0515999999999999E-5</v>
      </c>
      <c r="L108">
        <f t="shared" si="40"/>
        <v>0.99990948400000002</v>
      </c>
    </row>
    <row r="109" spans="1:12">
      <c r="A109">
        <v>14</v>
      </c>
      <c r="B109" s="489" t="str">
        <f>N$6</f>
        <v>QD4</v>
      </c>
      <c r="C109" s="489" t="str">
        <f>O$6</f>
        <v>Quad</v>
      </c>
      <c r="D109" s="489">
        <f>P$6</f>
        <v>0.42210999999999999</v>
      </c>
      <c r="E109" s="489">
        <f>Q$6</f>
        <v>-0.60152556163972903</v>
      </c>
      <c r="F109" s="489"/>
      <c r="G109" s="550">
        <f t="shared" si="37"/>
        <v>0</v>
      </c>
      <c r="H109" s="550">
        <f t="shared" si="38"/>
        <v>0</v>
      </c>
      <c r="I109" s="550">
        <f t="shared" si="39"/>
        <v>0</v>
      </c>
      <c r="J109" s="556"/>
      <c r="K109">
        <v>1.4643999999999999E-4</v>
      </c>
      <c r="L109">
        <f t="shared" si="40"/>
        <v>1.00014644</v>
      </c>
    </row>
    <row r="110" spans="1:12">
      <c r="A110">
        <v>14</v>
      </c>
      <c r="B110" s="489" t="str">
        <f>N$8</f>
        <v>QD6</v>
      </c>
      <c r="C110" s="489" t="str">
        <f>O$8</f>
        <v>Quad</v>
      </c>
      <c r="D110" s="489">
        <f>P$8</f>
        <v>0.51900999999999997</v>
      </c>
      <c r="E110" s="489">
        <f>Q$8</f>
        <v>-0.81881189216874428</v>
      </c>
      <c r="F110" s="489"/>
      <c r="G110" s="550">
        <f t="shared" si="37"/>
        <v>0</v>
      </c>
      <c r="H110" s="550">
        <f t="shared" si="38"/>
        <v>0</v>
      </c>
      <c r="I110" s="550">
        <f t="shared" si="39"/>
        <v>0</v>
      </c>
      <c r="J110" s="556"/>
      <c r="K110">
        <v>3.7844000000000002E-4</v>
      </c>
      <c r="L110">
        <f t="shared" si="40"/>
        <v>1.00037844</v>
      </c>
    </row>
    <row r="111" spans="1:12">
      <c r="A111">
        <v>14</v>
      </c>
      <c r="B111" s="489" t="str">
        <f>N$9</f>
        <v>QF7</v>
      </c>
      <c r="C111" s="489" t="str">
        <f>O$9</f>
        <v>Quad</v>
      </c>
      <c r="D111" s="489">
        <f>P$9</f>
        <v>0.92432000000000003</v>
      </c>
      <c r="E111" s="489">
        <f>Q$9</f>
        <v>0.68156622009687096</v>
      </c>
      <c r="F111" s="489"/>
      <c r="G111" s="550">
        <f t="shared" si="37"/>
        <v>0</v>
      </c>
      <c r="H111" s="550">
        <f t="shared" si="38"/>
        <v>0</v>
      </c>
      <c r="I111" s="550">
        <f t="shared" si="39"/>
        <v>0</v>
      </c>
      <c r="J111" s="556"/>
      <c r="K111">
        <v>-8.6384000000000005E-4</v>
      </c>
      <c r="L111">
        <f t="shared" si="40"/>
        <v>0.99913616000000005</v>
      </c>
    </row>
    <row r="112" spans="1:12">
      <c r="A112">
        <v>14</v>
      </c>
      <c r="B112" s="489" t="str">
        <f>N$10</f>
        <v>QD8</v>
      </c>
      <c r="C112" s="489" t="str">
        <f t="shared" ref="C112:E113" si="49">O$10</f>
        <v>Quad</v>
      </c>
      <c r="D112" s="489">
        <f t="shared" si="49"/>
        <v>0.43420999999999998</v>
      </c>
      <c r="E112" s="489">
        <f t="shared" si="49"/>
        <v>0</v>
      </c>
      <c r="F112" s="489"/>
      <c r="G112" s="550">
        <f t="shared" si="37"/>
        <v>0</v>
      </c>
      <c r="H112" s="550">
        <f t="shared" si="38"/>
        <v>0</v>
      </c>
      <c r="I112" s="550">
        <f t="shared" si="39"/>
        <v>0</v>
      </c>
      <c r="J112" s="556"/>
      <c r="K112">
        <v>0</v>
      </c>
      <c r="L112">
        <f t="shared" si="40"/>
        <v>1</v>
      </c>
    </row>
    <row r="113" spans="1:12">
      <c r="A113">
        <v>15</v>
      </c>
      <c r="B113" s="489" t="str">
        <f>N$10</f>
        <v>QD8</v>
      </c>
      <c r="C113" s="489" t="str">
        <f t="shared" si="49"/>
        <v>Quad</v>
      </c>
      <c r="D113" s="489">
        <f t="shared" si="49"/>
        <v>0.43420999999999998</v>
      </c>
      <c r="E113" s="489">
        <f t="shared" si="49"/>
        <v>0</v>
      </c>
      <c r="F113" s="489"/>
      <c r="G113" s="550">
        <f t="shared" si="37"/>
        <v>0</v>
      </c>
      <c r="H113" s="550">
        <f t="shared" si="38"/>
        <v>0</v>
      </c>
      <c r="I113" s="550">
        <f t="shared" si="39"/>
        <v>0</v>
      </c>
      <c r="J113" s="556"/>
      <c r="K113">
        <v>0</v>
      </c>
      <c r="L113">
        <f t="shared" si="40"/>
        <v>1</v>
      </c>
    </row>
    <row r="114" spans="1:12">
      <c r="A114">
        <v>15</v>
      </c>
      <c r="B114" s="489" t="str">
        <f>N$9</f>
        <v>QF7</v>
      </c>
      <c r="C114" s="489" t="str">
        <f>O$9</f>
        <v>Quad</v>
      </c>
      <c r="D114" s="489">
        <f>P$9</f>
        <v>0.92432000000000003</v>
      </c>
      <c r="E114" s="489">
        <f>Q$9</f>
        <v>0.68156622009687096</v>
      </c>
      <c r="F114" s="489"/>
      <c r="G114" s="550">
        <f t="shared" si="37"/>
        <v>0</v>
      </c>
      <c r="H114" s="550">
        <f t="shared" si="38"/>
        <v>0</v>
      </c>
      <c r="I114" s="550">
        <f t="shared" si="39"/>
        <v>0</v>
      </c>
      <c r="J114" s="556"/>
      <c r="K114">
        <v>-4.6476999999999998E-4</v>
      </c>
      <c r="L114">
        <f t="shared" si="40"/>
        <v>0.99953523</v>
      </c>
    </row>
    <row r="115" spans="1:12">
      <c r="A115">
        <v>15</v>
      </c>
      <c r="B115" s="489" t="str">
        <f>N$8</f>
        <v>QD6</v>
      </c>
      <c r="C115" s="489" t="str">
        <f>O$8</f>
        <v>Quad</v>
      </c>
      <c r="D115" s="489">
        <f>P$8</f>
        <v>0.51900999999999997</v>
      </c>
      <c r="E115" s="489">
        <f>Q$8</f>
        <v>-0.81881189216874428</v>
      </c>
      <c r="F115" s="489"/>
      <c r="G115" s="550">
        <f t="shared" si="37"/>
        <v>0</v>
      </c>
      <c r="H115" s="550">
        <f t="shared" si="38"/>
        <v>0</v>
      </c>
      <c r="I115" s="550">
        <f t="shared" si="39"/>
        <v>0</v>
      </c>
      <c r="J115" s="556"/>
      <c r="K115">
        <v>-3.7101000000000001E-4</v>
      </c>
      <c r="L115">
        <f t="shared" si="40"/>
        <v>0.99962899000000005</v>
      </c>
    </row>
    <row r="116" spans="1:12">
      <c r="A116">
        <v>15</v>
      </c>
      <c r="B116" s="489" t="str">
        <f>N$6</f>
        <v>QD4</v>
      </c>
      <c r="C116" s="489" t="str">
        <f>O$6</f>
        <v>Quad</v>
      </c>
      <c r="D116" s="489">
        <f>P$6</f>
        <v>0.42210999999999999</v>
      </c>
      <c r="E116" s="489">
        <f>Q$6</f>
        <v>-0.60152556163972903</v>
      </c>
      <c r="F116" s="489"/>
      <c r="G116" s="550">
        <f t="shared" si="37"/>
        <v>0</v>
      </c>
      <c r="H116" s="550">
        <f t="shared" si="38"/>
        <v>0</v>
      </c>
      <c r="I116" s="550">
        <f t="shared" si="39"/>
        <v>0</v>
      </c>
      <c r="J116" s="556"/>
      <c r="K116">
        <v>-4.0475E-4</v>
      </c>
      <c r="L116">
        <f t="shared" si="40"/>
        <v>0.99959525000000005</v>
      </c>
    </row>
    <row r="117" spans="1:12">
      <c r="A117">
        <v>15</v>
      </c>
      <c r="B117" s="489" t="str">
        <f>N$7</f>
        <v>QF5</v>
      </c>
      <c r="C117" s="489" t="str">
        <f t="shared" ref="C117:E118" si="50">O$7</f>
        <v>Quad</v>
      </c>
      <c r="D117" s="489">
        <f t="shared" si="50"/>
        <v>0.51961999999999997</v>
      </c>
      <c r="E117" s="489">
        <f t="shared" si="50"/>
        <v>0.73458675277149998</v>
      </c>
      <c r="F117" s="489"/>
      <c r="G117" s="550">
        <f t="shared" si="37"/>
        <v>0</v>
      </c>
      <c r="H117" s="550">
        <f t="shared" si="38"/>
        <v>0</v>
      </c>
      <c r="I117" s="550">
        <f t="shared" si="39"/>
        <v>0</v>
      </c>
      <c r="J117" s="556"/>
      <c r="K117" s="247">
        <v>9.4636000000000007E-5</v>
      </c>
      <c r="L117">
        <f t="shared" si="40"/>
        <v>1.000094636</v>
      </c>
    </row>
    <row r="118" spans="1:12">
      <c r="A118">
        <v>15</v>
      </c>
      <c r="B118" s="489" t="str">
        <f>N$7</f>
        <v>QF5</v>
      </c>
      <c r="C118" s="489" t="str">
        <f t="shared" si="50"/>
        <v>Quad</v>
      </c>
      <c r="D118" s="489">
        <f t="shared" si="50"/>
        <v>0.51961999999999997</v>
      </c>
      <c r="E118" s="489">
        <f t="shared" si="50"/>
        <v>0.73458675277149998</v>
      </c>
      <c r="F118" s="489"/>
      <c r="G118" s="550">
        <f t="shared" si="37"/>
        <v>0</v>
      </c>
      <c r="H118" s="550">
        <f t="shared" si="38"/>
        <v>0</v>
      </c>
      <c r="I118" s="550">
        <f t="shared" si="39"/>
        <v>0</v>
      </c>
      <c r="J118" s="556"/>
      <c r="K118" s="247">
        <v>7.9606999999999999E-5</v>
      </c>
      <c r="L118">
        <f t="shared" si="40"/>
        <v>1.000079607</v>
      </c>
    </row>
    <row r="119" spans="1:12">
      <c r="A119">
        <v>15</v>
      </c>
      <c r="B119" s="489" t="str">
        <f>N$6</f>
        <v>QD4</v>
      </c>
      <c r="C119" s="489" t="str">
        <f>O$6</f>
        <v>Quad</v>
      </c>
      <c r="D119" s="489">
        <f>P$6</f>
        <v>0.42210999999999999</v>
      </c>
      <c r="E119" s="489">
        <f>Q$6</f>
        <v>-0.60152556163972903</v>
      </c>
      <c r="F119" s="489"/>
      <c r="G119" s="550">
        <f t="shared" si="37"/>
        <v>0</v>
      </c>
      <c r="H119" s="550">
        <f t="shared" si="38"/>
        <v>0</v>
      </c>
      <c r="I119" s="550">
        <f t="shared" si="39"/>
        <v>0</v>
      </c>
      <c r="J119" s="556"/>
      <c r="K119">
        <v>-3.9964999999999998E-4</v>
      </c>
      <c r="L119">
        <f t="shared" si="40"/>
        <v>0.99960035000000003</v>
      </c>
    </row>
    <row r="120" spans="1:12">
      <c r="A120">
        <v>15</v>
      </c>
      <c r="B120" s="489" t="str">
        <f>N$5</f>
        <v>QD3</v>
      </c>
      <c r="C120" s="489" t="str">
        <f>O$5</f>
        <v>Quad</v>
      </c>
      <c r="D120" s="489">
        <f>P$5</f>
        <v>0.53366999999999998</v>
      </c>
      <c r="E120" s="489">
        <f>Q$5</f>
        <v>-0.603553432914813</v>
      </c>
      <c r="F120" s="489"/>
      <c r="G120" s="550">
        <f t="shared" si="37"/>
        <v>0</v>
      </c>
      <c r="H120" s="550">
        <f t="shared" si="38"/>
        <v>0</v>
      </c>
      <c r="I120" s="550">
        <f t="shared" si="39"/>
        <v>0</v>
      </c>
      <c r="J120" s="556"/>
      <c r="K120">
        <v>-7.6829999999999997E-4</v>
      </c>
      <c r="L120">
        <f t="shared" si="40"/>
        <v>0.99923169999999994</v>
      </c>
    </row>
    <row r="121" spans="1:12">
      <c r="A121">
        <v>15</v>
      </c>
      <c r="B121" s="489" t="str">
        <f>N$4</f>
        <v>QF2</v>
      </c>
      <c r="C121" s="489" t="str">
        <f>O$4</f>
        <v>Quad</v>
      </c>
      <c r="D121" s="489">
        <f>P$4</f>
        <v>0.94340999999999997</v>
      </c>
      <c r="E121" s="489">
        <f>Q$4</f>
        <v>0.39100748841534999</v>
      </c>
      <c r="F121" s="489"/>
      <c r="G121" s="550">
        <f t="shared" si="37"/>
        <v>0</v>
      </c>
      <c r="H121" s="550">
        <f t="shared" si="38"/>
        <v>0</v>
      </c>
      <c r="I121" s="550">
        <f t="shared" si="39"/>
        <v>0</v>
      </c>
      <c r="J121" s="556"/>
      <c r="K121">
        <v>1.0069E-3</v>
      </c>
      <c r="L121">
        <f t="shared" si="40"/>
        <v>1.0010068999999999</v>
      </c>
    </row>
    <row r="122" spans="1:12">
      <c r="A122">
        <v>15</v>
      </c>
      <c r="B122" s="489" t="str">
        <f>N$3</f>
        <v>QD1</v>
      </c>
      <c r="C122" s="489" t="str">
        <f t="shared" ref="C122:E123" si="51">O$3</f>
        <v>Quad</v>
      </c>
      <c r="D122" s="489">
        <f t="shared" si="51"/>
        <v>0.43804999999999999</v>
      </c>
      <c r="E122" s="489">
        <f t="shared" si="51"/>
        <v>0</v>
      </c>
      <c r="F122" s="489"/>
      <c r="G122" s="550">
        <f t="shared" si="37"/>
        <v>0</v>
      </c>
      <c r="H122" s="550">
        <f t="shared" si="38"/>
        <v>0</v>
      </c>
      <c r="I122" s="550">
        <f t="shared" si="39"/>
        <v>0</v>
      </c>
      <c r="J122" s="556"/>
      <c r="K122">
        <v>0</v>
      </c>
      <c r="L122">
        <f t="shared" si="40"/>
        <v>1</v>
      </c>
    </row>
    <row r="123" spans="1:12">
      <c r="A123">
        <v>16</v>
      </c>
      <c r="B123" s="489" t="str">
        <f>N$3</f>
        <v>QD1</v>
      </c>
      <c r="C123" s="489" t="str">
        <f t="shared" si="51"/>
        <v>Quad</v>
      </c>
      <c r="D123" s="489">
        <f t="shared" si="51"/>
        <v>0.43804999999999999</v>
      </c>
      <c r="E123" s="489">
        <f t="shared" si="51"/>
        <v>0</v>
      </c>
      <c r="F123" s="489"/>
      <c r="G123" s="550">
        <f t="shared" si="37"/>
        <v>0</v>
      </c>
      <c r="H123" s="550">
        <f t="shared" si="38"/>
        <v>0</v>
      </c>
      <c r="I123" s="550">
        <f t="shared" si="39"/>
        <v>0</v>
      </c>
      <c r="J123" s="556"/>
      <c r="K123">
        <v>0</v>
      </c>
      <c r="L123">
        <f t="shared" si="40"/>
        <v>1</v>
      </c>
    </row>
    <row r="124" spans="1:12">
      <c r="A124">
        <v>16</v>
      </c>
      <c r="B124" s="489" t="str">
        <f>N$4</f>
        <v>QF2</v>
      </c>
      <c r="C124" s="489" t="str">
        <f>O$4</f>
        <v>Quad</v>
      </c>
      <c r="D124" s="489">
        <f>P$4</f>
        <v>0.94340999999999997</v>
      </c>
      <c r="E124" s="489">
        <f>Q$4</f>
        <v>0.39100748841534999</v>
      </c>
      <c r="F124" s="489"/>
      <c r="G124" s="550">
        <f t="shared" si="37"/>
        <v>0</v>
      </c>
      <c r="H124" s="550">
        <f t="shared" si="38"/>
        <v>0</v>
      </c>
      <c r="I124" s="550">
        <f t="shared" si="39"/>
        <v>0</v>
      </c>
      <c r="J124" s="556"/>
      <c r="K124">
        <v>-1.3521E-3</v>
      </c>
      <c r="L124">
        <f t="shared" si="40"/>
        <v>0.99864790000000003</v>
      </c>
    </row>
    <row r="125" spans="1:12">
      <c r="A125">
        <v>16</v>
      </c>
      <c r="B125" s="489" t="str">
        <f>N$5</f>
        <v>QD3</v>
      </c>
      <c r="C125" s="489" t="str">
        <f>O$5</f>
        <v>Quad</v>
      </c>
      <c r="D125" s="489">
        <f>P$5</f>
        <v>0.53366999999999998</v>
      </c>
      <c r="E125" s="489">
        <f>Q$5</f>
        <v>-0.603553432914813</v>
      </c>
      <c r="F125" s="489"/>
      <c r="G125" s="550">
        <f t="shared" si="37"/>
        <v>0</v>
      </c>
      <c r="H125" s="550">
        <f t="shared" si="38"/>
        <v>0</v>
      </c>
      <c r="I125" s="550">
        <f t="shared" si="39"/>
        <v>0</v>
      </c>
      <c r="J125" s="556"/>
      <c r="K125">
        <v>9.8166000000000008E-4</v>
      </c>
      <c r="L125">
        <f t="shared" si="40"/>
        <v>1.0009816600000001</v>
      </c>
    </row>
    <row r="126" spans="1:12">
      <c r="A126">
        <v>16</v>
      </c>
      <c r="B126" s="489" t="str">
        <f>N$6</f>
        <v>QD4</v>
      </c>
      <c r="C126" s="489" t="str">
        <f>O$6</f>
        <v>Quad</v>
      </c>
      <c r="D126" s="489">
        <f>P$6</f>
        <v>0.42210999999999999</v>
      </c>
      <c r="E126" s="489">
        <f>Q$6</f>
        <v>-0.60152556163972903</v>
      </c>
      <c r="F126" s="489"/>
      <c r="G126" s="550">
        <f t="shared" si="37"/>
        <v>0</v>
      </c>
      <c r="H126" s="550">
        <f t="shared" si="38"/>
        <v>0</v>
      </c>
      <c r="I126" s="550">
        <f t="shared" si="39"/>
        <v>0</v>
      </c>
      <c r="J126" s="556"/>
      <c r="K126">
        <v>8.0356000000000004E-4</v>
      </c>
      <c r="L126">
        <f t="shared" si="40"/>
        <v>1.00080356</v>
      </c>
    </row>
    <row r="127" spans="1:12">
      <c r="A127">
        <v>16</v>
      </c>
      <c r="B127" s="489" t="str">
        <f>N$7</f>
        <v>QF5</v>
      </c>
      <c r="C127" s="489" t="str">
        <f t="shared" ref="C127:E128" si="52">O$7</f>
        <v>Quad</v>
      </c>
      <c r="D127" s="489">
        <f t="shared" si="52"/>
        <v>0.51961999999999997</v>
      </c>
      <c r="E127" s="489">
        <f t="shared" si="52"/>
        <v>0.73458675277149998</v>
      </c>
      <c r="F127" s="489"/>
      <c r="G127" s="550">
        <f t="shared" si="37"/>
        <v>0</v>
      </c>
      <c r="H127" s="550">
        <f t="shared" si="38"/>
        <v>0</v>
      </c>
      <c r="I127" s="550">
        <f t="shared" si="39"/>
        <v>0</v>
      </c>
      <c r="J127" s="556"/>
      <c r="K127">
        <v>-3.9997999999999998E-4</v>
      </c>
      <c r="L127">
        <f t="shared" si="40"/>
        <v>0.99960002000000003</v>
      </c>
    </row>
    <row r="128" spans="1:12">
      <c r="A128">
        <v>16</v>
      </c>
      <c r="B128" s="489" t="str">
        <f>N$7</f>
        <v>QF5</v>
      </c>
      <c r="C128" s="489" t="str">
        <f t="shared" si="52"/>
        <v>Quad</v>
      </c>
      <c r="D128" s="489">
        <f t="shared" si="52"/>
        <v>0.51961999999999997</v>
      </c>
      <c r="E128" s="489">
        <f t="shared" si="52"/>
        <v>0.73458675277149998</v>
      </c>
      <c r="F128" s="489"/>
      <c r="G128" s="550">
        <f t="shared" si="37"/>
        <v>0</v>
      </c>
      <c r="H128" s="550">
        <f t="shared" si="38"/>
        <v>0</v>
      </c>
      <c r="I128" s="550">
        <f t="shared" si="39"/>
        <v>0</v>
      </c>
      <c r="J128" s="556"/>
      <c r="K128">
        <v>-5.0014999999999999E-4</v>
      </c>
      <c r="L128">
        <f t="shared" si="40"/>
        <v>0.99949984999999997</v>
      </c>
    </row>
    <row r="129" spans="1:12">
      <c r="A129">
        <v>16</v>
      </c>
      <c r="B129" s="489" t="str">
        <f>N$6</f>
        <v>QD4</v>
      </c>
      <c r="C129" s="489" t="str">
        <f>O$6</f>
        <v>Quad</v>
      </c>
      <c r="D129" s="489">
        <f>P$6</f>
        <v>0.42210999999999999</v>
      </c>
      <c r="E129" s="489">
        <f>Q$6</f>
        <v>-0.60152556163972903</v>
      </c>
      <c r="F129" s="489"/>
      <c r="G129" s="550">
        <f t="shared" si="37"/>
        <v>0</v>
      </c>
      <c r="H129" s="550">
        <f t="shared" si="38"/>
        <v>0</v>
      </c>
      <c r="I129" s="550">
        <f t="shared" si="39"/>
        <v>0</v>
      </c>
      <c r="J129" s="556"/>
      <c r="K129">
        <v>1.1412E-3</v>
      </c>
      <c r="L129">
        <f t="shared" si="40"/>
        <v>1.0011412</v>
      </c>
    </row>
    <row r="130" spans="1:12">
      <c r="A130">
        <v>16</v>
      </c>
      <c r="B130" s="489" t="str">
        <f>N$8</f>
        <v>QD6</v>
      </c>
      <c r="C130" s="489" t="str">
        <f>O$8</f>
        <v>Quad</v>
      </c>
      <c r="D130" s="489">
        <f>P$8</f>
        <v>0.51900999999999997</v>
      </c>
      <c r="E130" s="489">
        <f>Q$8</f>
        <v>-0.81881189216874428</v>
      </c>
      <c r="F130" s="489"/>
      <c r="G130" s="550">
        <f t="shared" si="37"/>
        <v>0</v>
      </c>
      <c r="H130" s="550">
        <f t="shared" si="38"/>
        <v>0</v>
      </c>
      <c r="I130" s="550">
        <f t="shared" si="39"/>
        <v>0</v>
      </c>
      <c r="J130" s="556"/>
      <c r="K130">
        <v>1.1787E-3</v>
      </c>
      <c r="L130">
        <f t="shared" si="40"/>
        <v>1.0011787000000001</v>
      </c>
    </row>
    <row r="131" spans="1:12">
      <c r="A131">
        <v>16</v>
      </c>
      <c r="B131" s="489" t="str">
        <f>N$9</f>
        <v>QF7</v>
      </c>
      <c r="C131" s="489" t="str">
        <f>O$9</f>
        <v>Quad</v>
      </c>
      <c r="D131" s="489">
        <f>P$9</f>
        <v>0.92432000000000003</v>
      </c>
      <c r="E131" s="489">
        <f>Q$9</f>
        <v>0.68156622009687096</v>
      </c>
      <c r="F131" s="489"/>
      <c r="G131" s="550">
        <f t="shared" si="37"/>
        <v>0</v>
      </c>
      <c r="H131" s="550">
        <f t="shared" si="38"/>
        <v>0</v>
      </c>
      <c r="I131" s="550">
        <f t="shared" si="39"/>
        <v>0</v>
      </c>
      <c r="J131" s="556"/>
      <c r="K131" s="247">
        <v>8.6697E-5</v>
      </c>
      <c r="L131">
        <f t="shared" si="40"/>
        <v>1.000086697</v>
      </c>
    </row>
    <row r="132" spans="1:12">
      <c r="A132">
        <v>16</v>
      </c>
      <c r="B132" s="489" t="str">
        <f>N$10</f>
        <v>QD8</v>
      </c>
      <c r="C132" s="489" t="str">
        <f t="shared" ref="C132:E133" si="53">O$10</f>
        <v>Quad</v>
      </c>
      <c r="D132" s="489">
        <f t="shared" si="53"/>
        <v>0.43420999999999998</v>
      </c>
      <c r="E132" s="489">
        <f t="shared" si="53"/>
        <v>0</v>
      </c>
      <c r="F132" s="489"/>
      <c r="G132" s="550">
        <f t="shared" ref="G132:G195" si="54">E132*$P$32</f>
        <v>0</v>
      </c>
      <c r="H132" s="550">
        <f t="shared" ref="H132:H195" si="55">E132*$P$33</f>
        <v>0</v>
      </c>
      <c r="I132" s="550">
        <f t="shared" ref="I132:I195" si="56">E132*$P$34</f>
        <v>0</v>
      </c>
      <c r="J132" s="556"/>
      <c r="K132">
        <v>0</v>
      </c>
      <c r="L132">
        <f t="shared" ref="L132:L195" si="57">1+$K$1*$K132</f>
        <v>1</v>
      </c>
    </row>
    <row r="133" spans="1:12">
      <c r="A133">
        <v>17</v>
      </c>
      <c r="B133" s="489" t="str">
        <f>N$10</f>
        <v>QD8</v>
      </c>
      <c r="C133" s="489" t="str">
        <f t="shared" si="53"/>
        <v>Quad</v>
      </c>
      <c r="D133" s="489">
        <f t="shared" si="53"/>
        <v>0.43420999999999998</v>
      </c>
      <c r="E133" s="489">
        <f t="shared" si="53"/>
        <v>0</v>
      </c>
      <c r="F133" s="489"/>
      <c r="G133" s="550">
        <f t="shared" si="54"/>
        <v>0</v>
      </c>
      <c r="H133" s="550">
        <f t="shared" si="55"/>
        <v>0</v>
      </c>
      <c r="I133" s="550">
        <f t="shared" si="56"/>
        <v>0</v>
      </c>
      <c r="J133" s="556"/>
      <c r="K133">
        <v>0</v>
      </c>
      <c r="L133">
        <f t="shared" si="57"/>
        <v>1</v>
      </c>
    </row>
    <row r="134" spans="1:12">
      <c r="A134">
        <v>17</v>
      </c>
      <c r="B134" s="489" t="str">
        <f>N$9</f>
        <v>QF7</v>
      </c>
      <c r="C134" s="489" t="str">
        <f>O$9</f>
        <v>Quad</v>
      </c>
      <c r="D134" s="489">
        <f>P$9</f>
        <v>0.92432000000000003</v>
      </c>
      <c r="E134" s="489">
        <f>Q$9</f>
        <v>0.68156622009687096</v>
      </c>
      <c r="F134" s="489"/>
      <c r="G134" s="550">
        <f t="shared" si="54"/>
        <v>0</v>
      </c>
      <c r="H134" s="550">
        <f t="shared" si="55"/>
        <v>0</v>
      </c>
      <c r="I134" s="550">
        <f t="shared" si="56"/>
        <v>0</v>
      </c>
      <c r="J134" s="556"/>
      <c r="K134">
        <v>1.4959999999999999E-3</v>
      </c>
      <c r="L134">
        <f t="shared" si="57"/>
        <v>1.0014959999999999</v>
      </c>
    </row>
    <row r="135" spans="1:12">
      <c r="A135">
        <v>17</v>
      </c>
      <c r="B135" s="489" t="str">
        <f>N$8</f>
        <v>QD6</v>
      </c>
      <c r="C135" s="489" t="str">
        <f>O$8</f>
        <v>Quad</v>
      </c>
      <c r="D135" s="489">
        <f>P$8</f>
        <v>0.51900999999999997</v>
      </c>
      <c r="E135" s="489">
        <f>Q$8</f>
        <v>-0.81881189216874428</v>
      </c>
      <c r="F135" s="489"/>
      <c r="G135" s="550">
        <f t="shared" si="54"/>
        <v>0</v>
      </c>
      <c r="H135" s="550">
        <f t="shared" si="55"/>
        <v>0</v>
      </c>
      <c r="I135" s="550">
        <f t="shared" si="56"/>
        <v>0</v>
      </c>
      <c r="J135" s="556"/>
      <c r="K135">
        <v>-1.0766E-3</v>
      </c>
      <c r="L135">
        <f t="shared" si="57"/>
        <v>0.99892340000000002</v>
      </c>
    </row>
    <row r="136" spans="1:12">
      <c r="A136">
        <v>17</v>
      </c>
      <c r="B136" s="489" t="str">
        <f>N$6</f>
        <v>QD4</v>
      </c>
      <c r="C136" s="489" t="str">
        <f>O$6</f>
        <v>Quad</v>
      </c>
      <c r="D136" s="489">
        <f>P$6</f>
        <v>0.42210999999999999</v>
      </c>
      <c r="E136" s="489">
        <f>Q$6</f>
        <v>-0.60152556163972903</v>
      </c>
      <c r="F136" s="489"/>
      <c r="G136" s="550">
        <f t="shared" si="54"/>
        <v>0</v>
      </c>
      <c r="H136" s="550">
        <f t="shared" si="55"/>
        <v>0</v>
      </c>
      <c r="I136" s="550">
        <f t="shared" si="56"/>
        <v>0</v>
      </c>
      <c r="J136" s="556"/>
      <c r="K136">
        <v>-5.3437999999999999E-4</v>
      </c>
      <c r="L136">
        <f t="shared" si="57"/>
        <v>0.99946562000000005</v>
      </c>
    </row>
    <row r="137" spans="1:12">
      <c r="A137">
        <v>17</v>
      </c>
      <c r="B137" s="489" t="str">
        <f>N$7</f>
        <v>QF5</v>
      </c>
      <c r="C137" s="489" t="str">
        <f t="shared" ref="C137:E138" si="58">O$7</f>
        <v>Quad</v>
      </c>
      <c r="D137" s="489">
        <f t="shared" si="58"/>
        <v>0.51961999999999997</v>
      </c>
      <c r="E137" s="489">
        <f t="shared" si="58"/>
        <v>0.73458675277149998</v>
      </c>
      <c r="F137" s="489"/>
      <c r="G137" s="550">
        <f t="shared" si="54"/>
        <v>0</v>
      </c>
      <c r="H137" s="550">
        <f t="shared" si="55"/>
        <v>0</v>
      </c>
      <c r="I137" s="550">
        <f t="shared" si="56"/>
        <v>0</v>
      </c>
      <c r="J137" s="556"/>
      <c r="K137">
        <v>2.5552000000000002E-4</v>
      </c>
      <c r="L137">
        <f t="shared" si="57"/>
        <v>1.0002555200000001</v>
      </c>
    </row>
    <row r="138" spans="1:12">
      <c r="A138">
        <v>17</v>
      </c>
      <c r="B138" s="489" t="str">
        <f>N$7</f>
        <v>QF5</v>
      </c>
      <c r="C138" s="489" t="str">
        <f t="shared" si="58"/>
        <v>Quad</v>
      </c>
      <c r="D138" s="489">
        <f t="shared" si="58"/>
        <v>0.51961999999999997</v>
      </c>
      <c r="E138" s="489">
        <f t="shared" si="58"/>
        <v>0.73458675277149998</v>
      </c>
      <c r="F138" s="489"/>
      <c r="G138" s="550">
        <f t="shared" si="54"/>
        <v>0</v>
      </c>
      <c r="H138" s="550">
        <f t="shared" si="55"/>
        <v>0</v>
      </c>
      <c r="I138" s="550">
        <f t="shared" si="56"/>
        <v>0</v>
      </c>
      <c r="J138" s="556"/>
      <c r="K138">
        <v>1.9321E-4</v>
      </c>
      <c r="L138">
        <f t="shared" si="57"/>
        <v>1.0001932099999999</v>
      </c>
    </row>
    <row r="139" spans="1:12">
      <c r="A139">
        <v>17</v>
      </c>
      <c r="B139" s="489" t="str">
        <f>N$6</f>
        <v>QD4</v>
      </c>
      <c r="C139" s="489" t="str">
        <f>O$6</f>
        <v>Quad</v>
      </c>
      <c r="D139" s="489">
        <f>P$6</f>
        <v>0.42210999999999999</v>
      </c>
      <c r="E139" s="489">
        <f>Q$6</f>
        <v>-0.60152556163972903</v>
      </c>
      <c r="F139" s="489"/>
      <c r="G139" s="550">
        <f t="shared" si="54"/>
        <v>0</v>
      </c>
      <c r="H139" s="550">
        <f t="shared" si="55"/>
        <v>0</v>
      </c>
      <c r="I139" s="550">
        <f t="shared" si="56"/>
        <v>0</v>
      </c>
      <c r="J139" s="556"/>
      <c r="K139">
        <v>-1.8405E-4</v>
      </c>
      <c r="L139">
        <f t="shared" si="57"/>
        <v>0.99981595000000001</v>
      </c>
    </row>
    <row r="140" spans="1:12">
      <c r="A140">
        <v>17</v>
      </c>
      <c r="B140" s="489" t="str">
        <f>N$5</f>
        <v>QD3</v>
      </c>
      <c r="C140" s="489" t="str">
        <f>O$5</f>
        <v>Quad</v>
      </c>
      <c r="D140" s="489">
        <f>P$5</f>
        <v>0.53366999999999998</v>
      </c>
      <c r="E140" s="489">
        <f>Q$5</f>
        <v>-0.603553432914813</v>
      </c>
      <c r="F140" s="489"/>
      <c r="G140" s="550">
        <f t="shared" si="54"/>
        <v>0</v>
      </c>
      <c r="H140" s="550">
        <f t="shared" si="55"/>
        <v>0</v>
      </c>
      <c r="I140" s="550">
        <f t="shared" si="56"/>
        <v>0</v>
      </c>
      <c r="J140" s="556"/>
      <c r="K140" s="247">
        <v>9.8651000000000001E-5</v>
      </c>
      <c r="L140">
        <f t="shared" si="57"/>
        <v>1.0000986510000001</v>
      </c>
    </row>
    <row r="141" spans="1:12">
      <c r="A141">
        <v>17</v>
      </c>
      <c r="B141" s="489" t="str">
        <f>N$4</f>
        <v>QF2</v>
      </c>
      <c r="C141" s="489" t="str">
        <f>O$4</f>
        <v>Quad</v>
      </c>
      <c r="D141" s="489">
        <f>P$4</f>
        <v>0.94340999999999997</v>
      </c>
      <c r="E141" s="489">
        <f>Q$4</f>
        <v>0.39100748841534999</v>
      </c>
      <c r="F141" s="489"/>
      <c r="G141" s="550">
        <f t="shared" si="54"/>
        <v>0</v>
      </c>
      <c r="H141" s="550">
        <f t="shared" si="55"/>
        <v>0</v>
      </c>
      <c r="I141" s="550">
        <f t="shared" si="56"/>
        <v>0</v>
      </c>
      <c r="J141" s="556"/>
      <c r="K141">
        <v>-7.9721999999999996E-4</v>
      </c>
      <c r="L141">
        <f t="shared" si="57"/>
        <v>0.99920277999999996</v>
      </c>
    </row>
    <row r="142" spans="1:12">
      <c r="A142">
        <v>17</v>
      </c>
      <c r="B142" s="489" t="str">
        <f>N$3</f>
        <v>QD1</v>
      </c>
      <c r="C142" s="489" t="str">
        <f t="shared" ref="C142:E143" si="59">O$3</f>
        <v>Quad</v>
      </c>
      <c r="D142" s="489">
        <f t="shared" si="59"/>
        <v>0.43804999999999999</v>
      </c>
      <c r="E142" s="489">
        <f t="shared" si="59"/>
        <v>0</v>
      </c>
      <c r="F142" s="489"/>
      <c r="G142" s="550">
        <f t="shared" si="54"/>
        <v>0</v>
      </c>
      <c r="H142" s="550">
        <f t="shared" si="55"/>
        <v>0</v>
      </c>
      <c r="I142" s="550">
        <f t="shared" si="56"/>
        <v>0</v>
      </c>
      <c r="J142" s="556"/>
      <c r="K142">
        <v>0</v>
      </c>
      <c r="L142">
        <f t="shared" si="57"/>
        <v>1</v>
      </c>
    </row>
    <row r="143" spans="1:12">
      <c r="A143">
        <v>18</v>
      </c>
      <c r="B143" s="489" t="str">
        <f>N$3</f>
        <v>QD1</v>
      </c>
      <c r="C143" s="489" t="str">
        <f t="shared" si="59"/>
        <v>Quad</v>
      </c>
      <c r="D143" s="489">
        <f t="shared" si="59"/>
        <v>0.43804999999999999</v>
      </c>
      <c r="E143" s="489">
        <f t="shared" si="59"/>
        <v>0</v>
      </c>
      <c r="F143" s="489"/>
      <c r="G143" s="550">
        <f t="shared" si="54"/>
        <v>0</v>
      </c>
      <c r="H143" s="550">
        <f t="shared" si="55"/>
        <v>0</v>
      </c>
      <c r="I143" s="550">
        <f t="shared" si="56"/>
        <v>0</v>
      </c>
      <c r="J143" s="556"/>
      <c r="K143">
        <v>0</v>
      </c>
      <c r="L143">
        <f t="shared" si="57"/>
        <v>1</v>
      </c>
    </row>
    <row r="144" spans="1:12">
      <c r="A144">
        <v>18</v>
      </c>
      <c r="B144" s="489" t="str">
        <f>N$4</f>
        <v>QF2</v>
      </c>
      <c r="C144" s="489" t="str">
        <f>O$4</f>
        <v>Quad</v>
      </c>
      <c r="D144" s="489">
        <f>P$4</f>
        <v>0.94340999999999997</v>
      </c>
      <c r="E144" s="489">
        <f>Q$4</f>
        <v>0.39100748841534999</v>
      </c>
      <c r="F144" s="489"/>
      <c r="G144" s="550">
        <f t="shared" si="54"/>
        <v>0</v>
      </c>
      <c r="H144" s="550">
        <f t="shared" si="55"/>
        <v>0</v>
      </c>
      <c r="I144" s="550">
        <f t="shared" si="56"/>
        <v>0</v>
      </c>
      <c r="J144" s="556"/>
      <c r="K144">
        <v>-3.1436000000000002E-4</v>
      </c>
      <c r="L144">
        <f t="shared" si="57"/>
        <v>0.99968564000000004</v>
      </c>
    </row>
    <row r="145" spans="1:12">
      <c r="A145">
        <v>18</v>
      </c>
      <c r="B145" s="489" t="str">
        <f>N$5</f>
        <v>QD3</v>
      </c>
      <c r="C145" s="489" t="str">
        <f>O$5</f>
        <v>Quad</v>
      </c>
      <c r="D145" s="489">
        <f>P$5</f>
        <v>0.53366999999999998</v>
      </c>
      <c r="E145" s="489">
        <f>Q$5</f>
        <v>-0.603553432914813</v>
      </c>
      <c r="F145" s="489"/>
      <c r="G145" s="550">
        <f t="shared" si="54"/>
        <v>0</v>
      </c>
      <c r="H145" s="550">
        <f t="shared" si="55"/>
        <v>0</v>
      </c>
      <c r="I145" s="550">
        <f t="shared" si="56"/>
        <v>0</v>
      </c>
      <c r="J145" s="556"/>
      <c r="K145" s="247">
        <v>-7.3528999999999993E-5</v>
      </c>
      <c r="L145">
        <f t="shared" si="57"/>
        <v>0.99992647099999998</v>
      </c>
    </row>
    <row r="146" spans="1:12">
      <c r="A146">
        <v>18</v>
      </c>
      <c r="B146" s="489" t="str">
        <f>N$6</f>
        <v>QD4</v>
      </c>
      <c r="C146" s="489" t="str">
        <f>O$6</f>
        <v>Quad</v>
      </c>
      <c r="D146" s="489">
        <f>P$6</f>
        <v>0.42210999999999999</v>
      </c>
      <c r="E146" s="489">
        <f>Q$6</f>
        <v>-0.60152556163972903</v>
      </c>
      <c r="F146" s="489"/>
      <c r="G146" s="550">
        <f t="shared" si="54"/>
        <v>0</v>
      </c>
      <c r="H146" s="550">
        <f t="shared" si="55"/>
        <v>0</v>
      </c>
      <c r="I146" s="550">
        <f t="shared" si="56"/>
        <v>0</v>
      </c>
      <c r="J146" s="556"/>
      <c r="K146">
        <v>1.1984E-4</v>
      </c>
      <c r="L146">
        <f t="shared" si="57"/>
        <v>1.00011984</v>
      </c>
    </row>
    <row r="147" spans="1:12">
      <c r="A147">
        <v>18</v>
      </c>
      <c r="B147" s="489" t="str">
        <f>N$7</f>
        <v>QF5</v>
      </c>
      <c r="C147" s="489" t="str">
        <f t="shared" ref="C147:E148" si="60">O$7</f>
        <v>Quad</v>
      </c>
      <c r="D147" s="489">
        <f t="shared" si="60"/>
        <v>0.51961999999999997</v>
      </c>
      <c r="E147" s="489">
        <f t="shared" si="60"/>
        <v>0.73458675277149998</v>
      </c>
      <c r="F147" s="489"/>
      <c r="G147" s="550">
        <f t="shared" si="54"/>
        <v>0</v>
      </c>
      <c r="H147" s="550">
        <f t="shared" si="55"/>
        <v>0</v>
      </c>
      <c r="I147" s="550">
        <f t="shared" si="56"/>
        <v>0</v>
      </c>
      <c r="J147" s="556"/>
      <c r="K147">
        <v>-1.2306E-4</v>
      </c>
      <c r="L147">
        <f t="shared" si="57"/>
        <v>0.99987694000000005</v>
      </c>
    </row>
    <row r="148" spans="1:12">
      <c r="A148">
        <v>18</v>
      </c>
      <c r="B148" s="489" t="str">
        <f>N$7</f>
        <v>QF5</v>
      </c>
      <c r="C148" s="489" t="str">
        <f t="shared" si="60"/>
        <v>Quad</v>
      </c>
      <c r="D148" s="489">
        <f t="shared" si="60"/>
        <v>0.51961999999999997</v>
      </c>
      <c r="E148" s="489">
        <f t="shared" si="60"/>
        <v>0.73458675277149998</v>
      </c>
      <c r="F148" s="489"/>
      <c r="G148" s="550">
        <f t="shared" si="54"/>
        <v>0</v>
      </c>
      <c r="H148" s="550">
        <f t="shared" si="55"/>
        <v>0</v>
      </c>
      <c r="I148" s="550">
        <f t="shared" si="56"/>
        <v>0</v>
      </c>
      <c r="J148" s="556"/>
      <c r="K148">
        <v>-2.299E-4</v>
      </c>
      <c r="L148">
        <f t="shared" si="57"/>
        <v>0.99977009999999999</v>
      </c>
    </row>
    <row r="149" spans="1:12">
      <c r="A149">
        <v>18</v>
      </c>
      <c r="B149" s="489" t="str">
        <f>N$6</f>
        <v>QD4</v>
      </c>
      <c r="C149" s="489" t="str">
        <f>O$6</f>
        <v>Quad</v>
      </c>
      <c r="D149" s="489">
        <f>P$6</f>
        <v>0.42210999999999999</v>
      </c>
      <c r="E149" s="489">
        <f>Q$6</f>
        <v>-0.60152556163972903</v>
      </c>
      <c r="F149" s="489"/>
      <c r="G149" s="550">
        <f t="shared" si="54"/>
        <v>0</v>
      </c>
      <c r="H149" s="550">
        <f t="shared" si="55"/>
        <v>0</v>
      </c>
      <c r="I149" s="550">
        <f t="shared" si="56"/>
        <v>0</v>
      </c>
      <c r="J149" s="556"/>
      <c r="K149">
        <v>4.7691999999999998E-4</v>
      </c>
      <c r="L149">
        <f t="shared" si="57"/>
        <v>1.0004769200000001</v>
      </c>
    </row>
    <row r="150" spans="1:12">
      <c r="A150">
        <v>18</v>
      </c>
      <c r="B150" s="489" t="str">
        <f>N$8</f>
        <v>QD6</v>
      </c>
      <c r="C150" s="489" t="str">
        <f>O$8</f>
        <v>Quad</v>
      </c>
      <c r="D150" s="489">
        <f>P$8</f>
        <v>0.51900999999999997</v>
      </c>
      <c r="E150" s="489">
        <f>Q$8</f>
        <v>-0.81881189216874428</v>
      </c>
      <c r="F150" s="489"/>
      <c r="G150" s="550">
        <f t="shared" si="54"/>
        <v>0</v>
      </c>
      <c r="H150" s="550">
        <f t="shared" si="55"/>
        <v>0</v>
      </c>
      <c r="I150" s="550">
        <f t="shared" si="56"/>
        <v>0</v>
      </c>
      <c r="J150" s="556"/>
      <c r="K150">
        <v>5.5862000000000001E-4</v>
      </c>
      <c r="L150">
        <f t="shared" si="57"/>
        <v>1.0005586200000001</v>
      </c>
    </row>
    <row r="151" spans="1:12">
      <c r="A151">
        <v>18</v>
      </c>
      <c r="B151" s="489" t="str">
        <f>N$9</f>
        <v>QF7</v>
      </c>
      <c r="C151" s="489" t="str">
        <f>O$9</f>
        <v>Quad</v>
      </c>
      <c r="D151" s="489">
        <f>P$9</f>
        <v>0.92432000000000003</v>
      </c>
      <c r="E151" s="489">
        <f>Q$9</f>
        <v>0.68156622009687096</v>
      </c>
      <c r="F151" s="489"/>
      <c r="G151" s="550">
        <f t="shared" si="54"/>
        <v>0</v>
      </c>
      <c r="H151" s="550">
        <f t="shared" si="55"/>
        <v>0</v>
      </c>
      <c r="I151" s="550">
        <f t="shared" si="56"/>
        <v>0</v>
      </c>
      <c r="J151" s="556"/>
      <c r="K151">
        <v>4.1494999999999998E-4</v>
      </c>
      <c r="L151">
        <f t="shared" si="57"/>
        <v>1.0004149499999999</v>
      </c>
    </row>
    <row r="152" spans="1:12">
      <c r="A152">
        <v>18</v>
      </c>
      <c r="B152" s="489" t="str">
        <f>N$10</f>
        <v>QD8</v>
      </c>
      <c r="C152" s="489" t="str">
        <f t="shared" ref="C152:E153" si="61">O$10</f>
        <v>Quad</v>
      </c>
      <c r="D152" s="489">
        <f t="shared" si="61"/>
        <v>0.43420999999999998</v>
      </c>
      <c r="E152" s="489">
        <f t="shared" si="61"/>
        <v>0</v>
      </c>
      <c r="F152" s="489"/>
      <c r="G152" s="550">
        <f t="shared" si="54"/>
        <v>0</v>
      </c>
      <c r="H152" s="550">
        <f t="shared" si="55"/>
        <v>0</v>
      </c>
      <c r="I152" s="550">
        <f t="shared" si="56"/>
        <v>0</v>
      </c>
      <c r="J152" s="556"/>
      <c r="K152">
        <v>0</v>
      </c>
      <c r="L152">
        <f t="shared" si="57"/>
        <v>1</v>
      </c>
    </row>
    <row r="153" spans="1:12">
      <c r="A153">
        <v>19</v>
      </c>
      <c r="B153" s="489" t="str">
        <f>N$10</f>
        <v>QD8</v>
      </c>
      <c r="C153" s="489" t="str">
        <f t="shared" si="61"/>
        <v>Quad</v>
      </c>
      <c r="D153" s="489">
        <f t="shared" si="61"/>
        <v>0.43420999999999998</v>
      </c>
      <c r="E153" s="489">
        <f t="shared" si="61"/>
        <v>0</v>
      </c>
      <c r="F153" s="489"/>
      <c r="G153" s="550">
        <f t="shared" si="54"/>
        <v>0</v>
      </c>
      <c r="H153" s="550">
        <f t="shared" si="55"/>
        <v>0</v>
      </c>
      <c r="I153" s="550">
        <f t="shared" si="56"/>
        <v>0</v>
      </c>
      <c r="J153" s="556"/>
      <c r="K153">
        <v>0</v>
      </c>
      <c r="L153">
        <f t="shared" si="57"/>
        <v>1</v>
      </c>
    </row>
    <row r="154" spans="1:12">
      <c r="A154">
        <v>19</v>
      </c>
      <c r="B154" s="489" t="str">
        <f>N$9</f>
        <v>QF7</v>
      </c>
      <c r="C154" s="489" t="str">
        <f>O$9</f>
        <v>Quad</v>
      </c>
      <c r="D154" s="489">
        <f>P$9</f>
        <v>0.92432000000000003</v>
      </c>
      <c r="E154" s="489">
        <f>Q$9</f>
        <v>0.68156622009687096</v>
      </c>
      <c r="F154" s="489"/>
      <c r="G154" s="550">
        <f t="shared" si="54"/>
        <v>0</v>
      </c>
      <c r="H154" s="550">
        <f t="shared" si="55"/>
        <v>0</v>
      </c>
      <c r="I154" s="550">
        <f t="shared" si="56"/>
        <v>0</v>
      </c>
      <c r="J154" s="556"/>
      <c r="K154">
        <v>2.0447999999999998E-3</v>
      </c>
      <c r="L154">
        <f t="shared" si="57"/>
        <v>1.0020448</v>
      </c>
    </row>
    <row r="155" spans="1:12">
      <c r="A155">
        <v>19</v>
      </c>
      <c r="B155" s="489" t="str">
        <f>N$8</f>
        <v>QD6</v>
      </c>
      <c r="C155" s="489" t="str">
        <f>O$8</f>
        <v>Quad</v>
      </c>
      <c r="D155" s="489">
        <f>P$8</f>
        <v>0.51900999999999997</v>
      </c>
      <c r="E155" s="489">
        <f>Q$8</f>
        <v>-0.81881189216874428</v>
      </c>
      <c r="F155" s="489"/>
      <c r="G155" s="550">
        <f t="shared" si="54"/>
        <v>0</v>
      </c>
      <c r="H155" s="550">
        <f t="shared" si="55"/>
        <v>0</v>
      </c>
      <c r="I155" s="550">
        <f t="shared" si="56"/>
        <v>0</v>
      </c>
      <c r="J155" s="556"/>
      <c r="K155">
        <v>-1.2053000000000001E-3</v>
      </c>
      <c r="L155">
        <f t="shared" si="57"/>
        <v>0.99879470000000004</v>
      </c>
    </row>
    <row r="156" spans="1:12">
      <c r="A156">
        <v>19</v>
      </c>
      <c r="B156" s="489" t="str">
        <f>N$6</f>
        <v>QD4</v>
      </c>
      <c r="C156" s="489" t="str">
        <f>O$6</f>
        <v>Quad</v>
      </c>
      <c r="D156" s="489">
        <f>P$6</f>
        <v>0.42210999999999999</v>
      </c>
      <c r="E156" s="489">
        <f>Q$6</f>
        <v>-0.60152556163972903</v>
      </c>
      <c r="F156" s="489"/>
      <c r="G156" s="550">
        <f t="shared" si="54"/>
        <v>0</v>
      </c>
      <c r="H156" s="550">
        <f t="shared" si="55"/>
        <v>0</v>
      </c>
      <c r="I156" s="550">
        <f t="shared" si="56"/>
        <v>0</v>
      </c>
      <c r="J156" s="556"/>
      <c r="K156">
        <v>-9.3683999999999998E-4</v>
      </c>
      <c r="L156">
        <f t="shared" si="57"/>
        <v>0.99906315999999995</v>
      </c>
    </row>
    <row r="157" spans="1:12">
      <c r="A157">
        <v>19</v>
      </c>
      <c r="B157" s="489" t="str">
        <f>N$7</f>
        <v>QF5</v>
      </c>
      <c r="C157" s="489" t="str">
        <f t="shared" ref="C157:E158" si="62">O$7</f>
        <v>Quad</v>
      </c>
      <c r="D157" s="489">
        <f t="shared" si="62"/>
        <v>0.51961999999999997</v>
      </c>
      <c r="E157" s="489">
        <f t="shared" si="62"/>
        <v>0.73458675277149998</v>
      </c>
      <c r="F157" s="489"/>
      <c r="G157" s="550">
        <f t="shared" si="54"/>
        <v>0</v>
      </c>
      <c r="H157" s="550">
        <f t="shared" si="55"/>
        <v>0</v>
      </c>
      <c r="I157" s="550">
        <f t="shared" si="56"/>
        <v>0</v>
      </c>
      <c r="J157" s="556"/>
      <c r="K157">
        <v>8.9442999999999999E-4</v>
      </c>
      <c r="L157">
        <f t="shared" si="57"/>
        <v>1.00089443</v>
      </c>
    </row>
    <row r="158" spans="1:12">
      <c r="A158">
        <v>19</v>
      </c>
      <c r="B158" s="489" t="str">
        <f>N$7</f>
        <v>QF5</v>
      </c>
      <c r="C158" s="489" t="str">
        <f t="shared" si="62"/>
        <v>Quad</v>
      </c>
      <c r="D158" s="489">
        <f t="shared" si="62"/>
        <v>0.51961999999999997</v>
      </c>
      <c r="E158" s="489">
        <f t="shared" si="62"/>
        <v>0.73458675277149998</v>
      </c>
      <c r="F158" s="489"/>
      <c r="G158" s="550">
        <f t="shared" si="54"/>
        <v>0</v>
      </c>
      <c r="H158" s="550">
        <f t="shared" si="55"/>
        <v>0</v>
      </c>
      <c r="I158" s="550">
        <f t="shared" si="56"/>
        <v>0</v>
      </c>
      <c r="J158" s="556"/>
      <c r="K158">
        <v>7.9106999999999995E-4</v>
      </c>
      <c r="L158">
        <f t="shared" si="57"/>
        <v>1.00079107</v>
      </c>
    </row>
    <row r="159" spans="1:12">
      <c r="A159">
        <v>19</v>
      </c>
      <c r="B159" s="489" t="str">
        <f>N$6</f>
        <v>QD4</v>
      </c>
      <c r="C159" s="489" t="str">
        <f>O$6</f>
        <v>Quad</v>
      </c>
      <c r="D159" s="489">
        <f>P$6</f>
        <v>0.42210999999999999</v>
      </c>
      <c r="E159" s="489">
        <f>Q$6</f>
        <v>-0.60152556163972903</v>
      </c>
      <c r="F159" s="489"/>
      <c r="G159" s="550">
        <f t="shared" si="54"/>
        <v>0</v>
      </c>
      <c r="H159" s="550">
        <f t="shared" si="55"/>
        <v>0</v>
      </c>
      <c r="I159" s="550">
        <f t="shared" si="56"/>
        <v>0</v>
      </c>
      <c r="J159" s="556"/>
      <c r="K159">
        <v>-5.0728000000000004E-4</v>
      </c>
      <c r="L159">
        <f t="shared" si="57"/>
        <v>0.99949272</v>
      </c>
    </row>
    <row r="160" spans="1:12">
      <c r="A160">
        <v>19</v>
      </c>
      <c r="B160" s="489" t="str">
        <f>N$26</f>
        <v>QD3-C20</v>
      </c>
      <c r="C160" s="489" t="str">
        <f>O$26</f>
        <v>Quad</v>
      </c>
      <c r="D160" s="489">
        <f>P$26</f>
        <v>0.53366999999999998</v>
      </c>
      <c r="E160" s="489">
        <f>Q$26</f>
        <v>-0.603553432914813</v>
      </c>
      <c r="F160" s="489"/>
      <c r="G160" s="550">
        <f t="shared" si="54"/>
        <v>0</v>
      </c>
      <c r="H160" s="550">
        <f t="shared" si="55"/>
        <v>0</v>
      </c>
      <c r="I160" s="550">
        <f t="shared" si="56"/>
        <v>0</v>
      </c>
      <c r="J160" s="556"/>
      <c r="K160">
        <v>-2.3034999999999999E-4</v>
      </c>
      <c r="L160">
        <f t="shared" si="57"/>
        <v>0.99976964999999995</v>
      </c>
    </row>
    <row r="161" spans="1:12">
      <c r="A161">
        <v>19</v>
      </c>
      <c r="B161" s="489" t="str">
        <f>N$25</f>
        <v>QF2-C20</v>
      </c>
      <c r="C161" s="489" t="str">
        <f>O$25</f>
        <v>Quad</v>
      </c>
      <c r="D161" s="489">
        <f>P$25</f>
        <v>0.94340999999999997</v>
      </c>
      <c r="E161" s="489">
        <f>Q$25</f>
        <v>0.39100748841534999</v>
      </c>
      <c r="F161" s="489"/>
      <c r="G161" s="550">
        <f t="shared" si="54"/>
        <v>0</v>
      </c>
      <c r="H161" s="550">
        <f t="shared" si="55"/>
        <v>0</v>
      </c>
      <c r="I161" s="550">
        <f t="shared" si="56"/>
        <v>0</v>
      </c>
      <c r="J161" s="556"/>
      <c r="K161">
        <v>2.1090000000000002E-3</v>
      </c>
      <c r="L161">
        <f t="shared" si="57"/>
        <v>1.0021089999999999</v>
      </c>
    </row>
    <row r="162" spans="1:12">
      <c r="A162">
        <v>19</v>
      </c>
      <c r="B162" s="489" t="str">
        <f>N$24</f>
        <v>QD1-C20</v>
      </c>
      <c r="C162" s="489" t="str">
        <f t="shared" ref="C162:E163" si="63">O$24</f>
        <v>Quad</v>
      </c>
      <c r="D162" s="489">
        <f t="shared" si="63"/>
        <v>0.43804999999999999</v>
      </c>
      <c r="E162" s="489">
        <f t="shared" si="63"/>
        <v>0</v>
      </c>
      <c r="F162" s="489"/>
      <c r="G162" s="550">
        <f t="shared" si="54"/>
        <v>0</v>
      </c>
      <c r="H162" s="550">
        <f t="shared" si="55"/>
        <v>0</v>
      </c>
      <c r="I162" s="550">
        <f t="shared" si="56"/>
        <v>0</v>
      </c>
      <c r="J162" s="556"/>
      <c r="K162">
        <v>0</v>
      </c>
      <c r="L162">
        <f t="shared" si="57"/>
        <v>1</v>
      </c>
    </row>
    <row r="163" spans="1:12">
      <c r="A163">
        <v>20</v>
      </c>
      <c r="B163" s="489" t="str">
        <f>N$24</f>
        <v>QD1-C20</v>
      </c>
      <c r="C163" s="489" t="str">
        <f t="shared" si="63"/>
        <v>Quad</v>
      </c>
      <c r="D163" s="489">
        <f t="shared" si="63"/>
        <v>0.43804999999999999</v>
      </c>
      <c r="E163" s="489">
        <f t="shared" si="63"/>
        <v>0</v>
      </c>
      <c r="F163" s="489"/>
      <c r="G163" s="550">
        <f t="shared" si="54"/>
        <v>0</v>
      </c>
      <c r="H163" s="550">
        <f t="shared" si="55"/>
        <v>0</v>
      </c>
      <c r="I163" s="550">
        <f t="shared" si="56"/>
        <v>0</v>
      </c>
      <c r="J163" s="556"/>
      <c r="K163">
        <v>0</v>
      </c>
      <c r="L163">
        <f t="shared" si="57"/>
        <v>1</v>
      </c>
    </row>
    <row r="164" spans="1:12">
      <c r="A164">
        <v>20</v>
      </c>
      <c r="B164" s="489" t="str">
        <f>N$25</f>
        <v>QF2-C20</v>
      </c>
      <c r="C164" s="489" t="str">
        <f>O$25</f>
        <v>Quad</v>
      </c>
      <c r="D164" s="489">
        <f>P$25</f>
        <v>0.94340999999999997</v>
      </c>
      <c r="E164" s="489">
        <f>Q$25</f>
        <v>0.39100748841534999</v>
      </c>
      <c r="F164" s="489"/>
      <c r="G164" s="550">
        <f t="shared" si="54"/>
        <v>0</v>
      </c>
      <c r="H164" s="550">
        <f t="shared" si="55"/>
        <v>0</v>
      </c>
      <c r="I164" s="550">
        <f t="shared" si="56"/>
        <v>0</v>
      </c>
      <c r="J164" s="556"/>
      <c r="K164">
        <v>3.3914000000000001E-3</v>
      </c>
      <c r="L164">
        <f t="shared" si="57"/>
        <v>1.0033913999999999</v>
      </c>
    </row>
    <row r="165" spans="1:12">
      <c r="A165">
        <v>20</v>
      </c>
      <c r="B165" s="489" t="str">
        <f>N$26</f>
        <v>QD3-C20</v>
      </c>
      <c r="C165" s="489" t="str">
        <f>O$26</f>
        <v>Quad</v>
      </c>
      <c r="D165" s="489">
        <f>P$26</f>
        <v>0.53366999999999998</v>
      </c>
      <c r="E165" s="489">
        <f>Q$26</f>
        <v>-0.603553432914813</v>
      </c>
      <c r="F165" s="489"/>
      <c r="G165" s="550">
        <f t="shared" si="54"/>
        <v>0</v>
      </c>
      <c r="H165" s="550">
        <f t="shared" si="55"/>
        <v>0</v>
      </c>
      <c r="I165" s="550">
        <f t="shared" si="56"/>
        <v>0</v>
      </c>
      <c r="J165" s="556"/>
      <c r="K165">
        <v>-8.2494999999999997E-4</v>
      </c>
      <c r="L165">
        <f t="shared" si="57"/>
        <v>0.99917504999999995</v>
      </c>
    </row>
    <row r="166" spans="1:12">
      <c r="A166">
        <v>20</v>
      </c>
      <c r="B166" s="489" t="str">
        <f>N$6</f>
        <v>QD4</v>
      </c>
      <c r="C166" s="489" t="str">
        <f>O$6</f>
        <v>Quad</v>
      </c>
      <c r="D166" s="489">
        <f>P$6</f>
        <v>0.42210999999999999</v>
      </c>
      <c r="E166" s="489">
        <f>Q$6</f>
        <v>-0.60152556163972903</v>
      </c>
      <c r="F166" s="489"/>
      <c r="G166" s="550">
        <f t="shared" si="54"/>
        <v>0</v>
      </c>
      <c r="H166" s="550">
        <f t="shared" si="55"/>
        <v>0</v>
      </c>
      <c r="I166" s="550">
        <f t="shared" si="56"/>
        <v>0</v>
      </c>
      <c r="J166" s="556"/>
      <c r="K166">
        <v>-4.5409999999999998E-4</v>
      </c>
      <c r="L166">
        <f t="shared" si="57"/>
        <v>0.99954589999999999</v>
      </c>
    </row>
    <row r="167" spans="1:12">
      <c r="A167">
        <v>20</v>
      </c>
      <c r="B167" s="489" t="str">
        <f>N$7</f>
        <v>QF5</v>
      </c>
      <c r="C167" s="489" t="str">
        <f t="shared" ref="C167:E168" si="64">O$7</f>
        <v>Quad</v>
      </c>
      <c r="D167" s="489">
        <f t="shared" si="64"/>
        <v>0.51961999999999997</v>
      </c>
      <c r="E167" s="489">
        <f t="shared" si="64"/>
        <v>0.73458675277149998</v>
      </c>
      <c r="F167" s="489"/>
      <c r="G167" s="550">
        <f t="shared" si="54"/>
        <v>0</v>
      </c>
      <c r="H167" s="550">
        <f t="shared" si="55"/>
        <v>0</v>
      </c>
      <c r="I167" s="550">
        <f t="shared" si="56"/>
        <v>0</v>
      </c>
      <c r="J167" s="556"/>
      <c r="K167">
        <v>5.0575000000000001E-4</v>
      </c>
      <c r="L167">
        <f t="shared" si="57"/>
        <v>1.0005057500000001</v>
      </c>
    </row>
    <row r="168" spans="1:12">
      <c r="A168">
        <v>20</v>
      </c>
      <c r="B168" s="489" t="str">
        <f>N$7</f>
        <v>QF5</v>
      </c>
      <c r="C168" s="489" t="str">
        <f t="shared" si="64"/>
        <v>Quad</v>
      </c>
      <c r="D168" s="489">
        <f t="shared" si="64"/>
        <v>0.51961999999999997</v>
      </c>
      <c r="E168" s="489">
        <f t="shared" si="64"/>
        <v>0.73458675277149998</v>
      </c>
      <c r="F168" s="489"/>
      <c r="G168" s="550">
        <f t="shared" si="54"/>
        <v>0</v>
      </c>
      <c r="H168" s="550">
        <f t="shared" si="55"/>
        <v>0</v>
      </c>
      <c r="I168" s="550">
        <f t="shared" si="56"/>
        <v>0</v>
      </c>
      <c r="J168" s="556"/>
      <c r="K168">
        <v>5.4509000000000003E-4</v>
      </c>
      <c r="L168">
        <f t="shared" si="57"/>
        <v>1.0005450899999999</v>
      </c>
    </row>
    <row r="169" spans="1:12">
      <c r="A169">
        <v>20</v>
      </c>
      <c r="B169" s="489" t="str">
        <f>N$6</f>
        <v>QD4</v>
      </c>
      <c r="C169" s="489" t="str">
        <f>O$6</f>
        <v>Quad</v>
      </c>
      <c r="D169" s="489">
        <f>P$6</f>
        <v>0.42210999999999999</v>
      </c>
      <c r="E169" s="489">
        <f>Q$6</f>
        <v>-0.60152556163972903</v>
      </c>
      <c r="F169" s="489"/>
      <c r="G169" s="550">
        <f t="shared" si="54"/>
        <v>0</v>
      </c>
      <c r="H169" s="550">
        <f t="shared" si="55"/>
        <v>0</v>
      </c>
      <c r="I169" s="550">
        <f t="shared" si="56"/>
        <v>0</v>
      </c>
      <c r="J169" s="556"/>
      <c r="K169">
        <v>-5.2285000000000005E-4</v>
      </c>
      <c r="L169">
        <f t="shared" si="57"/>
        <v>0.99947715000000004</v>
      </c>
    </row>
    <row r="170" spans="1:12">
      <c r="A170">
        <v>20</v>
      </c>
      <c r="B170" s="489" t="str">
        <f>N$8</f>
        <v>QD6</v>
      </c>
      <c r="C170" s="489" t="str">
        <f>O$8</f>
        <v>Quad</v>
      </c>
      <c r="D170" s="489">
        <f>P$8</f>
        <v>0.51900999999999997</v>
      </c>
      <c r="E170" s="489">
        <f>Q$8</f>
        <v>-0.81881189216874428</v>
      </c>
      <c r="F170" s="489"/>
      <c r="G170" s="550">
        <f t="shared" si="54"/>
        <v>0</v>
      </c>
      <c r="H170" s="550">
        <f t="shared" si="55"/>
        <v>0</v>
      </c>
      <c r="I170" s="550">
        <f t="shared" si="56"/>
        <v>0</v>
      </c>
      <c r="J170" s="556"/>
      <c r="K170">
        <v>-3.7596999999999999E-4</v>
      </c>
      <c r="L170">
        <f t="shared" si="57"/>
        <v>0.99962403</v>
      </c>
    </row>
    <row r="171" spans="1:12">
      <c r="A171">
        <v>20</v>
      </c>
      <c r="B171" s="489" t="str">
        <f>N$9</f>
        <v>QF7</v>
      </c>
      <c r="C171" s="489" t="str">
        <f>O$9</f>
        <v>Quad</v>
      </c>
      <c r="D171" s="489">
        <f>P$9</f>
        <v>0.92432000000000003</v>
      </c>
      <c r="E171" s="489">
        <f>Q$9</f>
        <v>0.68156622009687096</v>
      </c>
      <c r="F171" s="489"/>
      <c r="G171" s="550">
        <f t="shared" si="54"/>
        <v>0</v>
      </c>
      <c r="H171" s="550">
        <f t="shared" si="55"/>
        <v>0</v>
      </c>
      <c r="I171" s="550">
        <f t="shared" si="56"/>
        <v>0</v>
      </c>
      <c r="J171" s="556"/>
      <c r="K171">
        <v>5.0398999999999995E-4</v>
      </c>
      <c r="L171">
        <f t="shared" si="57"/>
        <v>1.0005039899999999</v>
      </c>
    </row>
    <row r="172" spans="1:12">
      <c r="A172">
        <v>20</v>
      </c>
      <c r="B172" s="489" t="str">
        <f>N$10</f>
        <v>QD8</v>
      </c>
      <c r="C172" s="489" t="str">
        <f t="shared" ref="C172:E173" si="65">O$10</f>
        <v>Quad</v>
      </c>
      <c r="D172" s="489">
        <f t="shared" si="65"/>
        <v>0.43420999999999998</v>
      </c>
      <c r="E172" s="489">
        <f t="shared" si="65"/>
        <v>0</v>
      </c>
      <c r="F172" s="489"/>
      <c r="G172" s="550">
        <f t="shared" si="54"/>
        <v>0</v>
      </c>
      <c r="H172" s="550">
        <f t="shared" si="55"/>
        <v>0</v>
      </c>
      <c r="I172" s="550">
        <f t="shared" si="56"/>
        <v>0</v>
      </c>
      <c r="J172" s="556"/>
      <c r="K172">
        <v>0</v>
      </c>
      <c r="L172">
        <f t="shared" si="57"/>
        <v>1</v>
      </c>
    </row>
    <row r="173" spans="1:12">
      <c r="A173">
        <v>21</v>
      </c>
      <c r="B173" s="489" t="str">
        <f>N$10</f>
        <v>QD8</v>
      </c>
      <c r="C173" s="489" t="str">
        <f t="shared" si="65"/>
        <v>Quad</v>
      </c>
      <c r="D173" s="489">
        <f t="shared" si="65"/>
        <v>0.43420999999999998</v>
      </c>
      <c r="E173" s="489">
        <f t="shared" si="65"/>
        <v>0</v>
      </c>
      <c r="F173" s="489"/>
      <c r="G173" s="550">
        <f t="shared" si="54"/>
        <v>0</v>
      </c>
      <c r="H173" s="550">
        <f t="shared" si="55"/>
        <v>0</v>
      </c>
      <c r="I173" s="550">
        <f t="shared" si="56"/>
        <v>0</v>
      </c>
      <c r="J173" s="556"/>
      <c r="K173">
        <v>0</v>
      </c>
      <c r="L173">
        <f t="shared" si="57"/>
        <v>1</v>
      </c>
    </row>
    <row r="174" spans="1:12">
      <c r="A174">
        <v>21</v>
      </c>
      <c r="B174" s="489" t="str">
        <f>N$9</f>
        <v>QF7</v>
      </c>
      <c r="C174" s="489" t="str">
        <f>O$9</f>
        <v>Quad</v>
      </c>
      <c r="D174" s="489">
        <f>P$9</f>
        <v>0.92432000000000003</v>
      </c>
      <c r="E174" s="489">
        <f>Q$9</f>
        <v>0.68156622009687096</v>
      </c>
      <c r="F174" s="489"/>
      <c r="G174" s="550">
        <f t="shared" si="54"/>
        <v>0</v>
      </c>
      <c r="H174" s="550">
        <f t="shared" si="55"/>
        <v>0</v>
      </c>
      <c r="I174" s="550">
        <f t="shared" si="56"/>
        <v>0</v>
      </c>
      <c r="J174" s="556"/>
      <c r="K174" s="247">
        <v>6.3678999999999998E-5</v>
      </c>
      <c r="L174">
        <f t="shared" si="57"/>
        <v>1.0000636789999999</v>
      </c>
    </row>
    <row r="175" spans="1:12">
      <c r="A175">
        <v>21</v>
      </c>
      <c r="B175" s="489" t="str">
        <f>N$8</f>
        <v>QD6</v>
      </c>
      <c r="C175" s="489" t="str">
        <f>O$8</f>
        <v>Quad</v>
      </c>
      <c r="D175" s="489">
        <f>P$8</f>
        <v>0.51900999999999997</v>
      </c>
      <c r="E175" s="489">
        <f>Q$8</f>
        <v>-0.81881189216874428</v>
      </c>
      <c r="F175" s="489"/>
      <c r="G175" s="550">
        <f t="shared" si="54"/>
        <v>0</v>
      </c>
      <c r="H175" s="550">
        <f t="shared" si="55"/>
        <v>0</v>
      </c>
      <c r="I175" s="550">
        <f t="shared" si="56"/>
        <v>0</v>
      </c>
      <c r="J175" s="556"/>
      <c r="K175">
        <v>2.5961000000000002E-4</v>
      </c>
      <c r="L175">
        <f t="shared" si="57"/>
        <v>1.0002596100000001</v>
      </c>
    </row>
    <row r="176" spans="1:12">
      <c r="A176">
        <v>21</v>
      </c>
      <c r="B176" s="489" t="str">
        <f>N$6</f>
        <v>QD4</v>
      </c>
      <c r="C176" s="489" t="str">
        <f>O$6</f>
        <v>Quad</v>
      </c>
      <c r="D176" s="489">
        <f>P$6</f>
        <v>0.42210999999999999</v>
      </c>
      <c r="E176" s="489">
        <f>Q$6</f>
        <v>-0.60152556163972903</v>
      </c>
      <c r="F176" s="489"/>
      <c r="G176" s="550">
        <f t="shared" si="54"/>
        <v>0</v>
      </c>
      <c r="H176" s="550">
        <f t="shared" si="55"/>
        <v>0</v>
      </c>
      <c r="I176" s="550">
        <f t="shared" si="56"/>
        <v>0</v>
      </c>
      <c r="J176" s="556"/>
      <c r="K176" s="247">
        <v>-2.1529E-5</v>
      </c>
      <c r="L176">
        <f t="shared" si="57"/>
        <v>0.99997847100000004</v>
      </c>
    </row>
    <row r="177" spans="1:12">
      <c r="A177">
        <v>21</v>
      </c>
      <c r="B177" s="489" t="str">
        <f>N$7</f>
        <v>QF5</v>
      </c>
      <c r="C177" s="489" t="str">
        <f t="shared" ref="C177:E178" si="66">O$7</f>
        <v>Quad</v>
      </c>
      <c r="D177" s="489">
        <f t="shared" si="66"/>
        <v>0.51961999999999997</v>
      </c>
      <c r="E177" s="489">
        <f t="shared" si="66"/>
        <v>0.73458675277149998</v>
      </c>
      <c r="F177" s="489"/>
      <c r="G177" s="550">
        <f t="shared" si="54"/>
        <v>0</v>
      </c>
      <c r="H177" s="550">
        <f t="shared" si="55"/>
        <v>0</v>
      </c>
      <c r="I177" s="550">
        <f t="shared" si="56"/>
        <v>0</v>
      </c>
      <c r="J177" s="556"/>
      <c r="K177">
        <v>2.2832000000000001E-4</v>
      </c>
      <c r="L177">
        <f t="shared" si="57"/>
        <v>1.0002283199999999</v>
      </c>
    </row>
    <row r="178" spans="1:12">
      <c r="A178">
        <v>21</v>
      </c>
      <c r="B178" s="489" t="str">
        <f>N$7</f>
        <v>QF5</v>
      </c>
      <c r="C178" s="489" t="str">
        <f t="shared" si="66"/>
        <v>Quad</v>
      </c>
      <c r="D178" s="489">
        <f t="shared" si="66"/>
        <v>0.51961999999999997</v>
      </c>
      <c r="E178" s="489">
        <f t="shared" si="66"/>
        <v>0.73458675277149998</v>
      </c>
      <c r="F178" s="489"/>
      <c r="G178" s="550">
        <f t="shared" si="54"/>
        <v>0</v>
      </c>
      <c r="H178" s="550">
        <f t="shared" si="55"/>
        <v>0</v>
      </c>
      <c r="I178" s="550">
        <f t="shared" si="56"/>
        <v>0</v>
      </c>
      <c r="J178" s="556"/>
      <c r="K178">
        <v>2.5515999999999999E-4</v>
      </c>
      <c r="L178">
        <f t="shared" si="57"/>
        <v>1.00025516</v>
      </c>
    </row>
    <row r="179" spans="1:12">
      <c r="A179">
        <v>21</v>
      </c>
      <c r="B179" s="489" t="str">
        <f>N$6</f>
        <v>QD4</v>
      </c>
      <c r="C179" s="489" t="str">
        <f>O$6</f>
        <v>Quad</v>
      </c>
      <c r="D179" s="489">
        <f>P$6</f>
        <v>0.42210999999999999</v>
      </c>
      <c r="E179" s="489">
        <f>Q$6</f>
        <v>-0.60152556163972903</v>
      </c>
      <c r="F179" s="489"/>
      <c r="G179" s="550">
        <f t="shared" si="54"/>
        <v>0</v>
      </c>
      <c r="H179" s="550">
        <f t="shared" si="55"/>
        <v>0</v>
      </c>
      <c r="I179" s="550">
        <f t="shared" si="56"/>
        <v>0</v>
      </c>
      <c r="J179" s="556"/>
      <c r="K179">
        <v>-1.9567E-4</v>
      </c>
      <c r="L179">
        <f t="shared" si="57"/>
        <v>0.99980433000000002</v>
      </c>
    </row>
    <row r="180" spans="1:12">
      <c r="A180">
        <v>21</v>
      </c>
      <c r="B180" s="489" t="str">
        <f>N$5</f>
        <v>QD3</v>
      </c>
      <c r="C180" s="489" t="str">
        <f>O$5</f>
        <v>Quad</v>
      </c>
      <c r="D180" s="489">
        <f>P$5</f>
        <v>0.53366999999999998</v>
      </c>
      <c r="E180" s="489">
        <f>Q$5</f>
        <v>-0.603553432914813</v>
      </c>
      <c r="F180" s="489"/>
      <c r="G180" s="550">
        <f t="shared" si="54"/>
        <v>0</v>
      </c>
      <c r="H180" s="550">
        <f t="shared" si="55"/>
        <v>0</v>
      </c>
      <c r="I180" s="550">
        <f t="shared" si="56"/>
        <v>0</v>
      </c>
      <c r="J180" s="556"/>
      <c r="K180">
        <v>-4.7467000000000001E-4</v>
      </c>
      <c r="L180">
        <f t="shared" si="57"/>
        <v>0.99952532999999999</v>
      </c>
    </row>
    <row r="181" spans="1:12">
      <c r="A181">
        <v>21</v>
      </c>
      <c r="B181" s="489" t="str">
        <f>N$4</f>
        <v>QF2</v>
      </c>
      <c r="C181" s="489" t="str">
        <f>O$4</f>
        <v>Quad</v>
      </c>
      <c r="D181" s="489">
        <f>P$4</f>
        <v>0.94340999999999997</v>
      </c>
      <c r="E181" s="489">
        <f>Q$4</f>
        <v>0.39100748841534999</v>
      </c>
      <c r="F181" s="489"/>
      <c r="G181" s="550">
        <f t="shared" si="54"/>
        <v>0</v>
      </c>
      <c r="H181" s="550">
        <f t="shared" si="55"/>
        <v>0</v>
      </c>
      <c r="I181" s="550">
        <f t="shared" si="56"/>
        <v>0</v>
      </c>
      <c r="J181" s="556"/>
      <c r="K181">
        <v>2.1478999999999999E-3</v>
      </c>
      <c r="L181">
        <f t="shared" si="57"/>
        <v>1.0021479</v>
      </c>
    </row>
    <row r="182" spans="1:12">
      <c r="A182">
        <v>21</v>
      </c>
      <c r="B182" s="489" t="str">
        <f>N$3</f>
        <v>QD1</v>
      </c>
      <c r="C182" s="489" t="str">
        <f t="shared" ref="C182:E183" si="67">O$3</f>
        <v>Quad</v>
      </c>
      <c r="D182" s="489">
        <f t="shared" si="67"/>
        <v>0.43804999999999999</v>
      </c>
      <c r="E182" s="489">
        <f t="shared" si="67"/>
        <v>0</v>
      </c>
      <c r="F182" s="489"/>
      <c r="G182" s="550">
        <f t="shared" si="54"/>
        <v>0</v>
      </c>
      <c r="H182" s="550">
        <f t="shared" si="55"/>
        <v>0</v>
      </c>
      <c r="I182" s="550">
        <f t="shared" si="56"/>
        <v>0</v>
      </c>
      <c r="J182" s="556"/>
      <c r="K182">
        <v>0</v>
      </c>
      <c r="L182">
        <f t="shared" si="57"/>
        <v>1</v>
      </c>
    </row>
    <row r="183" spans="1:12">
      <c r="A183">
        <v>22</v>
      </c>
      <c r="B183" s="489" t="str">
        <f>N$3</f>
        <v>QD1</v>
      </c>
      <c r="C183" s="489" t="str">
        <f t="shared" si="67"/>
        <v>Quad</v>
      </c>
      <c r="D183" s="489">
        <f t="shared" si="67"/>
        <v>0.43804999999999999</v>
      </c>
      <c r="E183" s="489">
        <f t="shared" si="67"/>
        <v>0</v>
      </c>
      <c r="F183" s="489"/>
      <c r="G183" s="550">
        <f t="shared" si="54"/>
        <v>0</v>
      </c>
      <c r="H183" s="550">
        <f t="shared" si="55"/>
        <v>0</v>
      </c>
      <c r="I183" s="550">
        <f t="shared" si="56"/>
        <v>0</v>
      </c>
      <c r="J183" s="556"/>
      <c r="K183">
        <v>0</v>
      </c>
      <c r="L183">
        <f t="shared" si="57"/>
        <v>1</v>
      </c>
    </row>
    <row r="184" spans="1:12">
      <c r="A184">
        <v>22</v>
      </c>
      <c r="B184" s="489" t="str">
        <f>N$4</f>
        <v>QF2</v>
      </c>
      <c r="C184" s="489" t="str">
        <f>O$4</f>
        <v>Quad</v>
      </c>
      <c r="D184" s="489">
        <f>P$4</f>
        <v>0.94340999999999997</v>
      </c>
      <c r="E184" s="489">
        <f>Q$4</f>
        <v>0.39100748841534999</v>
      </c>
      <c r="F184" s="489"/>
      <c r="G184" s="550">
        <f t="shared" si="54"/>
        <v>0</v>
      </c>
      <c r="H184" s="550">
        <f t="shared" si="55"/>
        <v>0</v>
      </c>
      <c r="I184" s="550">
        <f t="shared" si="56"/>
        <v>0</v>
      </c>
      <c r="J184" s="556"/>
      <c r="K184">
        <v>-3.6255E-4</v>
      </c>
      <c r="L184">
        <f t="shared" si="57"/>
        <v>0.99963745000000004</v>
      </c>
    </row>
    <row r="185" spans="1:12">
      <c r="A185">
        <v>22</v>
      </c>
      <c r="B185" s="489" t="str">
        <f>N$5</f>
        <v>QD3</v>
      </c>
      <c r="C185" s="489" t="str">
        <f>O$5</f>
        <v>Quad</v>
      </c>
      <c r="D185" s="489">
        <f>P$5</f>
        <v>0.53366999999999998</v>
      </c>
      <c r="E185" s="489">
        <f>Q$5</f>
        <v>-0.603553432914813</v>
      </c>
      <c r="F185" s="489"/>
      <c r="G185" s="550">
        <f t="shared" si="54"/>
        <v>0</v>
      </c>
      <c r="H185" s="550">
        <f t="shared" si="55"/>
        <v>0</v>
      </c>
      <c r="I185" s="550">
        <f t="shared" si="56"/>
        <v>0</v>
      </c>
      <c r="J185" s="556"/>
      <c r="K185">
        <v>1.645E-3</v>
      </c>
      <c r="L185">
        <f t="shared" si="57"/>
        <v>1.0016449999999999</v>
      </c>
    </row>
    <row r="186" spans="1:12">
      <c r="A186">
        <v>22</v>
      </c>
      <c r="B186" s="489" t="str">
        <f>N$6</f>
        <v>QD4</v>
      </c>
      <c r="C186" s="489" t="str">
        <f>O$6</f>
        <v>Quad</v>
      </c>
      <c r="D186" s="489">
        <f>P$6</f>
        <v>0.42210999999999999</v>
      </c>
      <c r="E186" s="489">
        <f>Q$6</f>
        <v>-0.60152556163972903</v>
      </c>
      <c r="F186" s="489"/>
      <c r="G186" s="550">
        <f t="shared" si="54"/>
        <v>0</v>
      </c>
      <c r="H186" s="550">
        <f t="shared" si="55"/>
        <v>0</v>
      </c>
      <c r="I186" s="550">
        <f t="shared" si="56"/>
        <v>0</v>
      </c>
      <c r="J186" s="556"/>
      <c r="K186">
        <v>1.2363999999999999E-3</v>
      </c>
      <c r="L186">
        <f t="shared" si="57"/>
        <v>1.0012364</v>
      </c>
    </row>
    <row r="187" spans="1:12">
      <c r="A187">
        <v>22</v>
      </c>
      <c r="B187" s="489" t="str">
        <f>N$7</f>
        <v>QF5</v>
      </c>
      <c r="C187" s="489" t="str">
        <f t="shared" ref="C187:E188" si="68">O$7</f>
        <v>Quad</v>
      </c>
      <c r="D187" s="489">
        <f t="shared" si="68"/>
        <v>0.51961999999999997</v>
      </c>
      <c r="E187" s="489">
        <f t="shared" si="68"/>
        <v>0.73458675277149998</v>
      </c>
      <c r="F187" s="489"/>
      <c r="G187" s="550">
        <f t="shared" si="54"/>
        <v>0</v>
      </c>
      <c r="H187" s="550">
        <f t="shared" si="55"/>
        <v>0</v>
      </c>
      <c r="I187" s="550">
        <f t="shared" si="56"/>
        <v>0</v>
      </c>
      <c r="J187" s="556"/>
      <c r="K187">
        <v>-3.8200000000000002E-4</v>
      </c>
      <c r="L187">
        <f t="shared" si="57"/>
        <v>0.99961800000000001</v>
      </c>
    </row>
    <row r="188" spans="1:12">
      <c r="A188">
        <v>22</v>
      </c>
      <c r="B188" s="489" t="str">
        <f>N$7</f>
        <v>QF5</v>
      </c>
      <c r="C188" s="489" t="str">
        <f t="shared" si="68"/>
        <v>Quad</v>
      </c>
      <c r="D188" s="489">
        <f t="shared" si="68"/>
        <v>0.51961999999999997</v>
      </c>
      <c r="E188" s="489">
        <f t="shared" si="68"/>
        <v>0.73458675277149998</v>
      </c>
      <c r="F188" s="489"/>
      <c r="G188" s="550">
        <f t="shared" si="54"/>
        <v>0</v>
      </c>
      <c r="H188" s="550">
        <f t="shared" si="55"/>
        <v>0</v>
      </c>
      <c r="I188" s="550">
        <f t="shared" si="56"/>
        <v>0</v>
      </c>
      <c r="J188" s="556"/>
      <c r="K188">
        <v>-4.6466999999999998E-4</v>
      </c>
      <c r="L188">
        <f t="shared" si="57"/>
        <v>0.99953533000000006</v>
      </c>
    </row>
    <row r="189" spans="1:12">
      <c r="A189">
        <v>22</v>
      </c>
      <c r="B189" s="489" t="str">
        <f>N$6</f>
        <v>QD4</v>
      </c>
      <c r="C189" s="489" t="str">
        <f>O$6</f>
        <v>Quad</v>
      </c>
      <c r="D189" s="489">
        <f>P$6</f>
        <v>0.42210999999999999</v>
      </c>
      <c r="E189" s="489">
        <f>Q$6</f>
        <v>-0.60152556163972903</v>
      </c>
      <c r="F189" s="489"/>
      <c r="G189" s="550">
        <f t="shared" si="54"/>
        <v>0</v>
      </c>
      <c r="H189" s="550">
        <f t="shared" si="55"/>
        <v>0</v>
      </c>
      <c r="I189" s="550">
        <f t="shared" si="56"/>
        <v>0</v>
      </c>
      <c r="J189" s="556"/>
      <c r="K189">
        <v>1.573E-3</v>
      </c>
      <c r="L189">
        <f t="shared" si="57"/>
        <v>1.001573</v>
      </c>
    </row>
    <row r="190" spans="1:12">
      <c r="A190">
        <v>22</v>
      </c>
      <c r="B190" s="489" t="str">
        <f>N$8</f>
        <v>QD6</v>
      </c>
      <c r="C190" s="489" t="str">
        <f>O$8</f>
        <v>Quad</v>
      </c>
      <c r="D190" s="489">
        <f>P$8</f>
        <v>0.51900999999999997</v>
      </c>
      <c r="E190" s="489">
        <f>Q$8</f>
        <v>-0.81881189216874428</v>
      </c>
      <c r="F190" s="489"/>
      <c r="G190" s="550">
        <f t="shared" si="54"/>
        <v>0</v>
      </c>
      <c r="H190" s="550">
        <f t="shared" si="55"/>
        <v>0</v>
      </c>
      <c r="I190" s="550">
        <f t="shared" si="56"/>
        <v>0</v>
      </c>
      <c r="J190" s="556"/>
      <c r="K190">
        <v>1.9929000000000001E-3</v>
      </c>
      <c r="L190">
        <f t="shared" si="57"/>
        <v>1.0019929000000001</v>
      </c>
    </row>
    <row r="191" spans="1:12">
      <c r="A191">
        <v>22</v>
      </c>
      <c r="B191" s="489" t="str">
        <f>N$9</f>
        <v>QF7</v>
      </c>
      <c r="C191" s="489" t="str">
        <f>O$9</f>
        <v>Quad</v>
      </c>
      <c r="D191" s="489">
        <f>P$9</f>
        <v>0.92432000000000003</v>
      </c>
      <c r="E191" s="489">
        <f>Q$9</f>
        <v>0.68156622009687096</v>
      </c>
      <c r="F191" s="489"/>
      <c r="G191" s="550">
        <f t="shared" si="54"/>
        <v>0</v>
      </c>
      <c r="H191" s="550">
        <f t="shared" si="55"/>
        <v>0</v>
      </c>
      <c r="I191" s="550">
        <f t="shared" si="56"/>
        <v>0</v>
      </c>
      <c r="J191" s="556"/>
      <c r="K191">
        <v>-4.3964999999999998E-4</v>
      </c>
      <c r="L191">
        <f t="shared" si="57"/>
        <v>0.99956034999999999</v>
      </c>
    </row>
    <row r="192" spans="1:12">
      <c r="A192">
        <v>22</v>
      </c>
      <c r="B192" s="489" t="str">
        <f>N$10</f>
        <v>QD8</v>
      </c>
      <c r="C192" s="489" t="str">
        <f t="shared" ref="C192:E193" si="69">O$10</f>
        <v>Quad</v>
      </c>
      <c r="D192" s="489">
        <f t="shared" si="69"/>
        <v>0.43420999999999998</v>
      </c>
      <c r="E192" s="489">
        <f t="shared" si="69"/>
        <v>0</v>
      </c>
      <c r="F192" s="489"/>
      <c r="G192" s="550">
        <f t="shared" si="54"/>
        <v>0</v>
      </c>
      <c r="H192" s="550">
        <f t="shared" si="55"/>
        <v>0</v>
      </c>
      <c r="I192" s="550">
        <f t="shared" si="56"/>
        <v>0</v>
      </c>
      <c r="J192" s="556"/>
      <c r="K192">
        <v>0</v>
      </c>
      <c r="L192">
        <f t="shared" si="57"/>
        <v>1</v>
      </c>
    </row>
    <row r="193" spans="1:12">
      <c r="A193">
        <v>23</v>
      </c>
      <c r="B193" s="489" t="str">
        <f>N$10</f>
        <v>QD8</v>
      </c>
      <c r="C193" s="489" t="str">
        <f t="shared" si="69"/>
        <v>Quad</v>
      </c>
      <c r="D193" s="489">
        <f t="shared" si="69"/>
        <v>0.43420999999999998</v>
      </c>
      <c r="E193" s="489">
        <f t="shared" si="69"/>
        <v>0</v>
      </c>
      <c r="F193" s="489"/>
      <c r="G193" s="550">
        <f t="shared" si="54"/>
        <v>0</v>
      </c>
      <c r="H193" s="550">
        <f t="shared" si="55"/>
        <v>0</v>
      </c>
      <c r="I193" s="550">
        <f t="shared" si="56"/>
        <v>0</v>
      </c>
      <c r="J193" s="556"/>
      <c r="K193">
        <v>0</v>
      </c>
      <c r="L193">
        <f t="shared" si="57"/>
        <v>1</v>
      </c>
    </row>
    <row r="194" spans="1:12">
      <c r="A194">
        <v>23</v>
      </c>
      <c r="B194" s="489" t="str">
        <f>N$9</f>
        <v>QF7</v>
      </c>
      <c r="C194" s="489" t="str">
        <f>O$9</f>
        <v>Quad</v>
      </c>
      <c r="D194" s="489">
        <f>P$9</f>
        <v>0.92432000000000003</v>
      </c>
      <c r="E194" s="489">
        <f>Q$9</f>
        <v>0.68156622009687096</v>
      </c>
      <c r="F194" s="489"/>
      <c r="G194" s="550">
        <f t="shared" si="54"/>
        <v>0</v>
      </c>
      <c r="H194" s="550">
        <f t="shared" si="55"/>
        <v>0</v>
      </c>
      <c r="I194" s="550">
        <f t="shared" si="56"/>
        <v>0</v>
      </c>
      <c r="J194" s="556"/>
      <c r="K194">
        <v>4.4064000000000001E-4</v>
      </c>
      <c r="L194">
        <f t="shared" si="57"/>
        <v>1.0004406400000001</v>
      </c>
    </row>
    <row r="195" spans="1:12">
      <c r="A195">
        <v>23</v>
      </c>
      <c r="B195" s="489" t="str">
        <f>N$8</f>
        <v>QD6</v>
      </c>
      <c r="C195" s="489" t="str">
        <f>O$8</f>
        <v>Quad</v>
      </c>
      <c r="D195" s="489">
        <f>P$8</f>
        <v>0.51900999999999997</v>
      </c>
      <c r="E195" s="489">
        <f>Q$8</f>
        <v>-0.81881189216874428</v>
      </c>
      <c r="F195" s="489"/>
      <c r="G195" s="550">
        <f t="shared" si="54"/>
        <v>0</v>
      </c>
      <c r="H195" s="550">
        <f t="shared" si="55"/>
        <v>0</v>
      </c>
      <c r="I195" s="550">
        <f t="shared" si="56"/>
        <v>0</v>
      </c>
      <c r="J195" s="556"/>
      <c r="K195">
        <v>3.1912999999999999E-4</v>
      </c>
      <c r="L195">
        <f t="shared" si="57"/>
        <v>1.0003191300000001</v>
      </c>
    </row>
    <row r="196" spans="1:12">
      <c r="A196">
        <v>23</v>
      </c>
      <c r="B196" s="489" t="str">
        <f>N$6</f>
        <v>QD4</v>
      </c>
      <c r="C196" s="489" t="str">
        <f>O$6</f>
        <v>Quad</v>
      </c>
      <c r="D196" s="489">
        <f>P$6</f>
        <v>0.42210999999999999</v>
      </c>
      <c r="E196" s="489">
        <f>Q$6</f>
        <v>-0.60152556163972903</v>
      </c>
      <c r="F196" s="489"/>
      <c r="G196" s="550">
        <f t="shared" ref="G196:G259" si="70">E196*$P$32</f>
        <v>0</v>
      </c>
      <c r="H196" s="550">
        <f t="shared" ref="H196:H259" si="71">E196*$P$33</f>
        <v>0</v>
      </c>
      <c r="I196" s="550">
        <f t="shared" ref="I196:I259" si="72">E196*$P$34</f>
        <v>0</v>
      </c>
      <c r="J196" s="556"/>
      <c r="K196">
        <v>3.5215000000000002E-4</v>
      </c>
      <c r="L196">
        <f t="shared" ref="L196:L259" si="73">1+$K$1*$K196</f>
        <v>1.0003521500000001</v>
      </c>
    </row>
    <row r="197" spans="1:12">
      <c r="A197">
        <v>23</v>
      </c>
      <c r="B197" s="489" t="str">
        <f>N$7</f>
        <v>QF5</v>
      </c>
      <c r="C197" s="489" t="str">
        <f t="shared" ref="C197:E198" si="74">O$7</f>
        <v>Quad</v>
      </c>
      <c r="D197" s="489">
        <f t="shared" si="74"/>
        <v>0.51961999999999997</v>
      </c>
      <c r="E197" s="489">
        <f t="shared" si="74"/>
        <v>0.73458675277149998</v>
      </c>
      <c r="F197" s="489"/>
      <c r="G197" s="550">
        <f t="shared" si="70"/>
        <v>0</v>
      </c>
      <c r="H197" s="550">
        <f t="shared" si="71"/>
        <v>0</v>
      </c>
      <c r="I197" s="550">
        <f t="shared" si="72"/>
        <v>0</v>
      </c>
      <c r="J197" s="556"/>
      <c r="K197" s="247">
        <v>-1.7413000000000001E-5</v>
      </c>
      <c r="L197">
        <f t="shared" si="73"/>
        <v>0.99998258699999998</v>
      </c>
    </row>
    <row r="198" spans="1:12">
      <c r="A198">
        <v>23</v>
      </c>
      <c r="B198" s="489" t="str">
        <f>N$7</f>
        <v>QF5</v>
      </c>
      <c r="C198" s="489" t="str">
        <f t="shared" si="74"/>
        <v>Quad</v>
      </c>
      <c r="D198" s="489">
        <f t="shared" si="74"/>
        <v>0.51961999999999997</v>
      </c>
      <c r="E198" s="489">
        <f t="shared" si="74"/>
        <v>0.73458675277149998</v>
      </c>
      <c r="F198" s="489"/>
      <c r="G198" s="550">
        <f t="shared" si="70"/>
        <v>0</v>
      </c>
      <c r="H198" s="550">
        <f t="shared" si="71"/>
        <v>0</v>
      </c>
      <c r="I198" s="550">
        <f t="shared" si="72"/>
        <v>0</v>
      </c>
      <c r="J198" s="556"/>
      <c r="K198" s="247">
        <v>-2.4138000000000002E-5</v>
      </c>
      <c r="L198">
        <f t="shared" si="73"/>
        <v>0.99997586199999999</v>
      </c>
    </row>
    <row r="199" spans="1:12">
      <c r="A199">
        <v>23</v>
      </c>
      <c r="B199" s="489" t="str">
        <f>N$6</f>
        <v>QD4</v>
      </c>
      <c r="C199" s="489" t="str">
        <f>O$6</f>
        <v>Quad</v>
      </c>
      <c r="D199" s="489">
        <f>P$6</f>
        <v>0.42210999999999999</v>
      </c>
      <c r="E199" s="489">
        <f>Q$6</f>
        <v>-0.60152556163972903</v>
      </c>
      <c r="F199" s="489"/>
      <c r="G199" s="550">
        <f t="shared" si="70"/>
        <v>0</v>
      </c>
      <c r="H199" s="550">
        <f t="shared" si="71"/>
        <v>0</v>
      </c>
      <c r="I199" s="550">
        <f t="shared" si="72"/>
        <v>0</v>
      </c>
      <c r="J199" s="556"/>
      <c r="K199">
        <v>3.8495000000000001E-4</v>
      </c>
      <c r="L199">
        <f t="shared" si="73"/>
        <v>1.0003849499999999</v>
      </c>
    </row>
    <row r="200" spans="1:12">
      <c r="A200">
        <v>23</v>
      </c>
      <c r="B200" s="489" t="str">
        <f>N$5</f>
        <v>QD3</v>
      </c>
      <c r="C200" s="489" t="str">
        <f>O$5</f>
        <v>Quad</v>
      </c>
      <c r="D200" s="489">
        <f>P$5</f>
        <v>0.53366999999999998</v>
      </c>
      <c r="E200" s="489">
        <f>Q$5</f>
        <v>-0.603553432914813</v>
      </c>
      <c r="F200" s="489"/>
      <c r="G200" s="550">
        <f t="shared" si="70"/>
        <v>0</v>
      </c>
      <c r="H200" s="550">
        <f t="shared" si="71"/>
        <v>0</v>
      </c>
      <c r="I200" s="550">
        <f t="shared" si="72"/>
        <v>0</v>
      </c>
      <c r="J200" s="556"/>
      <c r="K200">
        <v>6.1209000000000003E-4</v>
      </c>
      <c r="L200">
        <f t="shared" si="73"/>
        <v>1.00061209</v>
      </c>
    </row>
    <row r="201" spans="1:12">
      <c r="A201">
        <v>23</v>
      </c>
      <c r="B201" s="489" t="str">
        <f>N$4</f>
        <v>QF2</v>
      </c>
      <c r="C201" s="489" t="str">
        <f>O$4</f>
        <v>Quad</v>
      </c>
      <c r="D201" s="489">
        <f>P$4</f>
        <v>0.94340999999999997</v>
      </c>
      <c r="E201" s="489">
        <f>Q$4</f>
        <v>0.39100748841534999</v>
      </c>
      <c r="F201" s="489"/>
      <c r="G201" s="550">
        <f t="shared" si="70"/>
        <v>0</v>
      </c>
      <c r="H201" s="550">
        <f t="shared" si="71"/>
        <v>0</v>
      </c>
      <c r="I201" s="550">
        <f t="shared" si="72"/>
        <v>0</v>
      </c>
      <c r="J201" s="556"/>
      <c r="K201">
        <v>2.1547E-4</v>
      </c>
      <c r="L201">
        <f t="shared" si="73"/>
        <v>1.0002154700000001</v>
      </c>
    </row>
    <row r="202" spans="1:12">
      <c r="A202">
        <v>23</v>
      </c>
      <c r="B202" s="489" t="str">
        <f>N$3</f>
        <v>QD1</v>
      </c>
      <c r="C202" s="489" t="str">
        <f t="shared" ref="C202:E203" si="75">O$3</f>
        <v>Quad</v>
      </c>
      <c r="D202" s="489">
        <f t="shared" si="75"/>
        <v>0.43804999999999999</v>
      </c>
      <c r="E202" s="489">
        <f t="shared" si="75"/>
        <v>0</v>
      </c>
      <c r="F202" s="489"/>
      <c r="G202" s="550">
        <f t="shared" si="70"/>
        <v>0</v>
      </c>
      <c r="H202" s="550">
        <f t="shared" si="71"/>
        <v>0</v>
      </c>
      <c r="I202" s="550">
        <f t="shared" si="72"/>
        <v>0</v>
      </c>
      <c r="J202" s="556"/>
      <c r="K202">
        <v>0</v>
      </c>
      <c r="L202">
        <f t="shared" si="73"/>
        <v>1</v>
      </c>
    </row>
    <row r="203" spans="1:12">
      <c r="A203">
        <v>24</v>
      </c>
      <c r="B203" s="489" t="str">
        <f>N$3</f>
        <v>QD1</v>
      </c>
      <c r="C203" s="489" t="str">
        <f t="shared" si="75"/>
        <v>Quad</v>
      </c>
      <c r="D203" s="489">
        <f t="shared" si="75"/>
        <v>0.43804999999999999</v>
      </c>
      <c r="E203" s="489">
        <f t="shared" si="75"/>
        <v>0</v>
      </c>
      <c r="F203" s="489"/>
      <c r="G203" s="550">
        <f t="shared" si="70"/>
        <v>0</v>
      </c>
      <c r="H203" s="550">
        <f t="shared" si="71"/>
        <v>0</v>
      </c>
      <c r="I203" s="550">
        <f t="shared" si="72"/>
        <v>0</v>
      </c>
      <c r="J203" s="556"/>
      <c r="K203">
        <v>0</v>
      </c>
      <c r="L203">
        <f t="shared" si="73"/>
        <v>1</v>
      </c>
    </row>
    <row r="204" spans="1:12">
      <c r="A204">
        <v>24</v>
      </c>
      <c r="B204" s="489" t="str">
        <f>N$4</f>
        <v>QF2</v>
      </c>
      <c r="C204" s="489" t="str">
        <f>O$4</f>
        <v>Quad</v>
      </c>
      <c r="D204" s="489">
        <f>P$4</f>
        <v>0.94340999999999997</v>
      </c>
      <c r="E204" s="489">
        <f>Q$4</f>
        <v>0.39100748841534999</v>
      </c>
      <c r="F204" s="489"/>
      <c r="G204" s="550">
        <f t="shared" si="70"/>
        <v>0</v>
      </c>
      <c r="H204" s="550">
        <f t="shared" si="71"/>
        <v>0</v>
      </c>
      <c r="I204" s="550">
        <f t="shared" si="72"/>
        <v>0</v>
      </c>
      <c r="J204" s="556"/>
      <c r="K204">
        <v>2.2245000000000001E-4</v>
      </c>
      <c r="L204">
        <f t="shared" si="73"/>
        <v>1.0002224500000001</v>
      </c>
    </row>
    <row r="205" spans="1:12">
      <c r="A205">
        <v>24</v>
      </c>
      <c r="B205" s="489" t="str">
        <f>N$5</f>
        <v>QD3</v>
      </c>
      <c r="C205" s="489" t="str">
        <f>O$5</f>
        <v>Quad</v>
      </c>
      <c r="D205" s="489">
        <f>P$5</f>
        <v>0.53366999999999998</v>
      </c>
      <c r="E205" s="489">
        <f>Q$5</f>
        <v>-0.603553432914813</v>
      </c>
      <c r="F205" s="489"/>
      <c r="G205" s="550">
        <f t="shared" si="70"/>
        <v>0</v>
      </c>
      <c r="H205" s="550">
        <f t="shared" si="71"/>
        <v>0</v>
      </c>
      <c r="I205" s="550">
        <f t="shared" si="72"/>
        <v>0</v>
      </c>
      <c r="J205" s="556"/>
      <c r="K205">
        <v>8.6636999999999999E-4</v>
      </c>
      <c r="L205">
        <f t="shared" si="73"/>
        <v>1.00086637</v>
      </c>
    </row>
    <row r="206" spans="1:12">
      <c r="A206">
        <v>24</v>
      </c>
      <c r="B206" s="489" t="str">
        <f>N$6</f>
        <v>QD4</v>
      </c>
      <c r="C206" s="489" t="str">
        <f>O$6</f>
        <v>Quad</v>
      </c>
      <c r="D206" s="489">
        <f>P$6</f>
        <v>0.42210999999999999</v>
      </c>
      <c r="E206" s="489">
        <f>Q$6</f>
        <v>-0.60152556163972903</v>
      </c>
      <c r="F206" s="489"/>
      <c r="G206" s="550">
        <f t="shared" si="70"/>
        <v>0</v>
      </c>
      <c r="H206" s="550">
        <f t="shared" si="71"/>
        <v>0</v>
      </c>
      <c r="I206" s="550">
        <f t="shared" si="72"/>
        <v>0</v>
      </c>
      <c r="J206" s="556"/>
      <c r="K206">
        <v>8.9399E-4</v>
      </c>
      <c r="L206">
        <f t="shared" si="73"/>
        <v>1.00089399</v>
      </c>
    </row>
    <row r="207" spans="1:12">
      <c r="A207">
        <v>24</v>
      </c>
      <c r="B207" s="489" t="str">
        <f>N$7</f>
        <v>QF5</v>
      </c>
      <c r="C207" s="489" t="str">
        <f t="shared" ref="C207:E208" si="76">O$7</f>
        <v>Quad</v>
      </c>
      <c r="D207" s="489">
        <f t="shared" si="76"/>
        <v>0.51961999999999997</v>
      </c>
      <c r="E207" s="489">
        <f t="shared" si="76"/>
        <v>0.73458675277149998</v>
      </c>
      <c r="F207" s="489"/>
      <c r="G207" s="550">
        <f t="shared" si="70"/>
        <v>0</v>
      </c>
      <c r="H207" s="550">
        <f t="shared" si="71"/>
        <v>0</v>
      </c>
      <c r="I207" s="550">
        <f t="shared" si="72"/>
        <v>0</v>
      </c>
      <c r="J207" s="556"/>
      <c r="K207">
        <v>-3.7133000000000001E-4</v>
      </c>
      <c r="L207">
        <f t="shared" si="73"/>
        <v>0.99962867</v>
      </c>
    </row>
    <row r="208" spans="1:12">
      <c r="A208">
        <v>24</v>
      </c>
      <c r="B208" s="489" t="str">
        <f>N$7</f>
        <v>QF5</v>
      </c>
      <c r="C208" s="489" t="str">
        <f t="shared" si="76"/>
        <v>Quad</v>
      </c>
      <c r="D208" s="489">
        <f t="shared" si="76"/>
        <v>0.51961999999999997</v>
      </c>
      <c r="E208" s="489">
        <f t="shared" si="76"/>
        <v>0.73458675277149998</v>
      </c>
      <c r="F208" s="489"/>
      <c r="G208" s="550">
        <f t="shared" si="70"/>
        <v>0</v>
      </c>
      <c r="H208" s="550">
        <f t="shared" si="71"/>
        <v>0</v>
      </c>
      <c r="I208" s="550">
        <f t="shared" si="72"/>
        <v>0</v>
      </c>
      <c r="J208" s="556"/>
      <c r="K208">
        <v>-4.4921000000000002E-4</v>
      </c>
      <c r="L208">
        <f t="shared" si="73"/>
        <v>0.99955079000000002</v>
      </c>
    </row>
    <row r="209" spans="1:12">
      <c r="A209">
        <v>24</v>
      </c>
      <c r="B209" s="489" t="str">
        <f>N$6</f>
        <v>QD4</v>
      </c>
      <c r="C209" s="489" t="str">
        <f>O$6</f>
        <v>Quad</v>
      </c>
      <c r="D209" s="489">
        <f>P$6</f>
        <v>0.42210999999999999</v>
      </c>
      <c r="E209" s="489">
        <f>Q$6</f>
        <v>-0.60152556163972903</v>
      </c>
      <c r="F209" s="489"/>
      <c r="G209" s="550">
        <f t="shared" si="70"/>
        <v>0</v>
      </c>
      <c r="H209" s="550">
        <f t="shared" si="71"/>
        <v>0</v>
      </c>
      <c r="I209" s="550">
        <f t="shared" si="72"/>
        <v>0</v>
      </c>
      <c r="J209" s="556"/>
      <c r="K209">
        <v>1.2566000000000001E-3</v>
      </c>
      <c r="L209">
        <f t="shared" si="73"/>
        <v>1.0012566000000001</v>
      </c>
    </row>
    <row r="210" spans="1:12">
      <c r="A210">
        <v>24</v>
      </c>
      <c r="B210" s="489" t="str">
        <f>N$8</f>
        <v>QD6</v>
      </c>
      <c r="C210" s="489" t="str">
        <f>O$8</f>
        <v>Quad</v>
      </c>
      <c r="D210" s="489">
        <f>P$8</f>
        <v>0.51900999999999997</v>
      </c>
      <c r="E210" s="489">
        <f>Q$8</f>
        <v>-0.81881189216874428</v>
      </c>
      <c r="F210" s="489"/>
      <c r="G210" s="550">
        <f t="shared" si="70"/>
        <v>0</v>
      </c>
      <c r="H210" s="550">
        <f t="shared" si="71"/>
        <v>0</v>
      </c>
      <c r="I210" s="550">
        <f t="shared" si="72"/>
        <v>0</v>
      </c>
      <c r="J210" s="556"/>
      <c r="K210">
        <v>1.6479999999999999E-3</v>
      </c>
      <c r="L210">
        <f t="shared" si="73"/>
        <v>1.0016480000000001</v>
      </c>
    </row>
    <row r="211" spans="1:12">
      <c r="A211">
        <v>24</v>
      </c>
      <c r="B211" s="489" t="str">
        <f>N$9</f>
        <v>QF7</v>
      </c>
      <c r="C211" s="489" t="str">
        <f>O$9</f>
        <v>Quad</v>
      </c>
      <c r="D211" s="489">
        <f>P$9</f>
        <v>0.92432000000000003</v>
      </c>
      <c r="E211" s="489">
        <f>Q$9</f>
        <v>0.68156622009687096</v>
      </c>
      <c r="F211" s="489"/>
      <c r="G211" s="550">
        <f t="shared" si="70"/>
        <v>0</v>
      </c>
      <c r="H211" s="550">
        <f t="shared" si="71"/>
        <v>0</v>
      </c>
      <c r="I211" s="550">
        <f t="shared" si="72"/>
        <v>0</v>
      </c>
      <c r="J211" s="556"/>
      <c r="K211">
        <v>-8.273E-4</v>
      </c>
      <c r="L211">
        <f t="shared" si="73"/>
        <v>0.99917270000000002</v>
      </c>
    </row>
    <row r="212" spans="1:12">
      <c r="A212">
        <v>24</v>
      </c>
      <c r="B212" s="489" t="str">
        <f>N$10</f>
        <v>QD8</v>
      </c>
      <c r="C212" s="489" t="str">
        <f t="shared" ref="C212:E213" si="77">O$10</f>
        <v>Quad</v>
      </c>
      <c r="D212" s="489">
        <f t="shared" si="77"/>
        <v>0.43420999999999998</v>
      </c>
      <c r="E212" s="489">
        <f t="shared" si="77"/>
        <v>0</v>
      </c>
      <c r="F212" s="489"/>
      <c r="G212" s="550">
        <f t="shared" si="70"/>
        <v>0</v>
      </c>
      <c r="H212" s="550">
        <f t="shared" si="71"/>
        <v>0</v>
      </c>
      <c r="I212" s="550">
        <f t="shared" si="72"/>
        <v>0</v>
      </c>
      <c r="J212" s="556"/>
      <c r="K212">
        <v>0</v>
      </c>
      <c r="L212">
        <f t="shared" si="73"/>
        <v>1</v>
      </c>
    </row>
    <row r="213" spans="1:12">
      <c r="A213">
        <v>25</v>
      </c>
      <c r="B213" s="489" t="str">
        <f>N$10</f>
        <v>QD8</v>
      </c>
      <c r="C213" s="489" t="str">
        <f t="shared" si="77"/>
        <v>Quad</v>
      </c>
      <c r="D213" s="489">
        <f t="shared" si="77"/>
        <v>0.43420999999999998</v>
      </c>
      <c r="E213" s="489">
        <f t="shared" si="77"/>
        <v>0</v>
      </c>
      <c r="F213" s="489"/>
      <c r="G213" s="550">
        <f t="shared" si="70"/>
        <v>0</v>
      </c>
      <c r="H213" s="550">
        <f t="shared" si="71"/>
        <v>0</v>
      </c>
      <c r="I213" s="550">
        <f t="shared" si="72"/>
        <v>0</v>
      </c>
      <c r="J213" s="556"/>
      <c r="K213">
        <v>0</v>
      </c>
      <c r="L213">
        <f t="shared" si="73"/>
        <v>1</v>
      </c>
    </row>
    <row r="214" spans="1:12">
      <c r="A214">
        <v>25</v>
      </c>
      <c r="B214" s="489" t="str">
        <f>N$9</f>
        <v>QF7</v>
      </c>
      <c r="C214" s="489" t="str">
        <f>O$9</f>
        <v>Quad</v>
      </c>
      <c r="D214" s="489">
        <f>P$9</f>
        <v>0.92432000000000003</v>
      </c>
      <c r="E214" s="489">
        <f>Q$9</f>
        <v>0.68156622009687096</v>
      </c>
      <c r="F214" s="489"/>
      <c r="G214" s="550">
        <f t="shared" si="70"/>
        <v>0</v>
      </c>
      <c r="H214" s="550">
        <f t="shared" si="71"/>
        <v>0</v>
      </c>
      <c r="I214" s="550">
        <f t="shared" si="72"/>
        <v>0</v>
      </c>
      <c r="J214" s="556"/>
      <c r="K214">
        <v>-1.2813000000000001E-4</v>
      </c>
      <c r="L214">
        <f t="shared" si="73"/>
        <v>0.99987187</v>
      </c>
    </row>
    <row r="215" spans="1:12">
      <c r="A215">
        <v>25</v>
      </c>
      <c r="B215" s="489" t="str">
        <f>N$8</f>
        <v>QD6</v>
      </c>
      <c r="C215" s="489" t="str">
        <f>O$8</f>
        <v>Quad</v>
      </c>
      <c r="D215" s="489">
        <f>P$8</f>
        <v>0.51900999999999997</v>
      </c>
      <c r="E215" s="489">
        <f>Q$8</f>
        <v>-0.81881189216874428</v>
      </c>
      <c r="F215" s="489"/>
      <c r="G215" s="550">
        <f t="shared" si="70"/>
        <v>0</v>
      </c>
      <c r="H215" s="550">
        <f t="shared" si="71"/>
        <v>0</v>
      </c>
      <c r="I215" s="550">
        <f t="shared" si="72"/>
        <v>0</v>
      </c>
      <c r="J215" s="556"/>
      <c r="K215">
        <v>2.5300000000000002E-4</v>
      </c>
      <c r="L215">
        <f t="shared" si="73"/>
        <v>1.0002530000000001</v>
      </c>
    </row>
    <row r="216" spans="1:12">
      <c r="A216">
        <v>25</v>
      </c>
      <c r="B216" s="489" t="str">
        <f>N$6</f>
        <v>QD4</v>
      </c>
      <c r="C216" s="489" t="str">
        <f>O$6</f>
        <v>Quad</v>
      </c>
      <c r="D216" s="489">
        <f>P$6</f>
        <v>0.42210999999999999</v>
      </c>
      <c r="E216" s="489">
        <f>Q$6</f>
        <v>-0.60152556163972903</v>
      </c>
      <c r="F216" s="489"/>
      <c r="G216" s="550">
        <f t="shared" si="70"/>
        <v>0</v>
      </c>
      <c r="H216" s="550">
        <f t="shared" si="71"/>
        <v>0</v>
      </c>
      <c r="I216" s="550">
        <f t="shared" si="72"/>
        <v>0</v>
      </c>
      <c r="J216" s="556"/>
      <c r="K216">
        <v>3.2245E-4</v>
      </c>
      <c r="L216">
        <f t="shared" si="73"/>
        <v>1.0003224500000001</v>
      </c>
    </row>
    <row r="217" spans="1:12">
      <c r="A217">
        <v>25</v>
      </c>
      <c r="B217" s="489" t="str">
        <f>N$7</f>
        <v>QF5</v>
      </c>
      <c r="C217" s="489" t="str">
        <f t="shared" ref="C217:E218" si="78">O$7</f>
        <v>Quad</v>
      </c>
      <c r="D217" s="489">
        <f t="shared" si="78"/>
        <v>0.51961999999999997</v>
      </c>
      <c r="E217" s="489">
        <f t="shared" si="78"/>
        <v>0.73458675277149998</v>
      </c>
      <c r="F217" s="489"/>
      <c r="G217" s="550">
        <f t="shared" si="70"/>
        <v>0</v>
      </c>
      <c r="H217" s="550">
        <f t="shared" si="71"/>
        <v>0</v>
      </c>
      <c r="I217" s="550">
        <f t="shared" si="72"/>
        <v>0</v>
      </c>
      <c r="J217" s="556"/>
      <c r="K217">
        <v>-2.0694999999999999E-4</v>
      </c>
      <c r="L217">
        <f t="shared" si="73"/>
        <v>0.99979304999999996</v>
      </c>
    </row>
    <row r="218" spans="1:12">
      <c r="A218">
        <v>25</v>
      </c>
      <c r="B218" s="489" t="str">
        <f>N$7</f>
        <v>QF5</v>
      </c>
      <c r="C218" s="489" t="str">
        <f t="shared" si="78"/>
        <v>Quad</v>
      </c>
      <c r="D218" s="489">
        <f t="shared" si="78"/>
        <v>0.51961999999999997</v>
      </c>
      <c r="E218" s="489">
        <f t="shared" si="78"/>
        <v>0.73458675277149998</v>
      </c>
      <c r="F218" s="489"/>
      <c r="G218" s="550">
        <f t="shared" si="70"/>
        <v>0</v>
      </c>
      <c r="H218" s="550">
        <f t="shared" si="71"/>
        <v>0</v>
      </c>
      <c r="I218" s="550">
        <f t="shared" si="72"/>
        <v>0</v>
      </c>
      <c r="J218" s="556"/>
      <c r="K218">
        <v>-2.3533000000000001E-4</v>
      </c>
      <c r="L218">
        <f t="shared" si="73"/>
        <v>0.99976467000000002</v>
      </c>
    </row>
    <row r="219" spans="1:12">
      <c r="A219">
        <v>25</v>
      </c>
      <c r="B219" s="489" t="str">
        <f>N$6</f>
        <v>QD4</v>
      </c>
      <c r="C219" s="489" t="str">
        <f>O$6</f>
        <v>Quad</v>
      </c>
      <c r="D219" s="489">
        <f>P$6</f>
        <v>0.42210999999999999</v>
      </c>
      <c r="E219" s="489">
        <f>Q$6</f>
        <v>-0.60152556163972903</v>
      </c>
      <c r="F219" s="489"/>
      <c r="G219" s="550">
        <f t="shared" si="70"/>
        <v>0</v>
      </c>
      <c r="H219" s="550">
        <f t="shared" si="71"/>
        <v>0</v>
      </c>
      <c r="I219" s="550">
        <f t="shared" si="72"/>
        <v>0</v>
      </c>
      <c r="J219" s="556"/>
      <c r="K219">
        <v>4.3222999999999997E-4</v>
      </c>
      <c r="L219">
        <f t="shared" si="73"/>
        <v>1.0004322299999999</v>
      </c>
    </row>
    <row r="220" spans="1:12">
      <c r="A220">
        <v>25</v>
      </c>
      <c r="B220" s="489" t="str">
        <f>N$5</f>
        <v>QD3</v>
      </c>
      <c r="C220" s="489" t="str">
        <f>O$5</f>
        <v>Quad</v>
      </c>
      <c r="D220" s="489">
        <f>P$5</f>
        <v>0.53366999999999998</v>
      </c>
      <c r="E220" s="489">
        <f>Q$5</f>
        <v>-0.603553432914813</v>
      </c>
      <c r="F220" s="489"/>
      <c r="G220" s="550">
        <f t="shared" si="70"/>
        <v>0</v>
      </c>
      <c r="H220" s="550">
        <f t="shared" si="71"/>
        <v>0</v>
      </c>
      <c r="I220" s="550">
        <f t="shared" si="72"/>
        <v>0</v>
      </c>
      <c r="J220" s="556"/>
      <c r="K220">
        <v>7.2526000000000003E-4</v>
      </c>
      <c r="L220">
        <f t="shared" si="73"/>
        <v>1.0007252600000001</v>
      </c>
    </row>
    <row r="221" spans="1:12">
      <c r="A221">
        <v>25</v>
      </c>
      <c r="B221" s="489" t="str">
        <f>N$4</f>
        <v>QF2</v>
      </c>
      <c r="C221" s="489" t="str">
        <f>O$4</f>
        <v>Quad</v>
      </c>
      <c r="D221" s="489">
        <f>P$4</f>
        <v>0.94340999999999997</v>
      </c>
      <c r="E221" s="489">
        <f>Q$4</f>
        <v>0.39100748841534999</v>
      </c>
      <c r="F221" s="489"/>
      <c r="G221" s="550">
        <f t="shared" si="70"/>
        <v>0</v>
      </c>
      <c r="H221" s="550">
        <f t="shared" si="71"/>
        <v>0</v>
      </c>
      <c r="I221" s="550">
        <f t="shared" si="72"/>
        <v>0</v>
      </c>
      <c r="J221" s="556"/>
      <c r="K221">
        <v>-7.4277000000000002E-4</v>
      </c>
      <c r="L221">
        <f t="shared" si="73"/>
        <v>0.99925723</v>
      </c>
    </row>
    <row r="222" spans="1:12">
      <c r="A222">
        <v>25</v>
      </c>
      <c r="B222" s="489" t="str">
        <f>N$3</f>
        <v>QD1</v>
      </c>
      <c r="C222" s="489" t="str">
        <f t="shared" ref="C222:E223" si="79">O$3</f>
        <v>Quad</v>
      </c>
      <c r="D222" s="489">
        <f t="shared" si="79"/>
        <v>0.43804999999999999</v>
      </c>
      <c r="E222" s="489">
        <f t="shared" si="79"/>
        <v>0</v>
      </c>
      <c r="F222" s="489"/>
      <c r="G222" s="550">
        <f t="shared" si="70"/>
        <v>0</v>
      </c>
      <c r="H222" s="550">
        <f t="shared" si="71"/>
        <v>0</v>
      </c>
      <c r="I222" s="550">
        <f t="shared" si="72"/>
        <v>0</v>
      </c>
      <c r="J222" s="556"/>
      <c r="K222">
        <v>0</v>
      </c>
      <c r="L222">
        <f t="shared" si="73"/>
        <v>1</v>
      </c>
    </row>
    <row r="223" spans="1:12">
      <c r="A223">
        <v>26</v>
      </c>
      <c r="B223" s="489" t="str">
        <f>N$3</f>
        <v>QD1</v>
      </c>
      <c r="C223" s="489" t="str">
        <f t="shared" si="79"/>
        <v>Quad</v>
      </c>
      <c r="D223" s="489">
        <f t="shared" si="79"/>
        <v>0.43804999999999999</v>
      </c>
      <c r="E223" s="489">
        <f t="shared" si="79"/>
        <v>0</v>
      </c>
      <c r="F223" s="489"/>
      <c r="G223" s="550">
        <f t="shared" si="70"/>
        <v>0</v>
      </c>
      <c r="H223" s="550">
        <f t="shared" si="71"/>
        <v>0</v>
      </c>
      <c r="I223" s="550">
        <f t="shared" si="72"/>
        <v>0</v>
      </c>
      <c r="J223" s="556"/>
      <c r="K223">
        <v>0</v>
      </c>
      <c r="L223">
        <f t="shared" si="73"/>
        <v>1</v>
      </c>
    </row>
    <row r="224" spans="1:12">
      <c r="A224">
        <v>26</v>
      </c>
      <c r="B224" s="489" t="str">
        <f>N$4</f>
        <v>QF2</v>
      </c>
      <c r="C224" s="489" t="str">
        <f>O$4</f>
        <v>Quad</v>
      </c>
      <c r="D224" s="489">
        <f>P$4</f>
        <v>0.94340999999999997</v>
      </c>
      <c r="E224" s="489">
        <f>Q$4</f>
        <v>0.39100748841534999</v>
      </c>
      <c r="F224" s="489"/>
      <c r="G224" s="550">
        <f t="shared" si="70"/>
        <v>0</v>
      </c>
      <c r="H224" s="550">
        <f t="shared" si="71"/>
        <v>0</v>
      </c>
      <c r="I224" s="550">
        <f t="shared" si="72"/>
        <v>0</v>
      </c>
      <c r="J224" s="556"/>
      <c r="K224">
        <v>-8.1972000000000002E-4</v>
      </c>
      <c r="L224">
        <f t="shared" si="73"/>
        <v>0.99918028000000003</v>
      </c>
    </row>
    <row r="225" spans="1:12">
      <c r="A225">
        <v>26</v>
      </c>
      <c r="B225" s="489" t="str">
        <f>N$5</f>
        <v>QD3</v>
      </c>
      <c r="C225" s="489" t="str">
        <f>O$5</f>
        <v>Quad</v>
      </c>
      <c r="D225" s="489">
        <f>P$5</f>
        <v>0.53366999999999998</v>
      </c>
      <c r="E225" s="489">
        <f>Q$5</f>
        <v>-0.603553432914813</v>
      </c>
      <c r="F225" s="489"/>
      <c r="G225" s="550">
        <f t="shared" si="70"/>
        <v>0</v>
      </c>
      <c r="H225" s="550">
        <f t="shared" si="71"/>
        <v>0</v>
      </c>
      <c r="I225" s="550">
        <f t="shared" si="72"/>
        <v>0</v>
      </c>
      <c r="J225" s="556"/>
      <c r="K225">
        <v>6.2976999999999998E-4</v>
      </c>
      <c r="L225">
        <f t="shared" si="73"/>
        <v>1.00062977</v>
      </c>
    </row>
    <row r="226" spans="1:12">
      <c r="A226">
        <v>26</v>
      </c>
      <c r="B226" s="489" t="str">
        <f>N$6</f>
        <v>QD4</v>
      </c>
      <c r="C226" s="489" t="str">
        <f>O$6</f>
        <v>Quad</v>
      </c>
      <c r="D226" s="489">
        <f>P$6</f>
        <v>0.42210999999999999</v>
      </c>
      <c r="E226" s="489">
        <f>Q$6</f>
        <v>-0.60152556163972903</v>
      </c>
      <c r="F226" s="489"/>
      <c r="G226" s="550">
        <f t="shared" si="70"/>
        <v>0</v>
      </c>
      <c r="H226" s="550">
        <f t="shared" si="71"/>
        <v>0</v>
      </c>
      <c r="I226" s="550">
        <f t="shared" si="72"/>
        <v>0</v>
      </c>
      <c r="J226" s="556"/>
      <c r="K226">
        <v>5.1338999999999996E-4</v>
      </c>
      <c r="L226">
        <f t="shared" si="73"/>
        <v>1.0005133900000001</v>
      </c>
    </row>
    <row r="227" spans="1:12">
      <c r="A227">
        <v>26</v>
      </c>
      <c r="B227" s="489" t="str">
        <f>N$7</f>
        <v>QF5</v>
      </c>
      <c r="C227" s="489" t="str">
        <f t="shared" ref="C227:E228" si="80">O$7</f>
        <v>Quad</v>
      </c>
      <c r="D227" s="489">
        <f t="shared" si="80"/>
        <v>0.51961999999999997</v>
      </c>
      <c r="E227" s="489">
        <f t="shared" si="80"/>
        <v>0.73458675277149998</v>
      </c>
      <c r="F227" s="489"/>
      <c r="G227" s="550">
        <f t="shared" si="70"/>
        <v>0</v>
      </c>
      <c r="H227" s="550">
        <f t="shared" si="71"/>
        <v>0</v>
      </c>
      <c r="I227" s="550">
        <f t="shared" si="72"/>
        <v>0</v>
      </c>
      <c r="J227" s="556"/>
      <c r="K227">
        <v>-2.276E-4</v>
      </c>
      <c r="L227">
        <f t="shared" si="73"/>
        <v>0.99977240000000001</v>
      </c>
    </row>
    <row r="228" spans="1:12">
      <c r="A228">
        <v>26</v>
      </c>
      <c r="B228" s="489" t="str">
        <f>N$7</f>
        <v>QF5</v>
      </c>
      <c r="C228" s="489" t="str">
        <f t="shared" si="80"/>
        <v>Quad</v>
      </c>
      <c r="D228" s="489">
        <f t="shared" si="80"/>
        <v>0.51961999999999997</v>
      </c>
      <c r="E228" s="489">
        <f t="shared" si="80"/>
        <v>0.73458675277149998</v>
      </c>
      <c r="F228" s="489"/>
      <c r="G228" s="550">
        <f t="shared" si="70"/>
        <v>0</v>
      </c>
      <c r="H228" s="550">
        <f t="shared" si="71"/>
        <v>0</v>
      </c>
      <c r="I228" s="550">
        <f t="shared" si="72"/>
        <v>0</v>
      </c>
      <c r="J228" s="556"/>
      <c r="K228">
        <v>-3.0226999999999999E-4</v>
      </c>
      <c r="L228">
        <f t="shared" si="73"/>
        <v>0.99969772999999995</v>
      </c>
    </row>
    <row r="229" spans="1:12">
      <c r="A229">
        <v>26</v>
      </c>
      <c r="B229" s="489" t="str">
        <f>N$6</f>
        <v>QD4</v>
      </c>
      <c r="C229" s="489" t="str">
        <f>O$6</f>
        <v>Quad</v>
      </c>
      <c r="D229" s="489">
        <f>P$6</f>
        <v>0.42210999999999999</v>
      </c>
      <c r="E229" s="489">
        <f>Q$6</f>
        <v>-0.60152556163972903</v>
      </c>
      <c r="F229" s="489"/>
      <c r="G229" s="550">
        <f t="shared" si="70"/>
        <v>0</v>
      </c>
      <c r="H229" s="550">
        <f t="shared" si="71"/>
        <v>0</v>
      </c>
      <c r="I229" s="550">
        <f t="shared" si="72"/>
        <v>0</v>
      </c>
      <c r="J229" s="556"/>
      <c r="K229">
        <v>7.6986000000000003E-4</v>
      </c>
      <c r="L229">
        <f t="shared" si="73"/>
        <v>1.0007698599999999</v>
      </c>
    </row>
    <row r="230" spans="1:12">
      <c r="A230">
        <v>26</v>
      </c>
      <c r="B230" s="489" t="str">
        <f>N$8</f>
        <v>QD6</v>
      </c>
      <c r="C230" s="489" t="str">
        <f>O$8</f>
        <v>Quad</v>
      </c>
      <c r="D230" s="489">
        <f>P$8</f>
        <v>0.51900999999999997</v>
      </c>
      <c r="E230" s="489">
        <f>Q$8</f>
        <v>-0.81881189216874428</v>
      </c>
      <c r="F230" s="489"/>
      <c r="G230" s="550">
        <f t="shared" si="70"/>
        <v>0</v>
      </c>
      <c r="H230" s="550">
        <f t="shared" si="71"/>
        <v>0</v>
      </c>
      <c r="I230" s="550">
        <f t="shared" si="72"/>
        <v>0</v>
      </c>
      <c r="J230" s="556"/>
      <c r="K230">
        <v>8.8164000000000005E-4</v>
      </c>
      <c r="L230">
        <f t="shared" si="73"/>
        <v>1.00088164</v>
      </c>
    </row>
    <row r="231" spans="1:12">
      <c r="A231">
        <v>26</v>
      </c>
      <c r="B231" s="489" t="str">
        <f>N$9</f>
        <v>QF7</v>
      </c>
      <c r="C231" s="489" t="str">
        <f>O$9</f>
        <v>Quad</v>
      </c>
      <c r="D231" s="489">
        <f>P$9</f>
        <v>0.92432000000000003</v>
      </c>
      <c r="E231" s="489">
        <f>Q$9</f>
        <v>0.68156622009687096</v>
      </c>
      <c r="F231" s="489"/>
      <c r="G231" s="550">
        <f t="shared" si="70"/>
        <v>0</v>
      </c>
      <c r="H231" s="550">
        <f t="shared" si="71"/>
        <v>0</v>
      </c>
      <c r="I231" s="550">
        <f t="shared" si="72"/>
        <v>0</v>
      </c>
      <c r="J231" s="556"/>
      <c r="K231" s="247">
        <v>6.6425000000000002E-5</v>
      </c>
      <c r="L231">
        <f t="shared" si="73"/>
        <v>1.000066425</v>
      </c>
    </row>
    <row r="232" spans="1:12">
      <c r="A232">
        <v>26</v>
      </c>
      <c r="B232" s="489" t="str">
        <f>N$10</f>
        <v>QD8</v>
      </c>
      <c r="C232" s="489" t="str">
        <f t="shared" ref="C232:E233" si="81">O$10</f>
        <v>Quad</v>
      </c>
      <c r="D232" s="489">
        <f t="shared" si="81"/>
        <v>0.43420999999999998</v>
      </c>
      <c r="E232" s="489">
        <f t="shared" si="81"/>
        <v>0</v>
      </c>
      <c r="F232" s="489"/>
      <c r="G232" s="550">
        <f t="shared" si="70"/>
        <v>0</v>
      </c>
      <c r="H232" s="550">
        <f t="shared" si="71"/>
        <v>0</v>
      </c>
      <c r="I232" s="550">
        <f t="shared" si="72"/>
        <v>0</v>
      </c>
      <c r="J232" s="556"/>
      <c r="K232">
        <v>0</v>
      </c>
      <c r="L232">
        <f t="shared" si="73"/>
        <v>1</v>
      </c>
    </row>
    <row r="233" spans="1:12">
      <c r="A233">
        <v>27</v>
      </c>
      <c r="B233" s="489" t="str">
        <f>N$10</f>
        <v>QD8</v>
      </c>
      <c r="C233" s="489" t="str">
        <f t="shared" si="81"/>
        <v>Quad</v>
      </c>
      <c r="D233" s="489">
        <f t="shared" si="81"/>
        <v>0.43420999999999998</v>
      </c>
      <c r="E233" s="489">
        <f t="shared" si="81"/>
        <v>0</v>
      </c>
      <c r="F233" s="489"/>
      <c r="G233" s="550">
        <f t="shared" si="70"/>
        <v>0</v>
      </c>
      <c r="H233" s="550">
        <f t="shared" si="71"/>
        <v>0</v>
      </c>
      <c r="I233" s="550">
        <f t="shared" si="72"/>
        <v>0</v>
      </c>
      <c r="J233" s="556"/>
      <c r="K233">
        <v>0</v>
      </c>
      <c r="L233">
        <f t="shared" si="73"/>
        <v>1</v>
      </c>
    </row>
    <row r="234" spans="1:12">
      <c r="A234">
        <v>27</v>
      </c>
      <c r="B234" s="489" t="str">
        <f>N$9</f>
        <v>QF7</v>
      </c>
      <c r="C234" s="489" t="str">
        <f>O$9</f>
        <v>Quad</v>
      </c>
      <c r="D234" s="489">
        <f>P$9</f>
        <v>0.92432000000000003</v>
      </c>
      <c r="E234" s="489">
        <f>Q$9</f>
        <v>0.68156622009687096</v>
      </c>
      <c r="F234" s="489"/>
      <c r="G234" s="550">
        <f t="shared" si="70"/>
        <v>0</v>
      </c>
      <c r="H234" s="550">
        <f t="shared" si="71"/>
        <v>0</v>
      </c>
      <c r="I234" s="550">
        <f t="shared" si="72"/>
        <v>0</v>
      </c>
      <c r="J234" s="556"/>
      <c r="K234">
        <v>4.1409999999999998E-4</v>
      </c>
      <c r="L234">
        <f t="shared" si="73"/>
        <v>1.0004141</v>
      </c>
    </row>
    <row r="235" spans="1:12">
      <c r="A235">
        <v>27</v>
      </c>
      <c r="B235" s="489" t="str">
        <f>N$8</f>
        <v>QD6</v>
      </c>
      <c r="C235" s="489" t="str">
        <f>O$8</f>
        <v>Quad</v>
      </c>
      <c r="D235" s="489">
        <f>P$8</f>
        <v>0.51900999999999997</v>
      </c>
      <c r="E235" s="489">
        <f>Q$8</f>
        <v>-0.81881189216874428</v>
      </c>
      <c r="F235" s="489"/>
      <c r="G235" s="550">
        <f t="shared" si="70"/>
        <v>0</v>
      </c>
      <c r="H235" s="550">
        <f t="shared" si="71"/>
        <v>0</v>
      </c>
      <c r="I235" s="550">
        <f t="shared" si="72"/>
        <v>0</v>
      </c>
      <c r="J235" s="556"/>
      <c r="K235">
        <v>3.8999999999999999E-4</v>
      </c>
      <c r="L235">
        <f t="shared" si="73"/>
        <v>1.0003899999999999</v>
      </c>
    </row>
    <row r="236" spans="1:12">
      <c r="A236">
        <v>27</v>
      </c>
      <c r="B236" s="489" t="str">
        <f>N$6</f>
        <v>QD4</v>
      </c>
      <c r="C236" s="489" t="str">
        <f>O$6</f>
        <v>Quad</v>
      </c>
      <c r="D236" s="489">
        <f>P$6</f>
        <v>0.42210999999999999</v>
      </c>
      <c r="E236" s="489">
        <f>Q$6</f>
        <v>-0.60152556163972903</v>
      </c>
      <c r="F236" s="489"/>
      <c r="G236" s="550">
        <f t="shared" si="70"/>
        <v>0</v>
      </c>
      <c r="H236" s="550">
        <f t="shared" si="71"/>
        <v>0</v>
      </c>
      <c r="I236" s="550">
        <f t="shared" si="72"/>
        <v>0</v>
      </c>
      <c r="J236" s="556"/>
      <c r="K236">
        <v>4.1753999999999999E-4</v>
      </c>
      <c r="L236">
        <f t="shared" si="73"/>
        <v>1.0004175399999999</v>
      </c>
    </row>
    <row r="237" spans="1:12">
      <c r="A237">
        <v>27</v>
      </c>
      <c r="B237" s="489" t="str">
        <f>N$7</f>
        <v>QF5</v>
      </c>
      <c r="C237" s="489" t="str">
        <f t="shared" ref="C237:E238" si="82">O$7</f>
        <v>Quad</v>
      </c>
      <c r="D237" s="489">
        <f t="shared" si="82"/>
        <v>0.51961999999999997</v>
      </c>
      <c r="E237" s="489">
        <f t="shared" si="82"/>
        <v>0.73458675277149998</v>
      </c>
      <c r="F237" s="489"/>
      <c r="G237" s="550">
        <f t="shared" si="70"/>
        <v>0</v>
      </c>
      <c r="H237" s="550">
        <f t="shared" si="71"/>
        <v>0</v>
      </c>
      <c r="I237" s="550">
        <f t="shared" si="72"/>
        <v>0</v>
      </c>
      <c r="J237" s="556"/>
      <c r="K237">
        <v>-1.0101E-4</v>
      </c>
      <c r="L237">
        <f t="shared" si="73"/>
        <v>0.99989899000000004</v>
      </c>
    </row>
    <row r="238" spans="1:12">
      <c r="A238">
        <v>27</v>
      </c>
      <c r="B238" s="489" t="str">
        <f>N$7</f>
        <v>QF5</v>
      </c>
      <c r="C238" s="489" t="str">
        <f t="shared" si="82"/>
        <v>Quad</v>
      </c>
      <c r="D238" s="489">
        <f t="shared" si="82"/>
        <v>0.51961999999999997</v>
      </c>
      <c r="E238" s="489">
        <f t="shared" si="82"/>
        <v>0.73458675277149998</v>
      </c>
      <c r="F238" s="489"/>
      <c r="G238" s="550">
        <f t="shared" si="70"/>
        <v>0</v>
      </c>
      <c r="H238" s="550">
        <f t="shared" si="71"/>
        <v>0</v>
      </c>
      <c r="I238" s="550">
        <f t="shared" si="72"/>
        <v>0</v>
      </c>
      <c r="J238" s="556"/>
      <c r="K238" s="247">
        <v>-7.9951999999999996E-5</v>
      </c>
      <c r="L238">
        <f t="shared" si="73"/>
        <v>0.99992004800000001</v>
      </c>
    </row>
    <row r="239" spans="1:12">
      <c r="A239">
        <v>27</v>
      </c>
      <c r="B239" s="489" t="str">
        <f>N$6</f>
        <v>QD4</v>
      </c>
      <c r="C239" s="489" t="str">
        <f>O$6</f>
        <v>Quad</v>
      </c>
      <c r="D239" s="489">
        <f>P$6</f>
        <v>0.42210999999999999</v>
      </c>
      <c r="E239" s="489">
        <f>Q$6</f>
        <v>-0.60152556163972903</v>
      </c>
      <c r="F239" s="489"/>
      <c r="G239" s="550">
        <f t="shared" si="70"/>
        <v>0</v>
      </c>
      <c r="H239" s="550">
        <f t="shared" si="71"/>
        <v>0</v>
      </c>
      <c r="I239" s="550">
        <f t="shared" si="72"/>
        <v>0</v>
      </c>
      <c r="J239" s="556"/>
      <c r="K239">
        <v>3.6989E-4</v>
      </c>
      <c r="L239">
        <f t="shared" si="73"/>
        <v>1.00036989</v>
      </c>
    </row>
    <row r="240" spans="1:12">
      <c r="A240">
        <v>27</v>
      </c>
      <c r="B240" s="489" t="str">
        <f>N$5</f>
        <v>QD3</v>
      </c>
      <c r="C240" s="489" t="str">
        <f>O$5</f>
        <v>Quad</v>
      </c>
      <c r="D240" s="489">
        <f>P$5</f>
        <v>0.53366999999999998</v>
      </c>
      <c r="E240" s="489">
        <f>Q$5</f>
        <v>-0.603553432914813</v>
      </c>
      <c r="F240" s="489"/>
      <c r="G240" s="550">
        <f t="shared" si="70"/>
        <v>0</v>
      </c>
      <c r="H240" s="550">
        <f t="shared" si="71"/>
        <v>0</v>
      </c>
      <c r="I240" s="550">
        <f t="shared" si="72"/>
        <v>0</v>
      </c>
      <c r="J240" s="556"/>
      <c r="K240">
        <v>6.2969000000000002E-4</v>
      </c>
      <c r="L240">
        <f t="shared" si="73"/>
        <v>1.00062969</v>
      </c>
    </row>
    <row r="241" spans="1:12">
      <c r="A241">
        <v>27</v>
      </c>
      <c r="B241" s="489" t="str">
        <f>N$4</f>
        <v>QF2</v>
      </c>
      <c r="C241" s="489" t="str">
        <f>O$4</f>
        <v>Quad</v>
      </c>
      <c r="D241" s="489">
        <f>P$4</f>
        <v>0.94340999999999997</v>
      </c>
      <c r="E241" s="489">
        <f>Q$4</f>
        <v>0.39100748841534999</v>
      </c>
      <c r="F241" s="489"/>
      <c r="G241" s="550">
        <f t="shared" si="70"/>
        <v>0</v>
      </c>
      <c r="H241" s="550">
        <f t="shared" si="71"/>
        <v>0</v>
      </c>
      <c r="I241" s="550">
        <f t="shared" si="72"/>
        <v>0</v>
      </c>
      <c r="J241" s="556"/>
      <c r="K241">
        <v>-5.2663999999999999E-4</v>
      </c>
      <c r="L241">
        <f t="shared" si="73"/>
        <v>0.99947335999999998</v>
      </c>
    </row>
    <row r="242" spans="1:12">
      <c r="A242">
        <v>27</v>
      </c>
      <c r="B242" s="489" t="str">
        <f>N$3</f>
        <v>QD1</v>
      </c>
      <c r="C242" s="489" t="str">
        <f t="shared" ref="C242:E243" si="83">O$3</f>
        <v>Quad</v>
      </c>
      <c r="D242" s="489">
        <f t="shared" si="83"/>
        <v>0.43804999999999999</v>
      </c>
      <c r="E242" s="489">
        <f t="shared" si="83"/>
        <v>0</v>
      </c>
      <c r="F242" s="489"/>
      <c r="G242" s="550">
        <f t="shared" si="70"/>
        <v>0</v>
      </c>
      <c r="H242" s="550">
        <f t="shared" si="71"/>
        <v>0</v>
      </c>
      <c r="I242" s="550">
        <f t="shared" si="72"/>
        <v>0</v>
      </c>
      <c r="J242" s="556"/>
      <c r="K242">
        <v>0</v>
      </c>
      <c r="L242">
        <f t="shared" si="73"/>
        <v>1</v>
      </c>
    </row>
    <row r="243" spans="1:12">
      <c r="A243">
        <v>28</v>
      </c>
      <c r="B243" s="489" t="str">
        <f>N$3</f>
        <v>QD1</v>
      </c>
      <c r="C243" s="489" t="str">
        <f t="shared" si="83"/>
        <v>Quad</v>
      </c>
      <c r="D243" s="489">
        <f t="shared" si="83"/>
        <v>0.43804999999999999</v>
      </c>
      <c r="E243" s="489">
        <f t="shared" si="83"/>
        <v>0</v>
      </c>
      <c r="F243" s="489"/>
      <c r="G243" s="550">
        <f t="shared" si="70"/>
        <v>0</v>
      </c>
      <c r="H243" s="550">
        <f t="shared" si="71"/>
        <v>0</v>
      </c>
      <c r="I243" s="550">
        <f t="shared" si="72"/>
        <v>0</v>
      </c>
      <c r="J243" s="556"/>
      <c r="K243">
        <v>0</v>
      </c>
      <c r="L243">
        <f t="shared" si="73"/>
        <v>1</v>
      </c>
    </row>
    <row r="244" spans="1:12">
      <c r="A244">
        <v>28</v>
      </c>
      <c r="B244" s="489" t="str">
        <f>N$4</f>
        <v>QF2</v>
      </c>
      <c r="C244" s="489" t="str">
        <f>O$4</f>
        <v>Quad</v>
      </c>
      <c r="D244" s="489">
        <f>P$4</f>
        <v>0.94340999999999997</v>
      </c>
      <c r="E244" s="489">
        <f>Q$4</f>
        <v>0.39100748841534999</v>
      </c>
      <c r="F244" s="489"/>
      <c r="G244" s="550">
        <f t="shared" si="70"/>
        <v>0</v>
      </c>
      <c r="H244" s="550">
        <f t="shared" si="71"/>
        <v>0</v>
      </c>
      <c r="I244" s="550">
        <f t="shared" si="72"/>
        <v>0</v>
      </c>
      <c r="J244" s="556"/>
      <c r="K244">
        <v>-2.6843E-4</v>
      </c>
      <c r="L244">
        <f t="shared" si="73"/>
        <v>0.99973157000000001</v>
      </c>
    </row>
    <row r="245" spans="1:12">
      <c r="A245">
        <v>28</v>
      </c>
      <c r="B245" s="489" t="str">
        <f>N$5</f>
        <v>QD3</v>
      </c>
      <c r="C245" s="489" t="str">
        <f>O$5</f>
        <v>Quad</v>
      </c>
      <c r="D245" s="489">
        <f>P$5</f>
        <v>0.53366999999999998</v>
      </c>
      <c r="E245" s="489">
        <f>Q$5</f>
        <v>-0.603553432914813</v>
      </c>
      <c r="F245" s="489"/>
      <c r="G245" s="550">
        <f t="shared" si="70"/>
        <v>0</v>
      </c>
      <c r="H245" s="550">
        <f t="shared" si="71"/>
        <v>0</v>
      </c>
      <c r="I245" s="550">
        <f t="shared" si="72"/>
        <v>0</v>
      </c>
      <c r="J245" s="556"/>
      <c r="K245">
        <v>7.2274999999999998E-4</v>
      </c>
      <c r="L245">
        <f t="shared" si="73"/>
        <v>1.00072275</v>
      </c>
    </row>
    <row r="246" spans="1:12">
      <c r="A246">
        <v>28</v>
      </c>
      <c r="B246" s="489" t="str">
        <f>N$6</f>
        <v>QD4</v>
      </c>
      <c r="C246" s="489" t="str">
        <f>O$6</f>
        <v>Quad</v>
      </c>
      <c r="D246" s="489">
        <f>P$6</f>
        <v>0.42210999999999999</v>
      </c>
      <c r="E246" s="489">
        <f>Q$6</f>
        <v>-0.60152556163972903</v>
      </c>
      <c r="F246" s="489"/>
      <c r="G246" s="550">
        <f t="shared" si="70"/>
        <v>0</v>
      </c>
      <c r="H246" s="550">
        <f t="shared" si="71"/>
        <v>0</v>
      </c>
      <c r="I246" s="550">
        <f t="shared" si="72"/>
        <v>0</v>
      </c>
      <c r="J246" s="556"/>
      <c r="K246">
        <v>7.7543999999999996E-4</v>
      </c>
      <c r="L246">
        <f t="shared" si="73"/>
        <v>1.00077544</v>
      </c>
    </row>
    <row r="247" spans="1:12">
      <c r="A247">
        <v>28</v>
      </c>
      <c r="B247" s="489" t="str">
        <f>N$7</f>
        <v>QF5</v>
      </c>
      <c r="C247" s="489" t="str">
        <f t="shared" ref="C247:E248" si="84">O$7</f>
        <v>Quad</v>
      </c>
      <c r="D247" s="489">
        <f t="shared" si="84"/>
        <v>0.51961999999999997</v>
      </c>
      <c r="E247" s="489">
        <f t="shared" si="84"/>
        <v>0.73458675277149998</v>
      </c>
      <c r="F247" s="489"/>
      <c r="G247" s="550">
        <f t="shared" si="70"/>
        <v>0</v>
      </c>
      <c r="H247" s="550">
        <f t="shared" si="71"/>
        <v>0</v>
      </c>
      <c r="I247" s="550">
        <f t="shared" si="72"/>
        <v>0</v>
      </c>
      <c r="J247" s="556"/>
      <c r="K247">
        <v>-4.8278999999999998E-4</v>
      </c>
      <c r="L247">
        <f t="shared" si="73"/>
        <v>0.99951721000000004</v>
      </c>
    </row>
    <row r="248" spans="1:12">
      <c r="A248">
        <v>28</v>
      </c>
      <c r="B248" s="489" t="str">
        <f>N$7</f>
        <v>QF5</v>
      </c>
      <c r="C248" s="489" t="str">
        <f t="shared" si="84"/>
        <v>Quad</v>
      </c>
      <c r="D248" s="489">
        <f t="shared" si="84"/>
        <v>0.51961999999999997</v>
      </c>
      <c r="E248" s="489">
        <f t="shared" si="84"/>
        <v>0.73458675277149998</v>
      </c>
      <c r="F248" s="489"/>
      <c r="G248" s="550">
        <f t="shared" si="70"/>
        <v>0</v>
      </c>
      <c r="H248" s="550">
        <f t="shared" si="71"/>
        <v>0</v>
      </c>
      <c r="I248" s="550">
        <f t="shared" si="72"/>
        <v>0</v>
      </c>
      <c r="J248" s="556"/>
      <c r="K248">
        <v>-5.5422000000000002E-4</v>
      </c>
      <c r="L248">
        <f t="shared" si="73"/>
        <v>0.99944577999999995</v>
      </c>
    </row>
    <row r="249" spans="1:12">
      <c r="A249">
        <v>28</v>
      </c>
      <c r="B249" s="489" t="str">
        <f>N$6</f>
        <v>QD4</v>
      </c>
      <c r="C249" s="489" t="str">
        <f>O$6</f>
        <v>Quad</v>
      </c>
      <c r="D249" s="489">
        <f>P$6</f>
        <v>0.42210999999999999</v>
      </c>
      <c r="E249" s="489">
        <f>Q$6</f>
        <v>-0.60152556163972903</v>
      </c>
      <c r="F249" s="489"/>
      <c r="G249" s="550">
        <f t="shared" si="70"/>
        <v>0</v>
      </c>
      <c r="H249" s="550">
        <f t="shared" si="71"/>
        <v>0</v>
      </c>
      <c r="I249" s="550">
        <f t="shared" si="72"/>
        <v>0</v>
      </c>
      <c r="J249" s="556"/>
      <c r="K249">
        <v>1.1192999999999999E-3</v>
      </c>
      <c r="L249">
        <f t="shared" si="73"/>
        <v>1.0011193</v>
      </c>
    </row>
    <row r="250" spans="1:12">
      <c r="A250">
        <v>28</v>
      </c>
      <c r="B250" s="489" t="str">
        <f>N$8</f>
        <v>QD6</v>
      </c>
      <c r="C250" s="489" t="str">
        <f>O$8</f>
        <v>Quad</v>
      </c>
      <c r="D250" s="489">
        <f>P$8</f>
        <v>0.51900999999999997</v>
      </c>
      <c r="E250" s="489">
        <f>Q$8</f>
        <v>-0.81881189216874428</v>
      </c>
      <c r="F250" s="489"/>
      <c r="G250" s="550">
        <f t="shared" si="70"/>
        <v>0</v>
      </c>
      <c r="H250" s="550">
        <f t="shared" si="71"/>
        <v>0</v>
      </c>
      <c r="I250" s="550">
        <f t="shared" si="72"/>
        <v>0</v>
      </c>
      <c r="J250" s="556"/>
      <c r="K250">
        <v>1.5102E-3</v>
      </c>
      <c r="L250">
        <f t="shared" si="73"/>
        <v>1.0015102</v>
      </c>
    </row>
    <row r="251" spans="1:12">
      <c r="A251">
        <v>28</v>
      </c>
      <c r="B251" s="489" t="str">
        <f>N$9</f>
        <v>QF7</v>
      </c>
      <c r="C251" s="489" t="str">
        <f>O$9</f>
        <v>Quad</v>
      </c>
      <c r="D251" s="489">
        <f>P$9</f>
        <v>0.92432000000000003</v>
      </c>
      <c r="E251" s="489">
        <f>Q$9</f>
        <v>0.68156622009687096</v>
      </c>
      <c r="F251" s="489"/>
      <c r="G251" s="550">
        <f t="shared" si="70"/>
        <v>0</v>
      </c>
      <c r="H251" s="550">
        <f t="shared" si="71"/>
        <v>0</v>
      </c>
      <c r="I251" s="550">
        <f t="shared" si="72"/>
        <v>0</v>
      </c>
      <c r="J251" s="556"/>
      <c r="K251">
        <v>-1.3466000000000001E-3</v>
      </c>
      <c r="L251">
        <f t="shared" si="73"/>
        <v>0.99865340000000002</v>
      </c>
    </row>
    <row r="252" spans="1:12">
      <c r="A252">
        <v>28</v>
      </c>
      <c r="B252" s="489" t="str">
        <f>N$10</f>
        <v>QD8</v>
      </c>
      <c r="C252" s="489" t="str">
        <f t="shared" ref="C252:E253" si="85">O$10</f>
        <v>Quad</v>
      </c>
      <c r="D252" s="489">
        <f t="shared" si="85"/>
        <v>0.43420999999999998</v>
      </c>
      <c r="E252" s="489">
        <f t="shared" si="85"/>
        <v>0</v>
      </c>
      <c r="F252" s="489"/>
      <c r="G252" s="550">
        <f t="shared" si="70"/>
        <v>0</v>
      </c>
      <c r="H252" s="550">
        <f t="shared" si="71"/>
        <v>0</v>
      </c>
      <c r="I252" s="550">
        <f t="shared" si="72"/>
        <v>0</v>
      </c>
      <c r="J252" s="556"/>
      <c r="K252">
        <v>0</v>
      </c>
      <c r="L252">
        <f t="shared" si="73"/>
        <v>1</v>
      </c>
    </row>
    <row r="253" spans="1:12">
      <c r="A253">
        <v>29</v>
      </c>
      <c r="B253" s="489" t="str">
        <f>N$10</f>
        <v>QD8</v>
      </c>
      <c r="C253" s="489" t="str">
        <f t="shared" si="85"/>
        <v>Quad</v>
      </c>
      <c r="D253" s="489">
        <f t="shared" si="85"/>
        <v>0.43420999999999998</v>
      </c>
      <c r="E253" s="489">
        <f t="shared" si="85"/>
        <v>0</v>
      </c>
      <c r="F253" s="489"/>
      <c r="G253" s="550">
        <f t="shared" si="70"/>
        <v>0</v>
      </c>
      <c r="H253" s="550">
        <f t="shared" si="71"/>
        <v>0</v>
      </c>
      <c r="I253" s="550">
        <f t="shared" si="72"/>
        <v>0</v>
      </c>
      <c r="J253" s="556"/>
      <c r="K253">
        <v>0</v>
      </c>
      <c r="L253">
        <f t="shared" si="73"/>
        <v>1</v>
      </c>
    </row>
    <row r="254" spans="1:12">
      <c r="A254">
        <v>29</v>
      </c>
      <c r="B254" s="489" t="str">
        <f>N$9</f>
        <v>QF7</v>
      </c>
      <c r="C254" s="489" t="str">
        <f>O$9</f>
        <v>Quad</v>
      </c>
      <c r="D254" s="489">
        <f>P$9</f>
        <v>0.92432000000000003</v>
      </c>
      <c r="E254" s="489">
        <f>Q$9</f>
        <v>0.68156622009687096</v>
      </c>
      <c r="F254" s="489"/>
      <c r="G254" s="550">
        <f t="shared" si="70"/>
        <v>0</v>
      </c>
      <c r="H254" s="550">
        <f t="shared" si="71"/>
        <v>0</v>
      </c>
      <c r="I254" s="550">
        <f t="shared" si="72"/>
        <v>0</v>
      </c>
      <c r="J254" s="556"/>
      <c r="K254">
        <v>-4.7506000000000002E-4</v>
      </c>
      <c r="L254">
        <f t="shared" si="73"/>
        <v>0.99952494000000003</v>
      </c>
    </row>
    <row r="255" spans="1:12">
      <c r="A255">
        <v>29</v>
      </c>
      <c r="B255" s="489" t="str">
        <f>N$8</f>
        <v>QD6</v>
      </c>
      <c r="C255" s="489" t="str">
        <f>O$8</f>
        <v>Quad</v>
      </c>
      <c r="D255" s="489">
        <f>P$8</f>
        <v>0.51900999999999997</v>
      </c>
      <c r="E255" s="489">
        <f>Q$8</f>
        <v>-0.81881189216874428</v>
      </c>
      <c r="F255" s="489"/>
      <c r="G255" s="550">
        <f t="shared" si="70"/>
        <v>0</v>
      </c>
      <c r="H255" s="550">
        <f t="shared" si="71"/>
        <v>0</v>
      </c>
      <c r="I255" s="550">
        <f t="shared" si="72"/>
        <v>0</v>
      </c>
      <c r="J255" s="556"/>
      <c r="K255">
        <v>1.7049E-4</v>
      </c>
      <c r="L255">
        <f t="shared" si="73"/>
        <v>1.0001704899999999</v>
      </c>
    </row>
    <row r="256" spans="1:12">
      <c r="A256">
        <v>29</v>
      </c>
      <c r="B256" s="489" t="str">
        <f>N$6</f>
        <v>QD4</v>
      </c>
      <c r="C256" s="489" t="str">
        <f>O$6</f>
        <v>Quad</v>
      </c>
      <c r="D256" s="489">
        <f>P$6</f>
        <v>0.42210999999999999</v>
      </c>
      <c r="E256" s="489">
        <f>Q$6</f>
        <v>-0.60152556163972903</v>
      </c>
      <c r="F256" s="489"/>
      <c r="G256" s="550">
        <f t="shared" si="70"/>
        <v>0</v>
      </c>
      <c r="H256" s="550">
        <f t="shared" si="71"/>
        <v>0</v>
      </c>
      <c r="I256" s="550">
        <f t="shared" si="72"/>
        <v>0</v>
      </c>
      <c r="J256" s="556"/>
      <c r="K256">
        <v>1.3289000000000001E-4</v>
      </c>
      <c r="L256">
        <f t="shared" si="73"/>
        <v>1.0001328899999999</v>
      </c>
    </row>
    <row r="257" spans="1:12">
      <c r="A257">
        <v>29</v>
      </c>
      <c r="B257" s="489" t="str">
        <f>N$7</f>
        <v>QF5</v>
      </c>
      <c r="C257" s="489" t="str">
        <f t="shared" ref="C257:E258" si="86">O$7</f>
        <v>Quad</v>
      </c>
      <c r="D257" s="489">
        <f t="shared" si="86"/>
        <v>0.51961999999999997</v>
      </c>
      <c r="E257" s="489">
        <f t="shared" si="86"/>
        <v>0.73458675277149998</v>
      </c>
      <c r="F257" s="489"/>
      <c r="G257" s="550">
        <f t="shared" si="70"/>
        <v>0</v>
      </c>
      <c r="H257" s="550">
        <f t="shared" si="71"/>
        <v>0</v>
      </c>
      <c r="I257" s="550">
        <f t="shared" si="72"/>
        <v>0</v>
      </c>
      <c r="J257" s="556"/>
      <c r="K257" s="247">
        <v>-9.6423999999999997E-5</v>
      </c>
      <c r="L257">
        <f t="shared" si="73"/>
        <v>0.99990357600000002</v>
      </c>
    </row>
    <row r="258" spans="1:12">
      <c r="A258">
        <v>29</v>
      </c>
      <c r="B258" s="489" t="str">
        <f>N$7</f>
        <v>QF5</v>
      </c>
      <c r="C258" s="489" t="str">
        <f t="shared" si="86"/>
        <v>Quad</v>
      </c>
      <c r="D258" s="489">
        <f t="shared" si="86"/>
        <v>0.51961999999999997</v>
      </c>
      <c r="E258" s="489">
        <f t="shared" si="86"/>
        <v>0.73458675277149998</v>
      </c>
      <c r="F258" s="489"/>
      <c r="G258" s="550">
        <f t="shared" si="70"/>
        <v>0</v>
      </c>
      <c r="H258" s="550">
        <f t="shared" si="71"/>
        <v>0</v>
      </c>
      <c r="I258" s="550">
        <f t="shared" si="72"/>
        <v>0</v>
      </c>
      <c r="J258" s="556"/>
      <c r="K258">
        <v>-1.1529E-4</v>
      </c>
      <c r="L258">
        <f t="shared" si="73"/>
        <v>0.99988471000000001</v>
      </c>
    </row>
    <row r="259" spans="1:12">
      <c r="A259">
        <v>29</v>
      </c>
      <c r="B259" s="489" t="str">
        <f>N$6</f>
        <v>QD4</v>
      </c>
      <c r="C259" s="489" t="str">
        <f>O$6</f>
        <v>Quad</v>
      </c>
      <c r="D259" s="489">
        <f>P$6</f>
        <v>0.42210999999999999</v>
      </c>
      <c r="E259" s="489">
        <f>Q$6</f>
        <v>-0.60152556163972903</v>
      </c>
      <c r="F259" s="489"/>
      <c r="G259" s="550">
        <f t="shared" si="70"/>
        <v>0</v>
      </c>
      <c r="H259" s="550">
        <f t="shared" si="71"/>
        <v>0</v>
      </c>
      <c r="I259" s="550">
        <f t="shared" si="72"/>
        <v>0</v>
      </c>
      <c r="J259" s="556"/>
      <c r="K259">
        <v>1.8463E-4</v>
      </c>
      <c r="L259">
        <f t="shared" si="73"/>
        <v>1.0001846299999999</v>
      </c>
    </row>
    <row r="260" spans="1:12">
      <c r="A260">
        <v>29</v>
      </c>
      <c r="B260" s="489" t="str">
        <f>N$5</f>
        <v>QD3</v>
      </c>
      <c r="C260" s="489" t="str">
        <f>O$5</f>
        <v>Quad</v>
      </c>
      <c r="D260" s="489">
        <f>P$5</f>
        <v>0.53366999999999998</v>
      </c>
      <c r="E260" s="489">
        <f>Q$5</f>
        <v>-0.603553432914813</v>
      </c>
      <c r="F260" s="489"/>
      <c r="G260" s="550">
        <f t="shared" ref="G260:G322" si="87">E260*$P$32</f>
        <v>0</v>
      </c>
      <c r="H260" s="550">
        <f t="shared" ref="H260:H322" si="88">E260*$P$33</f>
        <v>0</v>
      </c>
      <c r="I260" s="550">
        <f t="shared" ref="I260:I322" si="89">E260*$P$34</f>
        <v>0</v>
      </c>
      <c r="J260" s="556"/>
      <c r="K260">
        <v>3.1809999999999998E-4</v>
      </c>
      <c r="L260">
        <f t="shared" ref="L260:L322" si="90">1+$K$1*$K260</f>
        <v>1.0003181000000001</v>
      </c>
    </row>
    <row r="261" spans="1:12">
      <c r="A261">
        <v>29</v>
      </c>
      <c r="B261" s="489" t="str">
        <f>N$4</f>
        <v>QF2</v>
      </c>
      <c r="C261" s="489" t="str">
        <f>O$4</f>
        <v>Quad</v>
      </c>
      <c r="D261" s="489">
        <f>P$4</f>
        <v>0.94340999999999997</v>
      </c>
      <c r="E261" s="489">
        <f>Q$4</f>
        <v>0.39100748841534999</v>
      </c>
      <c r="F261" s="489"/>
      <c r="G261" s="550">
        <f t="shared" si="87"/>
        <v>0</v>
      </c>
      <c r="H261" s="550">
        <f t="shared" si="88"/>
        <v>0</v>
      </c>
      <c r="I261" s="550">
        <f t="shared" si="89"/>
        <v>0</v>
      </c>
      <c r="J261" s="556"/>
      <c r="K261">
        <v>-4.2415999999999998E-4</v>
      </c>
      <c r="L261">
        <f t="shared" si="90"/>
        <v>0.99957583999999999</v>
      </c>
    </row>
    <row r="262" spans="1:12">
      <c r="A262">
        <v>29</v>
      </c>
      <c r="B262" s="489" t="str">
        <f>N$3</f>
        <v>QD1</v>
      </c>
      <c r="C262" s="489" t="str">
        <f t="shared" ref="C262:E263" si="91">O$3</f>
        <v>Quad</v>
      </c>
      <c r="D262" s="489">
        <f t="shared" si="91"/>
        <v>0.43804999999999999</v>
      </c>
      <c r="E262" s="489">
        <f t="shared" si="91"/>
        <v>0</v>
      </c>
      <c r="F262" s="489"/>
      <c r="G262" s="550">
        <f t="shared" si="87"/>
        <v>0</v>
      </c>
      <c r="H262" s="550">
        <f t="shared" si="88"/>
        <v>0</v>
      </c>
      <c r="I262" s="550">
        <f t="shared" si="89"/>
        <v>0</v>
      </c>
      <c r="J262" s="556"/>
      <c r="K262">
        <v>0</v>
      </c>
      <c r="L262">
        <f t="shared" si="90"/>
        <v>1</v>
      </c>
    </row>
    <row r="263" spans="1:12">
      <c r="A263">
        <v>30</v>
      </c>
      <c r="B263" s="489" t="str">
        <f>N$3</f>
        <v>QD1</v>
      </c>
      <c r="C263" s="489" t="str">
        <f t="shared" si="91"/>
        <v>Quad</v>
      </c>
      <c r="D263" s="489">
        <f t="shared" si="91"/>
        <v>0.43804999999999999</v>
      </c>
      <c r="E263" s="489">
        <f t="shared" si="91"/>
        <v>0</v>
      </c>
      <c r="F263" s="489"/>
      <c r="G263" s="550">
        <f t="shared" si="87"/>
        <v>0</v>
      </c>
      <c r="H263" s="550">
        <f t="shared" si="88"/>
        <v>0</v>
      </c>
      <c r="I263" s="550">
        <f t="shared" si="89"/>
        <v>0</v>
      </c>
      <c r="J263" s="556"/>
      <c r="K263">
        <v>0</v>
      </c>
      <c r="L263">
        <f t="shared" si="90"/>
        <v>1</v>
      </c>
    </row>
    <row r="264" spans="1:12">
      <c r="A264">
        <v>30</v>
      </c>
      <c r="B264" s="489" t="str">
        <f>N$4</f>
        <v>QF2</v>
      </c>
      <c r="C264" s="489" t="str">
        <f>O$4</f>
        <v>Quad</v>
      </c>
      <c r="D264" s="489">
        <f>P$4</f>
        <v>0.94340999999999997</v>
      </c>
      <c r="E264" s="489">
        <f>Q$4</f>
        <v>0.39100748841534999</v>
      </c>
      <c r="F264" s="489"/>
      <c r="G264" s="550">
        <f t="shared" si="87"/>
        <v>0</v>
      </c>
      <c r="H264" s="550">
        <f t="shared" si="88"/>
        <v>0</v>
      </c>
      <c r="I264" s="550">
        <f t="shared" si="89"/>
        <v>0</v>
      </c>
      <c r="J264" s="556"/>
      <c r="K264">
        <v>-1.0904E-3</v>
      </c>
      <c r="L264">
        <f t="shared" si="90"/>
        <v>0.99890959999999995</v>
      </c>
    </row>
    <row r="265" spans="1:12">
      <c r="A265">
        <v>30</v>
      </c>
      <c r="B265" s="489" t="str">
        <f>N$5</f>
        <v>QD3</v>
      </c>
      <c r="C265" s="489" t="str">
        <f>O$5</f>
        <v>Quad</v>
      </c>
      <c r="D265" s="489">
        <f>P$5</f>
        <v>0.53366999999999998</v>
      </c>
      <c r="E265" s="489">
        <f>Q$5</f>
        <v>-0.603553432914813</v>
      </c>
      <c r="F265" s="489"/>
      <c r="G265" s="550">
        <f t="shared" si="87"/>
        <v>0</v>
      </c>
      <c r="H265" s="550">
        <f t="shared" si="88"/>
        <v>0</v>
      </c>
      <c r="I265" s="550">
        <f t="shared" si="89"/>
        <v>0</v>
      </c>
      <c r="J265" s="556"/>
      <c r="K265">
        <v>9.4306999999999995E-4</v>
      </c>
      <c r="L265">
        <f t="shared" si="90"/>
        <v>1.0009430699999999</v>
      </c>
    </row>
    <row r="266" spans="1:12">
      <c r="A266">
        <v>30</v>
      </c>
      <c r="B266" s="489" t="str">
        <f>N$6</f>
        <v>QD4</v>
      </c>
      <c r="C266" s="489" t="str">
        <f>O$6</f>
        <v>Quad</v>
      </c>
      <c r="D266" s="489">
        <f>P$6</f>
        <v>0.42210999999999999</v>
      </c>
      <c r="E266" s="489">
        <f>Q$6</f>
        <v>-0.60152556163972903</v>
      </c>
      <c r="F266" s="489"/>
      <c r="G266" s="550">
        <f t="shared" si="87"/>
        <v>0</v>
      </c>
      <c r="H266" s="550">
        <f t="shared" si="88"/>
        <v>0</v>
      </c>
      <c r="I266" s="550">
        <f t="shared" si="89"/>
        <v>0</v>
      </c>
      <c r="J266" s="556"/>
      <c r="K266">
        <v>7.7324999999999996E-4</v>
      </c>
      <c r="L266">
        <f t="shared" si="90"/>
        <v>1.0007732499999999</v>
      </c>
    </row>
    <row r="267" spans="1:12">
      <c r="A267">
        <v>30</v>
      </c>
      <c r="B267" s="489" t="str">
        <f>N$7</f>
        <v>QF5</v>
      </c>
      <c r="C267" s="489" t="str">
        <f t="shared" ref="C267:E268" si="92">O$7</f>
        <v>Quad</v>
      </c>
      <c r="D267" s="489">
        <f t="shared" si="92"/>
        <v>0.51961999999999997</v>
      </c>
      <c r="E267" s="489">
        <f t="shared" si="92"/>
        <v>0.73458675277149998</v>
      </c>
      <c r="F267" s="489"/>
      <c r="G267" s="550">
        <f t="shared" si="87"/>
        <v>0</v>
      </c>
      <c r="H267" s="550">
        <f t="shared" si="88"/>
        <v>0</v>
      </c>
      <c r="I267" s="550">
        <f t="shared" si="89"/>
        <v>0</v>
      </c>
      <c r="J267" s="556"/>
      <c r="K267">
        <v>-4.5134E-4</v>
      </c>
      <c r="L267">
        <f t="shared" si="90"/>
        <v>0.99954865999999998</v>
      </c>
    </row>
    <row r="268" spans="1:12">
      <c r="A268">
        <v>30</v>
      </c>
      <c r="B268" s="489" t="str">
        <f>N$7</f>
        <v>QF5</v>
      </c>
      <c r="C268" s="489" t="str">
        <f t="shared" si="92"/>
        <v>Quad</v>
      </c>
      <c r="D268" s="489">
        <f t="shared" si="92"/>
        <v>0.51961999999999997</v>
      </c>
      <c r="E268" s="489">
        <f t="shared" si="92"/>
        <v>0.73458675277149998</v>
      </c>
      <c r="F268" s="489"/>
      <c r="G268" s="550">
        <f t="shared" si="87"/>
        <v>0</v>
      </c>
      <c r="H268" s="550">
        <f t="shared" si="88"/>
        <v>0</v>
      </c>
      <c r="I268" s="550">
        <f t="shared" si="89"/>
        <v>0</v>
      </c>
      <c r="J268" s="556"/>
      <c r="K268">
        <v>-4.9355999999999998E-4</v>
      </c>
      <c r="L268">
        <f t="shared" si="90"/>
        <v>0.99950644</v>
      </c>
    </row>
    <row r="269" spans="1:12">
      <c r="A269">
        <v>30</v>
      </c>
      <c r="B269" s="489" t="str">
        <f>N$6</f>
        <v>QD4</v>
      </c>
      <c r="C269" s="489" t="str">
        <f>O$6</f>
        <v>Quad</v>
      </c>
      <c r="D269" s="489">
        <f>P$6</f>
        <v>0.42210999999999999</v>
      </c>
      <c r="E269" s="489">
        <f>Q$6</f>
        <v>-0.60152556163972903</v>
      </c>
      <c r="F269" s="489"/>
      <c r="G269" s="550">
        <f t="shared" si="87"/>
        <v>0</v>
      </c>
      <c r="H269" s="550">
        <f t="shared" si="88"/>
        <v>0</v>
      </c>
      <c r="I269" s="550">
        <f t="shared" si="89"/>
        <v>0</v>
      </c>
      <c r="J269" s="556"/>
      <c r="K269">
        <v>9.5394000000000002E-4</v>
      </c>
      <c r="L269">
        <f t="shared" si="90"/>
        <v>1.00095394</v>
      </c>
    </row>
    <row r="270" spans="1:12">
      <c r="A270">
        <v>30</v>
      </c>
      <c r="B270" s="489" t="str">
        <f>N$8</f>
        <v>QD6</v>
      </c>
      <c r="C270" s="489" t="str">
        <f>O$8</f>
        <v>Quad</v>
      </c>
      <c r="D270" s="489">
        <f>P$8</f>
        <v>0.51900999999999997</v>
      </c>
      <c r="E270" s="489">
        <f>Q$8</f>
        <v>-0.81881189216874428</v>
      </c>
      <c r="F270" s="489"/>
      <c r="G270" s="550">
        <f t="shared" si="87"/>
        <v>0</v>
      </c>
      <c r="H270" s="550">
        <f t="shared" si="88"/>
        <v>0</v>
      </c>
      <c r="I270" s="550">
        <f t="shared" si="89"/>
        <v>0</v>
      </c>
      <c r="J270" s="556"/>
      <c r="K270">
        <v>1.1173000000000001E-3</v>
      </c>
      <c r="L270">
        <f t="shared" si="90"/>
        <v>1.0011173</v>
      </c>
    </row>
    <row r="271" spans="1:12">
      <c r="A271">
        <v>30</v>
      </c>
      <c r="B271" s="489" t="str">
        <f>N$9</f>
        <v>QF7</v>
      </c>
      <c r="C271" s="489" t="str">
        <f>O$9</f>
        <v>Quad</v>
      </c>
      <c r="D271" s="489">
        <f>P$9</f>
        <v>0.92432000000000003</v>
      </c>
      <c r="E271" s="489">
        <f>Q$9</f>
        <v>0.68156622009687096</v>
      </c>
      <c r="F271" s="489"/>
      <c r="G271" s="550">
        <f t="shared" si="87"/>
        <v>0</v>
      </c>
      <c r="H271" s="550">
        <f t="shared" si="88"/>
        <v>0</v>
      </c>
      <c r="I271" s="550">
        <f t="shared" si="89"/>
        <v>0</v>
      </c>
      <c r="J271" s="556"/>
      <c r="K271">
        <v>-8.0057999999999995E-4</v>
      </c>
      <c r="L271">
        <f t="shared" si="90"/>
        <v>0.99919941999999995</v>
      </c>
    </row>
    <row r="272" spans="1:12">
      <c r="A272">
        <v>30</v>
      </c>
      <c r="B272" s="489" t="str">
        <f>N$10</f>
        <v>QD8</v>
      </c>
      <c r="C272" s="489" t="str">
        <f t="shared" ref="C272:E273" si="93">O$10</f>
        <v>Quad</v>
      </c>
      <c r="D272" s="489">
        <f t="shared" si="93"/>
        <v>0.43420999999999998</v>
      </c>
      <c r="E272" s="489">
        <f t="shared" si="93"/>
        <v>0</v>
      </c>
      <c r="F272" s="489"/>
      <c r="G272" s="550">
        <f t="shared" si="87"/>
        <v>0</v>
      </c>
      <c r="H272" s="550">
        <f t="shared" si="88"/>
        <v>0</v>
      </c>
      <c r="I272" s="550">
        <f t="shared" si="89"/>
        <v>0</v>
      </c>
      <c r="J272" s="556"/>
      <c r="K272">
        <v>0</v>
      </c>
      <c r="L272">
        <f t="shared" si="90"/>
        <v>1</v>
      </c>
    </row>
    <row r="273" spans="1:12">
      <c r="A273">
        <v>31</v>
      </c>
      <c r="B273" s="489" t="str">
        <f>N$10</f>
        <v>QD8</v>
      </c>
      <c r="C273" s="489" t="str">
        <f t="shared" si="93"/>
        <v>Quad</v>
      </c>
      <c r="D273" s="489">
        <f t="shared" si="93"/>
        <v>0.43420999999999998</v>
      </c>
      <c r="E273" s="489">
        <f t="shared" si="93"/>
        <v>0</v>
      </c>
      <c r="F273" s="489"/>
      <c r="G273" s="550">
        <f t="shared" si="87"/>
        <v>0</v>
      </c>
      <c r="H273" s="550">
        <f t="shared" si="88"/>
        <v>0</v>
      </c>
      <c r="I273" s="550">
        <f t="shared" si="89"/>
        <v>0</v>
      </c>
      <c r="J273" s="556"/>
      <c r="K273">
        <v>0</v>
      </c>
      <c r="L273">
        <f t="shared" si="90"/>
        <v>1</v>
      </c>
    </row>
    <row r="274" spans="1:12">
      <c r="A274">
        <v>31</v>
      </c>
      <c r="B274" s="489" t="str">
        <f>N$9</f>
        <v>QF7</v>
      </c>
      <c r="C274" s="489" t="str">
        <f>O$9</f>
        <v>Quad</v>
      </c>
      <c r="D274" s="489">
        <f>P$9</f>
        <v>0.92432000000000003</v>
      </c>
      <c r="E274" s="489">
        <f>Q$9</f>
        <v>0.68156622009687096</v>
      </c>
      <c r="F274" s="489"/>
      <c r="G274" s="550">
        <f t="shared" si="87"/>
        <v>0</v>
      </c>
      <c r="H274" s="550">
        <f t="shared" si="88"/>
        <v>0</v>
      </c>
      <c r="I274" s="550">
        <f t="shared" si="89"/>
        <v>0</v>
      </c>
      <c r="J274" s="556"/>
      <c r="K274">
        <v>-2.6568000000000002E-4</v>
      </c>
      <c r="L274">
        <f t="shared" si="90"/>
        <v>0.99973431999999995</v>
      </c>
    </row>
    <row r="275" spans="1:12">
      <c r="A275">
        <v>31</v>
      </c>
      <c r="B275" s="489" t="str">
        <f>N$8</f>
        <v>QD6</v>
      </c>
      <c r="C275" s="489" t="str">
        <f>O$8</f>
        <v>Quad</v>
      </c>
      <c r="D275" s="489">
        <f>P$8</f>
        <v>0.51900999999999997</v>
      </c>
      <c r="E275" s="489">
        <f>Q$8</f>
        <v>-0.81881189216874428</v>
      </c>
      <c r="F275" s="489"/>
      <c r="G275" s="550">
        <f t="shared" si="87"/>
        <v>0</v>
      </c>
      <c r="H275" s="550">
        <f t="shared" si="88"/>
        <v>0</v>
      </c>
      <c r="I275" s="550">
        <f t="shared" si="89"/>
        <v>0</v>
      </c>
      <c r="J275" s="556"/>
      <c r="K275">
        <v>4.1902999999999998E-4</v>
      </c>
      <c r="L275">
        <f t="shared" si="90"/>
        <v>1.00041903</v>
      </c>
    </row>
    <row r="276" spans="1:12">
      <c r="A276">
        <v>31</v>
      </c>
      <c r="B276" s="489" t="str">
        <f>N$6</f>
        <v>QD4</v>
      </c>
      <c r="C276" s="489" t="str">
        <f>O$6</f>
        <v>Quad</v>
      </c>
      <c r="D276" s="489">
        <f>P$6</f>
        <v>0.42210999999999999</v>
      </c>
      <c r="E276" s="489">
        <f>Q$6</f>
        <v>-0.60152556163972903</v>
      </c>
      <c r="F276" s="489"/>
      <c r="G276" s="550">
        <f t="shared" si="87"/>
        <v>0</v>
      </c>
      <c r="H276" s="550">
        <f t="shared" si="88"/>
        <v>0</v>
      </c>
      <c r="I276" s="550">
        <f t="shared" si="89"/>
        <v>0</v>
      </c>
      <c r="J276" s="556"/>
      <c r="K276">
        <v>4.1211999999999998E-4</v>
      </c>
      <c r="L276">
        <f t="shared" si="90"/>
        <v>1.00041212</v>
      </c>
    </row>
    <row r="277" spans="1:12">
      <c r="A277">
        <v>31</v>
      </c>
      <c r="B277" s="489" t="str">
        <f>N$7</f>
        <v>QF5</v>
      </c>
      <c r="C277" s="489" t="str">
        <f t="shared" ref="C277:E278" si="94">O$7</f>
        <v>Quad</v>
      </c>
      <c r="D277" s="489">
        <f t="shared" si="94"/>
        <v>0.51961999999999997</v>
      </c>
      <c r="E277" s="489">
        <f t="shared" si="94"/>
        <v>0.73458675277149998</v>
      </c>
      <c r="F277" s="489"/>
      <c r="G277" s="550">
        <f t="shared" si="87"/>
        <v>0</v>
      </c>
      <c r="H277" s="550">
        <f t="shared" si="88"/>
        <v>0</v>
      </c>
      <c r="I277" s="550">
        <f t="shared" si="89"/>
        <v>0</v>
      </c>
      <c r="J277" s="556"/>
      <c r="K277">
        <v>-1.3587000000000001E-4</v>
      </c>
      <c r="L277">
        <f t="shared" si="90"/>
        <v>0.99986412999999996</v>
      </c>
    </row>
    <row r="278" spans="1:12">
      <c r="A278">
        <v>31</v>
      </c>
      <c r="B278" s="489" t="str">
        <f>N$7</f>
        <v>QF5</v>
      </c>
      <c r="C278" s="489" t="str">
        <f t="shared" si="94"/>
        <v>Quad</v>
      </c>
      <c r="D278" s="489">
        <f t="shared" si="94"/>
        <v>0.51961999999999997</v>
      </c>
      <c r="E278" s="489">
        <f t="shared" si="94"/>
        <v>0.73458675277149998</v>
      </c>
      <c r="F278" s="489"/>
      <c r="G278" s="550">
        <f t="shared" si="87"/>
        <v>0</v>
      </c>
      <c r="H278" s="550">
        <f t="shared" si="88"/>
        <v>0</v>
      </c>
      <c r="I278" s="550">
        <f t="shared" si="89"/>
        <v>0</v>
      </c>
      <c r="J278" s="556"/>
      <c r="K278">
        <v>-1.6254E-4</v>
      </c>
      <c r="L278">
        <f t="shared" si="90"/>
        <v>0.99983745999999996</v>
      </c>
    </row>
    <row r="279" spans="1:12">
      <c r="A279">
        <v>31</v>
      </c>
      <c r="B279" s="489" t="str">
        <f>N$6</f>
        <v>QD4</v>
      </c>
      <c r="C279" s="489" t="str">
        <f>O$6</f>
        <v>Quad</v>
      </c>
      <c r="D279" s="489">
        <f>P$6</f>
        <v>0.42210999999999999</v>
      </c>
      <c r="E279" s="489">
        <f>Q$6</f>
        <v>-0.60152556163972903</v>
      </c>
      <c r="F279" s="489"/>
      <c r="G279" s="550">
        <f t="shared" si="87"/>
        <v>0</v>
      </c>
      <c r="H279" s="550">
        <f t="shared" si="88"/>
        <v>0</v>
      </c>
      <c r="I279" s="550">
        <f t="shared" si="89"/>
        <v>0</v>
      </c>
      <c r="J279" s="556"/>
      <c r="K279">
        <v>4.8638000000000002E-4</v>
      </c>
      <c r="L279">
        <f t="shared" si="90"/>
        <v>1.0004863799999999</v>
      </c>
    </row>
    <row r="280" spans="1:12">
      <c r="A280">
        <v>31</v>
      </c>
      <c r="B280" s="489" t="str">
        <f>N$5</f>
        <v>QD3</v>
      </c>
      <c r="C280" s="489" t="str">
        <f>O$5</f>
        <v>Quad</v>
      </c>
      <c r="D280" s="489">
        <f>P$5</f>
        <v>0.53366999999999998</v>
      </c>
      <c r="E280" s="489">
        <f>Q$5</f>
        <v>-0.603553432914813</v>
      </c>
      <c r="F280" s="489"/>
      <c r="G280" s="550">
        <f t="shared" si="87"/>
        <v>0</v>
      </c>
      <c r="H280" s="550">
        <f t="shared" si="88"/>
        <v>0</v>
      </c>
      <c r="I280" s="550">
        <f t="shared" si="89"/>
        <v>0</v>
      </c>
      <c r="J280" s="556"/>
      <c r="K280">
        <v>6.7756000000000001E-4</v>
      </c>
      <c r="L280">
        <f t="shared" si="90"/>
        <v>1.00067756</v>
      </c>
    </row>
    <row r="281" spans="1:12">
      <c r="A281">
        <v>31</v>
      </c>
      <c r="B281" s="489" t="str">
        <f>N$4</f>
        <v>QF2</v>
      </c>
      <c r="C281" s="489" t="str">
        <f>O$4</f>
        <v>Quad</v>
      </c>
      <c r="D281" s="489">
        <f>P$4</f>
        <v>0.94340999999999997</v>
      </c>
      <c r="E281" s="489">
        <f>Q$4</f>
        <v>0.39100748841534999</v>
      </c>
      <c r="F281" s="489"/>
      <c r="G281" s="550">
        <f t="shared" si="87"/>
        <v>0</v>
      </c>
      <c r="H281" s="550">
        <f t="shared" si="88"/>
        <v>0</v>
      </c>
      <c r="I281" s="550">
        <f t="shared" si="89"/>
        <v>0</v>
      </c>
      <c r="J281" s="556"/>
      <c r="K281" s="247">
        <v>3.7803999999999999E-5</v>
      </c>
      <c r="L281">
        <f t="shared" si="90"/>
        <v>1.000037804</v>
      </c>
    </row>
    <row r="282" spans="1:12">
      <c r="A282">
        <v>31</v>
      </c>
      <c r="B282" s="489" t="str">
        <f>N$3</f>
        <v>QD1</v>
      </c>
      <c r="C282" s="489" t="str">
        <f t="shared" ref="C282:E283" si="95">O$3</f>
        <v>Quad</v>
      </c>
      <c r="D282" s="489">
        <f t="shared" si="95"/>
        <v>0.43804999999999999</v>
      </c>
      <c r="E282" s="489">
        <f t="shared" si="95"/>
        <v>0</v>
      </c>
      <c r="F282" s="489"/>
      <c r="G282" s="550">
        <f t="shared" si="87"/>
        <v>0</v>
      </c>
      <c r="H282" s="550">
        <f t="shared" si="88"/>
        <v>0</v>
      </c>
      <c r="I282" s="550">
        <f t="shared" si="89"/>
        <v>0</v>
      </c>
      <c r="J282" s="556"/>
      <c r="K282">
        <v>0</v>
      </c>
      <c r="L282">
        <f t="shared" si="90"/>
        <v>1</v>
      </c>
    </row>
    <row r="283" spans="1:12">
      <c r="A283">
        <v>32</v>
      </c>
      <c r="B283" s="489" t="str">
        <f>N$3</f>
        <v>QD1</v>
      </c>
      <c r="C283" s="489" t="str">
        <f t="shared" si="95"/>
        <v>Quad</v>
      </c>
      <c r="D283" s="489">
        <f t="shared" si="95"/>
        <v>0.43804999999999999</v>
      </c>
      <c r="E283" s="489">
        <f t="shared" si="95"/>
        <v>0</v>
      </c>
      <c r="F283" s="489"/>
      <c r="G283" s="550">
        <f t="shared" si="87"/>
        <v>0</v>
      </c>
      <c r="H283" s="550">
        <f t="shared" si="88"/>
        <v>0</v>
      </c>
      <c r="I283" s="550">
        <f t="shared" si="89"/>
        <v>0</v>
      </c>
      <c r="J283" s="556"/>
      <c r="K283">
        <v>0</v>
      </c>
      <c r="L283">
        <f t="shared" si="90"/>
        <v>1</v>
      </c>
    </row>
    <row r="284" spans="1:12">
      <c r="A284">
        <v>32</v>
      </c>
      <c r="B284" s="489" t="str">
        <f>N$4</f>
        <v>QF2</v>
      </c>
      <c r="C284" s="489" t="str">
        <f>O$4</f>
        <v>Quad</v>
      </c>
      <c r="D284" s="489">
        <f>P$4</f>
        <v>0.94340999999999997</v>
      </c>
      <c r="E284" s="489">
        <f>Q$4</f>
        <v>0.39100748841534999</v>
      </c>
      <c r="F284" s="489"/>
      <c r="G284" s="550">
        <f t="shared" si="87"/>
        <v>0</v>
      </c>
      <c r="H284" s="550">
        <f t="shared" si="88"/>
        <v>0</v>
      </c>
      <c r="I284" s="550">
        <f t="shared" si="89"/>
        <v>0</v>
      </c>
      <c r="J284" s="556"/>
      <c r="K284">
        <v>1.1173000000000001E-3</v>
      </c>
      <c r="L284">
        <f t="shared" si="90"/>
        <v>1.0011173</v>
      </c>
    </row>
    <row r="285" spans="1:12">
      <c r="A285">
        <v>32</v>
      </c>
      <c r="B285" s="489" t="str">
        <f>N$5</f>
        <v>QD3</v>
      </c>
      <c r="C285" s="489" t="str">
        <f>O$5</f>
        <v>Quad</v>
      </c>
      <c r="D285" s="489">
        <f>P$5</f>
        <v>0.53366999999999998</v>
      </c>
      <c r="E285" s="489">
        <f>Q$5</f>
        <v>-0.603553432914813</v>
      </c>
      <c r="F285" s="489"/>
      <c r="G285" s="550">
        <f t="shared" si="87"/>
        <v>0</v>
      </c>
      <c r="H285" s="550">
        <f t="shared" si="88"/>
        <v>0</v>
      </c>
      <c r="I285" s="550">
        <f t="shared" si="89"/>
        <v>0</v>
      </c>
      <c r="J285" s="556"/>
      <c r="K285">
        <v>-1.8933000000000001E-4</v>
      </c>
      <c r="L285">
        <f t="shared" si="90"/>
        <v>0.99981067000000001</v>
      </c>
    </row>
    <row r="286" spans="1:12">
      <c r="A286">
        <v>32</v>
      </c>
      <c r="B286" s="489" t="str">
        <f>N$6</f>
        <v>QD4</v>
      </c>
      <c r="C286" s="489" t="str">
        <f>O$6</f>
        <v>Quad</v>
      </c>
      <c r="D286" s="489">
        <f>P$6</f>
        <v>0.42210999999999999</v>
      </c>
      <c r="E286" s="489">
        <f>Q$6</f>
        <v>-0.60152556163972903</v>
      </c>
      <c r="F286" s="489"/>
      <c r="G286" s="550">
        <f t="shared" si="87"/>
        <v>0</v>
      </c>
      <c r="H286" s="550">
        <f t="shared" si="88"/>
        <v>0</v>
      </c>
      <c r="I286" s="550">
        <f t="shared" si="89"/>
        <v>0</v>
      </c>
      <c r="J286" s="556"/>
      <c r="K286">
        <v>2.4405E-4</v>
      </c>
      <c r="L286">
        <f t="shared" si="90"/>
        <v>1.0002440500000001</v>
      </c>
    </row>
    <row r="287" spans="1:12">
      <c r="A287">
        <v>32</v>
      </c>
      <c r="B287" s="489" t="str">
        <f>N$7</f>
        <v>QF5</v>
      </c>
      <c r="C287" s="489" t="str">
        <f t="shared" ref="C287:E288" si="96">O$7</f>
        <v>Quad</v>
      </c>
      <c r="D287" s="489">
        <f t="shared" si="96"/>
        <v>0.51961999999999997</v>
      </c>
      <c r="E287" s="489">
        <f t="shared" si="96"/>
        <v>0.73458675277149998</v>
      </c>
      <c r="F287" s="489"/>
      <c r="G287" s="550">
        <f t="shared" si="87"/>
        <v>0</v>
      </c>
      <c r="H287" s="550">
        <f t="shared" si="88"/>
        <v>0</v>
      </c>
      <c r="I287" s="550">
        <f t="shared" si="89"/>
        <v>0</v>
      </c>
      <c r="J287" s="556"/>
      <c r="K287">
        <v>-1.9515E-4</v>
      </c>
      <c r="L287">
        <f t="shared" si="90"/>
        <v>0.99980484999999997</v>
      </c>
    </row>
    <row r="288" spans="1:12">
      <c r="A288">
        <v>32</v>
      </c>
      <c r="B288" s="489" t="str">
        <f>N$7</f>
        <v>QF5</v>
      </c>
      <c r="C288" s="489" t="str">
        <f t="shared" si="96"/>
        <v>Quad</v>
      </c>
      <c r="D288" s="489">
        <f t="shared" si="96"/>
        <v>0.51961999999999997</v>
      </c>
      <c r="E288" s="489">
        <f t="shared" si="96"/>
        <v>0.73458675277149998</v>
      </c>
      <c r="F288" s="489"/>
      <c r="G288" s="550">
        <f t="shared" si="87"/>
        <v>0</v>
      </c>
      <c r="H288" s="550">
        <f t="shared" si="88"/>
        <v>0</v>
      </c>
      <c r="I288" s="550">
        <f t="shared" si="89"/>
        <v>0</v>
      </c>
      <c r="J288" s="556"/>
      <c r="K288">
        <v>-2.6803999999999999E-4</v>
      </c>
      <c r="L288">
        <f t="shared" si="90"/>
        <v>0.99973195999999998</v>
      </c>
    </row>
    <row r="289" spans="1:12">
      <c r="A289">
        <v>32</v>
      </c>
      <c r="B289" s="489" t="str">
        <f>N$6</f>
        <v>QD4</v>
      </c>
      <c r="C289" s="489" t="str">
        <f>O$6</f>
        <v>Quad</v>
      </c>
      <c r="D289" s="489">
        <f>P$6</f>
        <v>0.42210999999999999</v>
      </c>
      <c r="E289" s="489">
        <f>Q$6</f>
        <v>-0.60152556163972903</v>
      </c>
      <c r="F289" s="489"/>
      <c r="G289" s="550">
        <f t="shared" si="87"/>
        <v>0</v>
      </c>
      <c r="H289" s="550">
        <f t="shared" si="88"/>
        <v>0</v>
      </c>
      <c r="I289" s="550">
        <f t="shared" si="89"/>
        <v>0</v>
      </c>
      <c r="J289" s="556"/>
      <c r="K289">
        <v>6.2312999999999995E-4</v>
      </c>
      <c r="L289">
        <f t="shared" si="90"/>
        <v>1.0006231299999999</v>
      </c>
    </row>
    <row r="290" spans="1:12">
      <c r="A290">
        <v>32</v>
      </c>
      <c r="B290" s="489" t="str">
        <f>N$8</f>
        <v>QD6</v>
      </c>
      <c r="C290" s="489" t="str">
        <f>O$8</f>
        <v>Quad</v>
      </c>
      <c r="D290" s="489">
        <f>P$8</f>
        <v>0.51900999999999997</v>
      </c>
      <c r="E290" s="489">
        <f>Q$8</f>
        <v>-0.81881189216874428</v>
      </c>
      <c r="F290" s="489"/>
      <c r="G290" s="550">
        <f t="shared" si="87"/>
        <v>0</v>
      </c>
      <c r="H290" s="550">
        <f t="shared" si="88"/>
        <v>0</v>
      </c>
      <c r="I290" s="550">
        <f t="shared" si="89"/>
        <v>0</v>
      </c>
      <c r="J290" s="556"/>
      <c r="K290">
        <v>1.0375E-3</v>
      </c>
      <c r="L290">
        <f t="shared" si="90"/>
        <v>1.0010375</v>
      </c>
    </row>
    <row r="291" spans="1:12">
      <c r="A291">
        <v>32</v>
      </c>
      <c r="B291" s="489" t="str">
        <f>N$9</f>
        <v>QF7</v>
      </c>
      <c r="C291" s="489" t="str">
        <f>O$9</f>
        <v>Quad</v>
      </c>
      <c r="D291" s="489">
        <f>P$9</f>
        <v>0.92432000000000003</v>
      </c>
      <c r="E291" s="489">
        <f>Q$9</f>
        <v>0.68156622009687096</v>
      </c>
      <c r="F291" s="489"/>
      <c r="G291" s="550">
        <f t="shared" si="87"/>
        <v>0</v>
      </c>
      <c r="H291" s="550">
        <f t="shared" si="88"/>
        <v>0</v>
      </c>
      <c r="I291" s="550">
        <f t="shared" si="89"/>
        <v>0</v>
      </c>
      <c r="J291" s="556"/>
      <c r="K291">
        <v>-1.2466999999999999E-3</v>
      </c>
      <c r="L291">
        <f t="shared" si="90"/>
        <v>0.99875329999999996</v>
      </c>
    </row>
    <row r="292" spans="1:12">
      <c r="A292">
        <v>32</v>
      </c>
      <c r="B292" s="489" t="str">
        <f>N$10</f>
        <v>QD8</v>
      </c>
      <c r="C292" s="489" t="str">
        <f t="shared" ref="C292:E293" si="97">O$10</f>
        <v>Quad</v>
      </c>
      <c r="D292" s="489">
        <f t="shared" si="97"/>
        <v>0.43420999999999998</v>
      </c>
      <c r="E292" s="489">
        <f t="shared" si="97"/>
        <v>0</v>
      </c>
      <c r="F292" s="489"/>
      <c r="G292" s="550">
        <f t="shared" si="87"/>
        <v>0</v>
      </c>
      <c r="H292" s="550">
        <f t="shared" si="88"/>
        <v>0</v>
      </c>
      <c r="I292" s="550">
        <f t="shared" si="89"/>
        <v>0</v>
      </c>
      <c r="J292" s="556"/>
      <c r="K292">
        <v>0</v>
      </c>
      <c r="L292">
        <f t="shared" si="90"/>
        <v>1</v>
      </c>
    </row>
    <row r="293" spans="1:12">
      <c r="A293">
        <v>1</v>
      </c>
      <c r="B293" s="489" t="str">
        <f>N$10</f>
        <v>QD8</v>
      </c>
      <c r="C293" s="489" t="str">
        <f t="shared" si="97"/>
        <v>Quad</v>
      </c>
      <c r="D293" s="489">
        <f t="shared" si="97"/>
        <v>0.43420999999999998</v>
      </c>
      <c r="E293" s="489">
        <f t="shared" si="97"/>
        <v>0</v>
      </c>
      <c r="F293" s="489"/>
      <c r="G293" s="550">
        <f t="shared" si="87"/>
        <v>0</v>
      </c>
      <c r="H293" s="550">
        <f t="shared" si="88"/>
        <v>0</v>
      </c>
      <c r="I293" s="550">
        <f t="shared" si="89"/>
        <v>0</v>
      </c>
      <c r="J293" s="556"/>
      <c r="K293">
        <v>0</v>
      </c>
      <c r="L293">
        <f t="shared" si="90"/>
        <v>1</v>
      </c>
    </row>
    <row r="294" spans="1:12">
      <c r="A294">
        <v>1</v>
      </c>
      <c r="B294" s="489" t="str">
        <f>N$9</f>
        <v>QF7</v>
      </c>
      <c r="C294" s="489" t="str">
        <f>O$9</f>
        <v>Quad</v>
      </c>
      <c r="D294" s="489">
        <f>P$9</f>
        <v>0.92432000000000003</v>
      </c>
      <c r="E294" s="489">
        <f>Q$9</f>
        <v>0.68156622009687096</v>
      </c>
      <c r="F294" s="489"/>
      <c r="G294" s="550">
        <f t="shared" si="87"/>
        <v>0</v>
      </c>
      <c r="H294" s="550">
        <f t="shared" si="88"/>
        <v>0</v>
      </c>
      <c r="I294" s="550">
        <f t="shared" si="89"/>
        <v>0</v>
      </c>
      <c r="J294" s="556"/>
      <c r="K294">
        <v>1.5126000000000001E-4</v>
      </c>
      <c r="L294">
        <f t="shared" si="90"/>
        <v>1.00015126</v>
      </c>
    </row>
    <row r="295" spans="1:12">
      <c r="A295">
        <v>1</v>
      </c>
      <c r="B295" s="489" t="str">
        <f>N$8</f>
        <v>QD6</v>
      </c>
      <c r="C295" s="489" t="str">
        <f>O$8</f>
        <v>Quad</v>
      </c>
      <c r="D295" s="489">
        <f>P$8</f>
        <v>0.51900999999999997</v>
      </c>
      <c r="E295" s="489">
        <f>Q$8</f>
        <v>-0.81881189216874428</v>
      </c>
      <c r="F295" s="489"/>
      <c r="G295" s="550">
        <f t="shared" si="87"/>
        <v>0</v>
      </c>
      <c r="H295" s="550">
        <f t="shared" si="88"/>
        <v>0</v>
      </c>
      <c r="I295" s="550">
        <f t="shared" si="89"/>
        <v>0</v>
      </c>
      <c r="J295" s="556"/>
      <c r="K295">
        <v>-1.3550999999999999E-3</v>
      </c>
      <c r="L295">
        <f t="shared" si="90"/>
        <v>0.99864489999999995</v>
      </c>
    </row>
    <row r="296" spans="1:12">
      <c r="A296">
        <v>1</v>
      </c>
      <c r="B296" s="489" t="str">
        <f>N$6</f>
        <v>QD4</v>
      </c>
      <c r="C296" s="489" t="str">
        <f>O$6</f>
        <v>Quad</v>
      </c>
      <c r="D296" s="489">
        <f>P$6</f>
        <v>0.42210999999999999</v>
      </c>
      <c r="E296" s="489">
        <f>Q$6</f>
        <v>-0.60152556163972903</v>
      </c>
      <c r="F296" s="489"/>
      <c r="G296" s="550">
        <f t="shared" si="87"/>
        <v>0</v>
      </c>
      <c r="H296" s="550">
        <f t="shared" si="88"/>
        <v>0</v>
      </c>
      <c r="I296" s="550">
        <f t="shared" si="89"/>
        <v>0</v>
      </c>
      <c r="J296" s="556"/>
      <c r="K296">
        <v>-1.0222E-3</v>
      </c>
      <c r="L296">
        <f t="shared" si="90"/>
        <v>0.99897780000000003</v>
      </c>
    </row>
    <row r="297" spans="1:12">
      <c r="A297">
        <v>1</v>
      </c>
      <c r="B297" s="489" t="str">
        <f>N$7</f>
        <v>QF5</v>
      </c>
      <c r="C297" s="489" t="str">
        <f t="shared" ref="C297:E298" si="98">O$7</f>
        <v>Quad</v>
      </c>
      <c r="D297" s="489">
        <f t="shared" si="98"/>
        <v>0.51961999999999997</v>
      </c>
      <c r="E297" s="489">
        <f t="shared" si="98"/>
        <v>0.73458675277149998</v>
      </c>
      <c r="F297" s="489"/>
      <c r="G297" s="550">
        <f t="shared" si="87"/>
        <v>0</v>
      </c>
      <c r="H297" s="550">
        <f t="shared" si="88"/>
        <v>0</v>
      </c>
      <c r="I297" s="550">
        <f t="shared" si="89"/>
        <v>0</v>
      </c>
      <c r="J297" s="556"/>
      <c r="K297">
        <v>3.2633E-4</v>
      </c>
      <c r="L297">
        <f t="shared" si="90"/>
        <v>1.00032633</v>
      </c>
    </row>
    <row r="298" spans="1:12">
      <c r="A298">
        <v>1</v>
      </c>
      <c r="B298" s="489" t="str">
        <f>N$7</f>
        <v>QF5</v>
      </c>
      <c r="C298" s="489" t="str">
        <f t="shared" si="98"/>
        <v>Quad</v>
      </c>
      <c r="D298" s="489">
        <f t="shared" si="98"/>
        <v>0.51961999999999997</v>
      </c>
      <c r="E298" s="489">
        <f t="shared" si="98"/>
        <v>0.73458675277149998</v>
      </c>
      <c r="F298" s="489"/>
      <c r="G298" s="550">
        <f t="shared" si="87"/>
        <v>0</v>
      </c>
      <c r="H298" s="550">
        <f t="shared" si="88"/>
        <v>0</v>
      </c>
      <c r="I298" s="550">
        <f t="shared" si="89"/>
        <v>0</v>
      </c>
      <c r="J298" s="556"/>
      <c r="K298">
        <v>2.0364999999999999E-4</v>
      </c>
      <c r="L298">
        <f t="shared" si="90"/>
        <v>1.00020365</v>
      </c>
    </row>
    <row r="299" spans="1:12">
      <c r="A299">
        <v>1</v>
      </c>
      <c r="B299" s="489" t="str">
        <f>N$6</f>
        <v>QD4</v>
      </c>
      <c r="C299" s="489" t="str">
        <f>O$6</f>
        <v>Quad</v>
      </c>
      <c r="D299" s="489">
        <f>P$6</f>
        <v>0.42210999999999999</v>
      </c>
      <c r="E299" s="489">
        <f>Q$6</f>
        <v>-0.60152556163972903</v>
      </c>
      <c r="F299" s="489"/>
      <c r="G299" s="550">
        <f t="shared" si="87"/>
        <v>0</v>
      </c>
      <c r="H299" s="550">
        <f t="shared" si="88"/>
        <v>0</v>
      </c>
      <c r="I299" s="550">
        <f t="shared" si="89"/>
        <v>0</v>
      </c>
      <c r="J299" s="556"/>
      <c r="K299">
        <v>-5.4082999999999996E-4</v>
      </c>
      <c r="L299">
        <f t="shared" si="90"/>
        <v>0.99945916999999995</v>
      </c>
    </row>
    <row r="300" spans="1:12">
      <c r="A300">
        <v>1</v>
      </c>
      <c r="B300" s="489" t="str">
        <f>N$5</f>
        <v>QD3</v>
      </c>
      <c r="C300" s="489" t="str">
        <f>O$5</f>
        <v>Quad</v>
      </c>
      <c r="D300" s="489">
        <f>P$5</f>
        <v>0.53366999999999998</v>
      </c>
      <c r="E300" s="489">
        <f>Q$5</f>
        <v>-0.603553432914813</v>
      </c>
      <c r="F300" s="489"/>
      <c r="G300" s="550">
        <f t="shared" si="87"/>
        <v>0</v>
      </c>
      <c r="H300" s="550">
        <f t="shared" si="88"/>
        <v>0</v>
      </c>
      <c r="I300" s="550">
        <f t="shared" si="89"/>
        <v>0</v>
      </c>
      <c r="J300" s="556"/>
      <c r="K300">
        <v>-3.8653E-4</v>
      </c>
      <c r="L300">
        <f t="shared" si="90"/>
        <v>0.99961347</v>
      </c>
    </row>
    <row r="301" spans="1:12">
      <c r="A301">
        <v>1</v>
      </c>
      <c r="B301" s="489" t="str">
        <f>N$4</f>
        <v>QF2</v>
      </c>
      <c r="C301" s="489" t="str">
        <f>O$4</f>
        <v>Quad</v>
      </c>
      <c r="D301" s="489">
        <f>P$4</f>
        <v>0.94340999999999997</v>
      </c>
      <c r="E301" s="489">
        <f>Q$4</f>
        <v>0.39100748841534999</v>
      </c>
      <c r="F301" s="489"/>
      <c r="G301" s="550">
        <f t="shared" si="87"/>
        <v>0</v>
      </c>
      <c r="H301" s="550">
        <f t="shared" si="88"/>
        <v>0</v>
      </c>
      <c r="I301" s="550">
        <f t="shared" si="89"/>
        <v>0</v>
      </c>
      <c r="J301" s="556"/>
      <c r="K301">
        <v>-3.3264999999999998E-4</v>
      </c>
      <c r="L301">
        <f t="shared" si="90"/>
        <v>0.99966734999999995</v>
      </c>
    </row>
    <row r="302" spans="1:12">
      <c r="A302">
        <v>1</v>
      </c>
      <c r="B302" s="489" t="str">
        <f>N$3</f>
        <v>QD1</v>
      </c>
      <c r="C302" s="489" t="str">
        <f t="shared" ref="C302:E303" si="99">O$3</f>
        <v>Quad</v>
      </c>
      <c r="D302" s="489">
        <f t="shared" si="99"/>
        <v>0.43804999999999999</v>
      </c>
      <c r="E302" s="489">
        <f t="shared" si="99"/>
        <v>0</v>
      </c>
      <c r="F302" s="489"/>
      <c r="G302" s="550">
        <f t="shared" si="87"/>
        <v>0</v>
      </c>
      <c r="H302" s="550">
        <f t="shared" si="88"/>
        <v>0</v>
      </c>
      <c r="I302" s="550">
        <f t="shared" si="89"/>
        <v>0</v>
      </c>
      <c r="J302" s="556"/>
      <c r="K302">
        <v>0</v>
      </c>
      <c r="L302">
        <f t="shared" si="90"/>
        <v>1</v>
      </c>
    </row>
    <row r="303" spans="1:12">
      <c r="A303">
        <v>2</v>
      </c>
      <c r="B303" s="489" t="str">
        <f>N$3</f>
        <v>QD1</v>
      </c>
      <c r="C303" s="489" t="str">
        <f t="shared" si="99"/>
        <v>Quad</v>
      </c>
      <c r="D303" s="489">
        <f t="shared" si="99"/>
        <v>0.43804999999999999</v>
      </c>
      <c r="E303" s="489">
        <f t="shared" si="99"/>
        <v>0</v>
      </c>
      <c r="F303" s="489"/>
      <c r="G303" s="550">
        <f t="shared" si="87"/>
        <v>0</v>
      </c>
      <c r="H303" s="550">
        <f t="shared" si="88"/>
        <v>0</v>
      </c>
      <c r="I303" s="550">
        <f t="shared" si="89"/>
        <v>0</v>
      </c>
      <c r="J303" s="556"/>
      <c r="K303">
        <v>0</v>
      </c>
      <c r="L303">
        <f t="shared" si="90"/>
        <v>1</v>
      </c>
    </row>
    <row r="304" spans="1:12">
      <c r="A304">
        <v>2</v>
      </c>
      <c r="B304" s="489" t="str">
        <f>N$4</f>
        <v>QF2</v>
      </c>
      <c r="C304" s="489" t="str">
        <f>O$4</f>
        <v>Quad</v>
      </c>
      <c r="D304" s="489">
        <f>P$4</f>
        <v>0.94340999999999997</v>
      </c>
      <c r="E304" s="489">
        <f>Q$4</f>
        <v>0.39100748841534999</v>
      </c>
      <c r="F304" s="489"/>
      <c r="G304" s="550">
        <f t="shared" si="87"/>
        <v>0</v>
      </c>
      <c r="H304" s="550">
        <f t="shared" si="88"/>
        <v>0</v>
      </c>
      <c r="I304" s="550">
        <f t="shared" si="89"/>
        <v>0</v>
      </c>
      <c r="J304" s="556"/>
      <c r="K304">
        <v>1.6542E-4</v>
      </c>
      <c r="L304">
        <f t="shared" si="90"/>
        <v>1.0001654200000001</v>
      </c>
    </row>
    <row r="305" spans="1:12">
      <c r="A305">
        <v>2</v>
      </c>
      <c r="B305" s="489" t="str">
        <f>N$5</f>
        <v>QD3</v>
      </c>
      <c r="C305" s="489" t="str">
        <f>O$5</f>
        <v>Quad</v>
      </c>
      <c r="D305" s="489">
        <f>P$5</f>
        <v>0.53366999999999998</v>
      </c>
      <c r="E305" s="489">
        <f>Q$5</f>
        <v>-0.603553432914813</v>
      </c>
      <c r="F305" s="489"/>
      <c r="G305" s="550">
        <f t="shared" si="87"/>
        <v>0</v>
      </c>
      <c r="H305" s="550">
        <f t="shared" si="88"/>
        <v>0</v>
      </c>
      <c r="I305" s="550">
        <f t="shared" si="89"/>
        <v>0</v>
      </c>
      <c r="J305" s="556"/>
      <c r="K305">
        <v>-7.4693999999999997E-4</v>
      </c>
      <c r="L305">
        <f t="shared" si="90"/>
        <v>0.99925306000000003</v>
      </c>
    </row>
    <row r="306" spans="1:12">
      <c r="A306">
        <v>2</v>
      </c>
      <c r="B306" s="489" t="str">
        <f>N$6</f>
        <v>QD4</v>
      </c>
      <c r="C306" s="489" t="str">
        <f>O$6</f>
        <v>Quad</v>
      </c>
      <c r="D306" s="489">
        <f>P$6</f>
        <v>0.42210999999999999</v>
      </c>
      <c r="E306" s="489">
        <f>Q$6</f>
        <v>-0.60152556163972903</v>
      </c>
      <c r="F306" s="489"/>
      <c r="G306" s="550">
        <f t="shared" si="87"/>
        <v>0</v>
      </c>
      <c r="H306" s="550">
        <f t="shared" si="88"/>
        <v>0</v>
      </c>
      <c r="I306" s="550">
        <f t="shared" si="89"/>
        <v>0</v>
      </c>
      <c r="J306" s="556"/>
      <c r="K306">
        <v>-4.2845999999999997E-4</v>
      </c>
      <c r="L306">
        <f t="shared" si="90"/>
        <v>0.99957154000000004</v>
      </c>
    </row>
    <row r="307" spans="1:12">
      <c r="A307">
        <v>2</v>
      </c>
      <c r="B307" s="489" t="str">
        <f>N$7</f>
        <v>QF5</v>
      </c>
      <c r="C307" s="489" t="str">
        <f t="shared" ref="C307:E308" si="100">O$7</f>
        <v>Quad</v>
      </c>
      <c r="D307" s="489">
        <f t="shared" si="100"/>
        <v>0.51961999999999997</v>
      </c>
      <c r="E307" s="489">
        <f t="shared" si="100"/>
        <v>0.73458675277149998</v>
      </c>
      <c r="F307" s="489"/>
      <c r="G307" s="550">
        <f t="shared" si="87"/>
        <v>0</v>
      </c>
      <c r="H307" s="550">
        <f t="shared" si="88"/>
        <v>0</v>
      </c>
      <c r="I307" s="550">
        <f t="shared" si="89"/>
        <v>0</v>
      </c>
      <c r="J307" s="556"/>
      <c r="K307" s="247">
        <v>5.6336999999999999E-6</v>
      </c>
      <c r="L307">
        <f t="shared" si="90"/>
        <v>1.0000056337000001</v>
      </c>
    </row>
    <row r="308" spans="1:12">
      <c r="A308">
        <v>2</v>
      </c>
      <c r="B308" s="489" t="str">
        <f>N$7</f>
        <v>QF5</v>
      </c>
      <c r="C308" s="489" t="str">
        <f t="shared" si="100"/>
        <v>Quad</v>
      </c>
      <c r="D308" s="489">
        <f t="shared" si="100"/>
        <v>0.51961999999999997</v>
      </c>
      <c r="E308" s="489">
        <f t="shared" si="100"/>
        <v>0.73458675277149998</v>
      </c>
      <c r="F308" s="489"/>
      <c r="G308" s="550">
        <f t="shared" si="87"/>
        <v>0</v>
      </c>
      <c r="H308" s="550">
        <f t="shared" si="88"/>
        <v>0</v>
      </c>
      <c r="I308" s="550">
        <f t="shared" si="89"/>
        <v>0</v>
      </c>
      <c r="J308" s="556"/>
      <c r="K308" s="247">
        <v>9.1459E-6</v>
      </c>
      <c r="L308">
        <f t="shared" si="90"/>
        <v>1.0000091459</v>
      </c>
    </row>
    <row r="309" spans="1:12">
      <c r="A309">
        <v>2</v>
      </c>
      <c r="B309" s="489" t="str">
        <f>N$6</f>
        <v>QD4</v>
      </c>
      <c r="C309" s="489" t="str">
        <f>O$6</f>
        <v>Quad</v>
      </c>
      <c r="D309" s="489">
        <f>P$6</f>
        <v>0.42210999999999999</v>
      </c>
      <c r="E309" s="489">
        <f>Q$6</f>
        <v>-0.60152556163972903</v>
      </c>
      <c r="F309" s="489"/>
      <c r="G309" s="550">
        <f t="shared" si="87"/>
        <v>0</v>
      </c>
      <c r="H309" s="550">
        <f t="shared" si="88"/>
        <v>0</v>
      </c>
      <c r="I309" s="550">
        <f t="shared" si="89"/>
        <v>0</v>
      </c>
      <c r="J309" s="556"/>
      <c r="K309">
        <v>-3.5963999999999999E-4</v>
      </c>
      <c r="L309">
        <f t="shared" si="90"/>
        <v>0.99964036000000001</v>
      </c>
    </row>
    <row r="310" spans="1:12">
      <c r="A310">
        <v>2</v>
      </c>
      <c r="B310" s="489" t="str">
        <f>N$8</f>
        <v>QD6</v>
      </c>
      <c r="C310" s="489" t="str">
        <f>O$8</f>
        <v>Quad</v>
      </c>
      <c r="D310" s="489">
        <f>P$8</f>
        <v>0.51900999999999997</v>
      </c>
      <c r="E310" s="489">
        <f>Q$8</f>
        <v>-0.81881189216874428</v>
      </c>
      <c r="F310" s="489"/>
      <c r="G310" s="550">
        <f t="shared" si="87"/>
        <v>0</v>
      </c>
      <c r="H310" s="550">
        <f t="shared" si="88"/>
        <v>0</v>
      </c>
      <c r="I310" s="550">
        <f t="shared" si="89"/>
        <v>0</v>
      </c>
      <c r="J310" s="556"/>
      <c r="K310" s="247">
        <v>-7.4542999999999994E-5</v>
      </c>
      <c r="L310">
        <f t="shared" si="90"/>
        <v>0.99992545700000002</v>
      </c>
    </row>
    <row r="311" spans="1:12">
      <c r="A311">
        <v>2</v>
      </c>
      <c r="B311" s="489" t="str">
        <f>N$9</f>
        <v>QF7</v>
      </c>
      <c r="C311" s="489" t="str">
        <f>O$9</f>
        <v>Quad</v>
      </c>
      <c r="D311" s="489">
        <f>P$9</f>
        <v>0.92432000000000003</v>
      </c>
      <c r="E311" s="489">
        <f>Q$9</f>
        <v>0.68156622009687096</v>
      </c>
      <c r="F311" s="489"/>
      <c r="G311" s="550">
        <f t="shared" si="87"/>
        <v>0</v>
      </c>
      <c r="H311" s="550">
        <f t="shared" si="88"/>
        <v>0</v>
      </c>
      <c r="I311" s="550">
        <f t="shared" si="89"/>
        <v>0</v>
      </c>
      <c r="J311" s="556"/>
      <c r="K311">
        <v>-1.5801000000000001E-3</v>
      </c>
      <c r="L311">
        <f t="shared" si="90"/>
        <v>0.99841990000000003</v>
      </c>
    </row>
    <row r="312" spans="1:12">
      <c r="A312">
        <v>2</v>
      </c>
      <c r="B312" s="489" t="str">
        <f>N$10</f>
        <v>QD8</v>
      </c>
      <c r="C312" s="489" t="str">
        <f t="shared" ref="C312:E313" si="101">O$10</f>
        <v>Quad</v>
      </c>
      <c r="D312" s="489">
        <f t="shared" si="101"/>
        <v>0.43420999999999998</v>
      </c>
      <c r="E312" s="489">
        <f t="shared" si="101"/>
        <v>0</v>
      </c>
      <c r="F312" s="489"/>
      <c r="G312" s="550">
        <f t="shared" si="87"/>
        <v>0</v>
      </c>
      <c r="H312" s="550">
        <f t="shared" si="88"/>
        <v>0</v>
      </c>
      <c r="I312" s="550">
        <f t="shared" si="89"/>
        <v>0</v>
      </c>
      <c r="J312" s="556"/>
      <c r="K312">
        <v>0</v>
      </c>
      <c r="L312">
        <f t="shared" si="90"/>
        <v>1</v>
      </c>
    </row>
    <row r="313" spans="1:12">
      <c r="A313">
        <v>3</v>
      </c>
      <c r="B313" s="489" t="str">
        <f>N$10</f>
        <v>QD8</v>
      </c>
      <c r="C313" s="489" t="str">
        <f t="shared" si="101"/>
        <v>Quad</v>
      </c>
      <c r="D313" s="489">
        <f t="shared" si="101"/>
        <v>0.43420999999999998</v>
      </c>
      <c r="E313" s="489">
        <f t="shared" si="101"/>
        <v>0</v>
      </c>
      <c r="F313" s="489"/>
      <c r="G313" s="550">
        <f t="shared" si="87"/>
        <v>0</v>
      </c>
      <c r="H313" s="550">
        <f t="shared" si="88"/>
        <v>0</v>
      </c>
      <c r="I313" s="550">
        <f t="shared" si="89"/>
        <v>0</v>
      </c>
      <c r="J313" s="556"/>
      <c r="K313">
        <v>0</v>
      </c>
      <c r="L313">
        <f t="shared" si="90"/>
        <v>1</v>
      </c>
    </row>
    <row r="314" spans="1:12">
      <c r="A314">
        <v>3</v>
      </c>
      <c r="B314" s="489" t="str">
        <f>N$9</f>
        <v>QF7</v>
      </c>
      <c r="C314" s="489" t="str">
        <f>O$9</f>
        <v>Quad</v>
      </c>
      <c r="D314" s="489">
        <f>P$9</f>
        <v>0.92432000000000003</v>
      </c>
      <c r="E314" s="489">
        <f>Q$9</f>
        <v>0.68156622009687096</v>
      </c>
      <c r="F314" s="489"/>
      <c r="G314" s="550">
        <f t="shared" si="87"/>
        <v>0</v>
      </c>
      <c r="H314" s="550">
        <f t="shared" si="88"/>
        <v>0</v>
      </c>
      <c r="I314" s="550">
        <f t="shared" si="89"/>
        <v>0</v>
      </c>
      <c r="J314" s="556"/>
      <c r="K314">
        <v>-1.062E-3</v>
      </c>
      <c r="L314">
        <f t="shared" si="90"/>
        <v>0.99893799999999999</v>
      </c>
    </row>
    <row r="315" spans="1:12">
      <c r="A315">
        <v>3</v>
      </c>
      <c r="B315" s="489" t="str">
        <f>N$8</f>
        <v>QD6</v>
      </c>
      <c r="C315" s="489" t="str">
        <f>O$8</f>
        <v>Quad</v>
      </c>
      <c r="D315" s="489">
        <f>P$8</f>
        <v>0.51900999999999997</v>
      </c>
      <c r="E315" s="489">
        <f>Q$8</f>
        <v>-0.81881189216874428</v>
      </c>
      <c r="F315" s="489"/>
      <c r="G315" s="550">
        <f t="shared" si="87"/>
        <v>0</v>
      </c>
      <c r="H315" s="550">
        <f t="shared" si="88"/>
        <v>0</v>
      </c>
      <c r="I315" s="550">
        <f t="shared" si="89"/>
        <v>0</v>
      </c>
      <c r="J315" s="556"/>
      <c r="K315">
        <v>-1.2519E-3</v>
      </c>
      <c r="L315">
        <f t="shared" si="90"/>
        <v>0.99874810000000003</v>
      </c>
    </row>
    <row r="316" spans="1:12">
      <c r="A316">
        <v>3</v>
      </c>
      <c r="B316" s="489" t="str">
        <f>N$6</f>
        <v>QD4</v>
      </c>
      <c r="C316" s="489" t="str">
        <f>O$6</f>
        <v>Quad</v>
      </c>
      <c r="D316" s="489">
        <f>P$6</f>
        <v>0.42210999999999999</v>
      </c>
      <c r="E316" s="489">
        <f>Q$6</f>
        <v>-0.60152556163972903</v>
      </c>
      <c r="F316" s="489"/>
      <c r="G316" s="550">
        <f t="shared" si="87"/>
        <v>0</v>
      </c>
      <c r="H316" s="550">
        <f t="shared" si="88"/>
        <v>0</v>
      </c>
      <c r="I316" s="550">
        <f t="shared" si="89"/>
        <v>0</v>
      </c>
      <c r="J316" s="556"/>
      <c r="K316">
        <v>-1.1638E-3</v>
      </c>
      <c r="L316">
        <f t="shared" si="90"/>
        <v>0.99883619999999995</v>
      </c>
    </row>
    <row r="317" spans="1:12">
      <c r="A317">
        <v>3</v>
      </c>
      <c r="B317" s="489" t="str">
        <f>N$7</f>
        <v>QF5</v>
      </c>
      <c r="C317" s="489" t="str">
        <f t="shared" ref="C317:E318" si="102">O$7</f>
        <v>Quad</v>
      </c>
      <c r="D317" s="489">
        <f t="shared" si="102"/>
        <v>0.51961999999999997</v>
      </c>
      <c r="E317" s="489">
        <f t="shared" si="102"/>
        <v>0.73458675277149998</v>
      </c>
      <c r="F317" s="489"/>
      <c r="G317" s="550">
        <f t="shared" si="87"/>
        <v>0</v>
      </c>
      <c r="H317" s="550">
        <f t="shared" si="88"/>
        <v>0</v>
      </c>
      <c r="I317" s="550">
        <f t="shared" si="89"/>
        <v>0</v>
      </c>
      <c r="J317" s="556"/>
      <c r="K317">
        <v>1.9636999999999999E-4</v>
      </c>
      <c r="L317">
        <f t="shared" si="90"/>
        <v>1.0001963700000001</v>
      </c>
    </row>
    <row r="318" spans="1:12">
      <c r="A318">
        <v>3</v>
      </c>
      <c r="B318" s="489" t="str">
        <f>N$7</f>
        <v>QF5</v>
      </c>
      <c r="C318" s="489" t="str">
        <f t="shared" si="102"/>
        <v>Quad</v>
      </c>
      <c r="D318" s="489">
        <f t="shared" si="102"/>
        <v>0.51961999999999997</v>
      </c>
      <c r="E318" s="489">
        <f t="shared" si="102"/>
        <v>0.73458675277149998</v>
      </c>
      <c r="F318" s="489"/>
      <c r="G318" s="550">
        <f t="shared" si="87"/>
        <v>0</v>
      </c>
      <c r="H318" s="550">
        <f t="shared" si="88"/>
        <v>0</v>
      </c>
      <c r="I318" s="550">
        <f t="shared" si="89"/>
        <v>0</v>
      </c>
      <c r="J318" s="556"/>
      <c r="K318">
        <v>1.1586000000000001E-4</v>
      </c>
      <c r="L318">
        <f t="shared" si="90"/>
        <v>1.00011586</v>
      </c>
    </row>
    <row r="319" spans="1:12">
      <c r="A319">
        <v>3</v>
      </c>
      <c r="B319" s="489" t="str">
        <f>N$6</f>
        <v>QD4</v>
      </c>
      <c r="C319" s="489" t="str">
        <f>O$6</f>
        <v>Quad</v>
      </c>
      <c r="D319" s="489">
        <f>P$6</f>
        <v>0.42210999999999999</v>
      </c>
      <c r="E319" s="489">
        <f>Q$6</f>
        <v>-0.60152556163972903</v>
      </c>
      <c r="F319" s="489"/>
      <c r="G319" s="550">
        <f t="shared" si="87"/>
        <v>0</v>
      </c>
      <c r="H319" s="550">
        <f t="shared" si="88"/>
        <v>0</v>
      </c>
      <c r="I319" s="550">
        <f t="shared" si="89"/>
        <v>0</v>
      </c>
      <c r="J319" s="556"/>
      <c r="K319">
        <v>-8.9349999999999998E-4</v>
      </c>
      <c r="L319">
        <f t="shared" si="90"/>
        <v>0.99910650000000001</v>
      </c>
    </row>
    <row r="320" spans="1:12">
      <c r="A320">
        <v>3</v>
      </c>
      <c r="B320" s="489" t="str">
        <f>N$14</f>
        <v>QD3-C4</v>
      </c>
      <c r="C320" s="489" t="str">
        <f>O$14</f>
        <v>Quad</v>
      </c>
      <c r="D320" s="489">
        <f>P$14</f>
        <v>0.53366999999999998</v>
      </c>
      <c r="E320" s="489">
        <f>Q$14</f>
        <v>-0.603553432914813</v>
      </c>
      <c r="F320" s="489"/>
      <c r="G320" s="550">
        <f t="shared" si="87"/>
        <v>0</v>
      </c>
      <c r="H320" s="550">
        <f t="shared" si="88"/>
        <v>0</v>
      </c>
      <c r="I320" s="550">
        <f t="shared" si="89"/>
        <v>0</v>
      </c>
      <c r="J320" s="556"/>
      <c r="K320">
        <v>-1.1718E-3</v>
      </c>
      <c r="L320">
        <f t="shared" si="90"/>
        <v>0.99882820000000005</v>
      </c>
    </row>
    <row r="321" spans="1:12">
      <c r="A321">
        <v>3</v>
      </c>
      <c r="B321" s="489" t="str">
        <f>N$13</f>
        <v>QF2-C4</v>
      </c>
      <c r="C321" s="489" t="str">
        <f>O$13</f>
        <v>Quad</v>
      </c>
      <c r="D321" s="489">
        <f>P$13</f>
        <v>0.94340999999999997</v>
      </c>
      <c r="E321" s="489">
        <f>Q$13</f>
        <v>0.39100748841534999</v>
      </c>
      <c r="F321" s="489"/>
      <c r="G321" s="550">
        <f t="shared" si="87"/>
        <v>0</v>
      </c>
      <c r="H321" s="550">
        <f t="shared" si="88"/>
        <v>0</v>
      </c>
      <c r="I321" s="550">
        <f t="shared" si="89"/>
        <v>0</v>
      </c>
      <c r="J321" s="556"/>
      <c r="K321">
        <v>-1.5782E-4</v>
      </c>
      <c r="L321">
        <f t="shared" si="90"/>
        <v>0.99984218000000002</v>
      </c>
    </row>
    <row r="322" spans="1:12">
      <c r="A322">
        <v>3</v>
      </c>
      <c r="B322" s="489" t="str">
        <f>N$12</f>
        <v>QD1-C4</v>
      </c>
      <c r="C322" s="489" t="str">
        <f>O$12</f>
        <v>Quad</v>
      </c>
      <c r="D322" s="489">
        <f>P$12</f>
        <v>0.43804999999999999</v>
      </c>
      <c r="E322" s="489">
        <f>Q$12</f>
        <v>0</v>
      </c>
      <c r="F322" s="489"/>
      <c r="G322" s="550">
        <f t="shared" si="87"/>
        <v>0</v>
      </c>
      <c r="H322" s="550">
        <f t="shared" si="88"/>
        <v>0</v>
      </c>
      <c r="I322" s="550">
        <f t="shared" si="89"/>
        <v>0</v>
      </c>
      <c r="J322" s="556"/>
      <c r="K322">
        <v>0</v>
      </c>
      <c r="L322">
        <f t="shared" si="90"/>
        <v>1</v>
      </c>
    </row>
  </sheetData>
  <phoneticPr fontId="39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Z130"/>
  <sheetViews>
    <sheetView workbookViewId="0">
      <selection activeCell="L15" sqref="L15"/>
    </sheetView>
  </sheetViews>
  <sheetFormatPr defaultColWidth="11.42578125" defaultRowHeight="12.75"/>
  <sheetData>
    <row r="1" spans="1:26" ht="15.75">
      <c r="B1" s="490" t="s">
        <v>944</v>
      </c>
      <c r="K1" s="490" t="s">
        <v>666</v>
      </c>
    </row>
    <row r="2" spans="1:26">
      <c r="A2" t="s">
        <v>937</v>
      </c>
      <c r="B2" t="s">
        <v>1146</v>
      </c>
      <c r="C2" t="s">
        <v>1108</v>
      </c>
      <c r="D2" t="s">
        <v>938</v>
      </c>
      <c r="E2" t="s">
        <v>939</v>
      </c>
      <c r="F2" t="s">
        <v>940</v>
      </c>
      <c r="G2" t="s">
        <v>941</v>
      </c>
      <c r="H2" t="s">
        <v>942</v>
      </c>
      <c r="I2" t="s">
        <v>943</v>
      </c>
      <c r="K2" t="s">
        <v>1146</v>
      </c>
      <c r="L2" t="s">
        <v>1108</v>
      </c>
      <c r="M2" t="s">
        <v>938</v>
      </c>
      <c r="N2" t="s">
        <v>939</v>
      </c>
    </row>
    <row r="3" spans="1:26">
      <c r="A3">
        <v>4</v>
      </c>
      <c r="B3" s="489" t="str">
        <f>K$3</f>
        <v>D1hard</v>
      </c>
      <c r="C3" s="489" t="str">
        <f>L$3</f>
        <v>Sbend</v>
      </c>
      <c r="D3" s="489">
        <f>M$3</f>
        <v>9.2324800999999998E-2</v>
      </c>
      <c r="E3" s="489">
        <f>N$3</f>
        <v>23.366301</v>
      </c>
      <c r="F3" s="489">
        <f>-$M$12*E3</f>
        <v>0</v>
      </c>
      <c r="G3" s="551">
        <f>$M$13*E3*E3</f>
        <v>0</v>
      </c>
      <c r="H3" s="551">
        <f>$M$14/E3</f>
        <v>0</v>
      </c>
      <c r="I3" s="551">
        <f>$M$15/E3</f>
        <v>0</v>
      </c>
      <c r="K3" s="489" t="s">
        <v>949</v>
      </c>
      <c r="L3" s="489" t="s">
        <v>760</v>
      </c>
      <c r="M3" s="489">
        <v>9.2324800999999998E-2</v>
      </c>
      <c r="N3" s="489">
        <v>23.366301</v>
      </c>
    </row>
    <row r="4" spans="1:26">
      <c r="A4">
        <v>4</v>
      </c>
      <c r="B4" s="489" t="str">
        <f>K$4</f>
        <v>D1soft</v>
      </c>
      <c r="C4" s="489" t="str">
        <f>L$4</f>
        <v>Sbend</v>
      </c>
      <c r="D4" s="489">
        <f>M$4</f>
        <v>5.8499998000000001E-3</v>
      </c>
      <c r="E4" s="489">
        <f>N$4</f>
        <v>50.035998999999997</v>
      </c>
      <c r="F4" s="489">
        <f t="shared" ref="F4:F67" si="0">-$M$12*E4</f>
        <v>0</v>
      </c>
      <c r="G4" s="551">
        <f t="shared" ref="G4:G67" si="1">$M$13*E4*E4</f>
        <v>0</v>
      </c>
      <c r="H4" s="551">
        <f t="shared" ref="H4:H67" si="2">$M$14/E4</f>
        <v>0</v>
      </c>
      <c r="I4" s="551">
        <f t="shared" ref="I4:I67" si="3">$M$15/E4</f>
        <v>0</v>
      </c>
      <c r="K4" s="489" t="s">
        <v>950</v>
      </c>
      <c r="L4" s="489" t="s">
        <v>760</v>
      </c>
      <c r="M4" s="489">
        <v>5.8499998000000001E-3</v>
      </c>
      <c r="N4" s="489">
        <v>50.035998999999997</v>
      </c>
    </row>
    <row r="5" spans="1:26">
      <c r="A5">
        <v>4</v>
      </c>
      <c r="B5" s="489" t="str">
        <f>K$5</f>
        <v>D2soft</v>
      </c>
      <c r="C5" s="489" t="str">
        <f>L$5</f>
        <v>Sbend</v>
      </c>
      <c r="D5" s="489">
        <f>M$5</f>
        <v>5.8499998000000001E-3</v>
      </c>
      <c r="E5" s="489">
        <f>N$5</f>
        <v>50.035998999999997</v>
      </c>
      <c r="F5" s="489">
        <f t="shared" si="0"/>
        <v>0</v>
      </c>
      <c r="G5" s="551">
        <f t="shared" si="1"/>
        <v>0</v>
      </c>
      <c r="H5" s="551">
        <f t="shared" si="2"/>
        <v>0</v>
      </c>
      <c r="I5" s="551">
        <f t="shared" si="3"/>
        <v>0</v>
      </c>
      <c r="K5" s="489" t="s">
        <v>951</v>
      </c>
      <c r="L5" s="489" t="s">
        <v>760</v>
      </c>
      <c r="M5" s="489">
        <v>5.8499998000000001E-3</v>
      </c>
      <c r="N5" s="489">
        <v>50.035998999999997</v>
      </c>
    </row>
    <row r="6" spans="1:26">
      <c r="A6">
        <v>4</v>
      </c>
      <c r="B6" s="489" t="str">
        <f>K$6</f>
        <v>D2hard</v>
      </c>
      <c r="C6" s="489" t="str">
        <f t="shared" ref="C6:E7" si="4">L$6</f>
        <v>Sbend</v>
      </c>
      <c r="D6" s="489">
        <f t="shared" si="4"/>
        <v>9.2324800999999998E-2</v>
      </c>
      <c r="E6" s="489">
        <f t="shared" si="4"/>
        <v>23.366301</v>
      </c>
      <c r="F6" s="489">
        <f t="shared" si="0"/>
        <v>0</v>
      </c>
      <c r="G6" s="551">
        <f t="shared" si="1"/>
        <v>0</v>
      </c>
      <c r="H6" s="551">
        <f t="shared" si="2"/>
        <v>0</v>
      </c>
      <c r="I6" s="551">
        <f t="shared" si="3"/>
        <v>0</v>
      </c>
      <c r="K6" s="489" t="s">
        <v>952</v>
      </c>
      <c r="L6" s="489" t="s">
        <v>760</v>
      </c>
      <c r="M6" s="489">
        <v>9.2324800999999998E-2</v>
      </c>
      <c r="N6" s="489">
        <v>23.366301</v>
      </c>
    </row>
    <row r="7" spans="1:26">
      <c r="A7">
        <v>5</v>
      </c>
      <c r="B7" s="489" t="str">
        <f>K$6</f>
        <v>D2hard</v>
      </c>
      <c r="C7" s="489" t="str">
        <f t="shared" si="4"/>
        <v>Sbend</v>
      </c>
      <c r="D7" s="489">
        <f t="shared" si="4"/>
        <v>9.2324800999999998E-2</v>
      </c>
      <c r="E7" s="489">
        <f t="shared" si="4"/>
        <v>23.366301</v>
      </c>
      <c r="F7" s="489">
        <f t="shared" si="0"/>
        <v>0</v>
      </c>
      <c r="G7" s="551">
        <f t="shared" si="1"/>
        <v>0</v>
      </c>
      <c r="H7" s="551">
        <f t="shared" si="2"/>
        <v>0</v>
      </c>
      <c r="I7" s="551">
        <f t="shared" si="3"/>
        <v>0</v>
      </c>
    </row>
    <row r="8" spans="1:26">
      <c r="A8">
        <v>5</v>
      </c>
      <c r="B8" s="489" t="str">
        <f>K$5</f>
        <v>D2soft</v>
      </c>
      <c r="C8" s="489" t="str">
        <f>L$5</f>
        <v>Sbend</v>
      </c>
      <c r="D8" s="489">
        <f>M$5</f>
        <v>5.8499998000000001E-3</v>
      </c>
      <c r="E8" s="489">
        <f>N$5</f>
        <v>50.035998999999997</v>
      </c>
      <c r="F8" s="489">
        <f t="shared" si="0"/>
        <v>0</v>
      </c>
      <c r="G8" s="551">
        <f t="shared" si="1"/>
        <v>0</v>
      </c>
      <c r="H8" s="551">
        <f t="shared" si="2"/>
        <v>0</v>
      </c>
      <c r="I8" s="551">
        <f t="shared" si="3"/>
        <v>0</v>
      </c>
    </row>
    <row r="9" spans="1:26" ht="15.75">
      <c r="A9">
        <v>5</v>
      </c>
      <c r="B9" s="489" t="str">
        <f>K$4</f>
        <v>D1soft</v>
      </c>
      <c r="C9" s="489" t="str">
        <f>L$4</f>
        <v>Sbend</v>
      </c>
      <c r="D9" s="489">
        <f>M$4</f>
        <v>5.8499998000000001E-3</v>
      </c>
      <c r="E9" s="489">
        <f>N$4</f>
        <v>50.035998999999997</v>
      </c>
      <c r="F9" s="489">
        <f t="shared" si="0"/>
        <v>0</v>
      </c>
      <c r="G9" s="551">
        <f t="shared" si="1"/>
        <v>0</v>
      </c>
      <c r="H9" s="551">
        <f t="shared" si="2"/>
        <v>0</v>
      </c>
      <c r="I9" s="551">
        <f t="shared" si="3"/>
        <v>0</v>
      </c>
      <c r="K9" s="490" t="s">
        <v>543</v>
      </c>
      <c r="M9" s="390" t="s">
        <v>848</v>
      </c>
      <c r="N9" s="390">
        <v>2.5000000000000001E-2</v>
      </c>
    </row>
    <row r="10" spans="1:26">
      <c r="A10">
        <v>5</v>
      </c>
      <c r="B10" s="489" t="str">
        <f>K$3</f>
        <v>D1hard</v>
      </c>
      <c r="C10" s="489" t="str">
        <f t="shared" ref="C10:E11" si="5">L$3</f>
        <v>Sbend</v>
      </c>
      <c r="D10" s="489">
        <f t="shared" si="5"/>
        <v>9.2324800999999998E-2</v>
      </c>
      <c r="E10" s="489">
        <f t="shared" si="5"/>
        <v>23.366301</v>
      </c>
      <c r="F10" s="489">
        <f t="shared" si="0"/>
        <v>0</v>
      </c>
      <c r="G10" s="551">
        <f t="shared" si="1"/>
        <v>0</v>
      </c>
      <c r="H10" s="551">
        <f t="shared" si="2"/>
        <v>0</v>
      </c>
      <c r="I10" s="551">
        <f t="shared" si="3"/>
        <v>0</v>
      </c>
      <c r="O10">
        <v>-1.04</v>
      </c>
      <c r="P10">
        <v>-0.8</v>
      </c>
      <c r="Q10">
        <v>-0.6</v>
      </c>
      <c r="R10">
        <v>-0.4</v>
      </c>
      <c r="S10">
        <v>-0.2</v>
      </c>
      <c r="T10">
        <v>0</v>
      </c>
      <c r="U10">
        <v>0.2</v>
      </c>
      <c r="V10">
        <v>0.4</v>
      </c>
      <c r="W10">
        <v>0.6</v>
      </c>
      <c r="X10">
        <v>0.8</v>
      </c>
      <c r="Y10">
        <v>1</v>
      </c>
      <c r="Z10">
        <v>1.04</v>
      </c>
    </row>
    <row r="11" spans="1:26">
      <c r="A11">
        <v>6</v>
      </c>
      <c r="B11" s="489" t="str">
        <f>K$3</f>
        <v>D1hard</v>
      </c>
      <c r="C11" s="489" t="str">
        <f t="shared" si="5"/>
        <v>Sbend</v>
      </c>
      <c r="D11" s="489">
        <f t="shared" si="5"/>
        <v>9.2324800999999998E-2</v>
      </c>
      <c r="E11" s="489">
        <f t="shared" si="5"/>
        <v>23.366301</v>
      </c>
      <c r="F11" s="489">
        <f t="shared" si="0"/>
        <v>0</v>
      </c>
      <c r="G11" s="551">
        <f t="shared" si="1"/>
        <v>0</v>
      </c>
      <c r="H11" s="551">
        <f t="shared" si="2"/>
        <v>0</v>
      </c>
      <c r="I11" s="551">
        <f t="shared" si="3"/>
        <v>0</v>
      </c>
      <c r="L11" t="s">
        <v>945</v>
      </c>
      <c r="M11" t="s">
        <v>947</v>
      </c>
      <c r="O11">
        <f>$N$9*O10</f>
        <v>-2.6000000000000002E-2</v>
      </c>
      <c r="P11">
        <f t="shared" ref="P11:Z11" si="6">$N$9*P10</f>
        <v>-2.0000000000000004E-2</v>
      </c>
      <c r="Q11">
        <f t="shared" si="6"/>
        <v>-1.4999999999999999E-2</v>
      </c>
      <c r="R11">
        <f t="shared" si="6"/>
        <v>-1.0000000000000002E-2</v>
      </c>
      <c r="S11">
        <f t="shared" si="6"/>
        <v>-5.000000000000001E-3</v>
      </c>
      <c r="T11">
        <f t="shared" si="6"/>
        <v>0</v>
      </c>
      <c r="U11">
        <f t="shared" si="6"/>
        <v>5.000000000000001E-3</v>
      </c>
      <c r="V11">
        <f t="shared" si="6"/>
        <v>1.0000000000000002E-2</v>
      </c>
      <c r="W11">
        <f t="shared" si="6"/>
        <v>1.4999999999999999E-2</v>
      </c>
      <c r="X11">
        <f t="shared" si="6"/>
        <v>2.0000000000000004E-2</v>
      </c>
      <c r="Y11">
        <f t="shared" si="6"/>
        <v>2.5000000000000001E-2</v>
      </c>
      <c r="Z11">
        <f t="shared" si="6"/>
        <v>2.6000000000000002E-2</v>
      </c>
    </row>
    <row r="12" spans="1:26">
      <c r="A12">
        <v>6</v>
      </c>
      <c r="B12" s="489" t="str">
        <f>K$4</f>
        <v>D1soft</v>
      </c>
      <c r="C12" s="489" t="str">
        <f>L$4</f>
        <v>Sbend</v>
      </c>
      <c r="D12" s="489">
        <f>M$4</f>
        <v>5.8499998000000001E-3</v>
      </c>
      <c r="E12" s="489">
        <f>N$4</f>
        <v>50.035998999999997</v>
      </c>
      <c r="F12" s="489">
        <f t="shared" si="0"/>
        <v>0</v>
      </c>
      <c r="G12" s="551">
        <f t="shared" si="1"/>
        <v>0</v>
      </c>
      <c r="H12" s="551">
        <f t="shared" si="2"/>
        <v>0</v>
      </c>
      <c r="I12" s="551">
        <f t="shared" si="3"/>
        <v>0</v>
      </c>
      <c r="K12" s="489" t="s">
        <v>948</v>
      </c>
      <c r="L12" s="489">
        <v>0</v>
      </c>
      <c r="M12" s="551">
        <f>L12/$N$9</f>
        <v>0</v>
      </c>
      <c r="O12" s="247">
        <f>$M12*O$11</f>
        <v>0</v>
      </c>
      <c r="P12" s="247">
        <f t="shared" ref="P12:Z12" si="7">$M12*P$11</f>
        <v>0</v>
      </c>
      <c r="Q12" s="247">
        <f t="shared" si="7"/>
        <v>0</v>
      </c>
      <c r="R12" s="247">
        <f t="shared" si="7"/>
        <v>0</v>
      </c>
      <c r="S12" s="247">
        <f t="shared" si="7"/>
        <v>0</v>
      </c>
      <c r="T12" s="247">
        <f t="shared" si="7"/>
        <v>0</v>
      </c>
      <c r="U12" s="247">
        <f t="shared" si="7"/>
        <v>0</v>
      </c>
      <c r="V12" s="247">
        <f t="shared" si="7"/>
        <v>0</v>
      </c>
      <c r="W12" s="247">
        <f t="shared" si="7"/>
        <v>0</v>
      </c>
      <c r="X12" s="247">
        <f t="shared" si="7"/>
        <v>0</v>
      </c>
      <c r="Y12" s="247">
        <f t="shared" si="7"/>
        <v>0</v>
      </c>
      <c r="Z12" s="247">
        <f t="shared" si="7"/>
        <v>0</v>
      </c>
    </row>
    <row r="13" spans="1:26">
      <c r="A13">
        <v>6</v>
      </c>
      <c r="B13" s="489" t="str">
        <f>K$5</f>
        <v>D2soft</v>
      </c>
      <c r="C13" s="489" t="str">
        <f>L$5</f>
        <v>Sbend</v>
      </c>
      <c r="D13" s="489">
        <f>M$5</f>
        <v>5.8499998000000001E-3</v>
      </c>
      <c r="E13" s="489">
        <f>N$5</f>
        <v>50.035998999999997</v>
      </c>
      <c r="F13" s="489">
        <f t="shared" si="0"/>
        <v>0</v>
      </c>
      <c r="G13" s="551">
        <f t="shared" si="1"/>
        <v>0</v>
      </c>
      <c r="H13" s="551">
        <f t="shared" si="2"/>
        <v>0</v>
      </c>
      <c r="I13" s="551">
        <f t="shared" si="3"/>
        <v>0</v>
      </c>
      <c r="K13" s="489" t="s">
        <v>946</v>
      </c>
      <c r="L13" s="489">
        <v>0</v>
      </c>
      <c r="M13" s="551">
        <f>L13/$N$9^2</f>
        <v>0</v>
      </c>
      <c r="O13" s="247">
        <f>$M13*O$11^2</f>
        <v>0</v>
      </c>
      <c r="P13" s="247">
        <f t="shared" ref="P13:Z13" si="8">$M13*P$11^2</f>
        <v>0</v>
      </c>
      <c r="Q13" s="247">
        <f t="shared" si="8"/>
        <v>0</v>
      </c>
      <c r="R13" s="247">
        <f t="shared" si="8"/>
        <v>0</v>
      </c>
      <c r="S13" s="247">
        <f t="shared" si="8"/>
        <v>0</v>
      </c>
      <c r="T13" s="247">
        <f t="shared" si="8"/>
        <v>0</v>
      </c>
      <c r="U13" s="247">
        <f t="shared" si="8"/>
        <v>0</v>
      </c>
      <c r="V13" s="247">
        <f t="shared" si="8"/>
        <v>0</v>
      </c>
      <c r="W13" s="247">
        <f t="shared" si="8"/>
        <v>0</v>
      </c>
      <c r="X13" s="247">
        <f t="shared" si="8"/>
        <v>0</v>
      </c>
      <c r="Y13" s="247">
        <f t="shared" si="8"/>
        <v>0</v>
      </c>
      <c r="Z13" s="247">
        <f t="shared" si="8"/>
        <v>0</v>
      </c>
    </row>
    <row r="14" spans="1:26">
      <c r="A14">
        <v>6</v>
      </c>
      <c r="B14" s="489" t="str">
        <f t="shared" ref="B14:E15" si="9">K$6</f>
        <v>D2hard</v>
      </c>
      <c r="C14" s="489" t="str">
        <f t="shared" si="9"/>
        <v>Sbend</v>
      </c>
      <c r="D14" s="489">
        <f t="shared" si="9"/>
        <v>9.2324800999999998E-2</v>
      </c>
      <c r="E14" s="489">
        <f t="shared" si="9"/>
        <v>23.366301</v>
      </c>
      <c r="F14" s="489">
        <f t="shared" si="0"/>
        <v>0</v>
      </c>
      <c r="G14" s="551">
        <f t="shared" si="1"/>
        <v>0</v>
      </c>
      <c r="H14" s="551">
        <f t="shared" si="2"/>
        <v>0</v>
      </c>
      <c r="I14" s="551">
        <f t="shared" si="3"/>
        <v>0</v>
      </c>
      <c r="K14" s="489" t="s">
        <v>942</v>
      </c>
      <c r="L14" s="489">
        <v>0</v>
      </c>
      <c r="M14" s="551">
        <f>L14/$N$9^4</f>
        <v>0</v>
      </c>
      <c r="O14" s="247">
        <f>$M14*O$11^4</f>
        <v>0</v>
      </c>
      <c r="P14" s="247">
        <f t="shared" ref="P14:Z14" si="10">$M14*P$11^4</f>
        <v>0</v>
      </c>
      <c r="Q14" s="247">
        <f t="shared" si="10"/>
        <v>0</v>
      </c>
      <c r="R14" s="247">
        <f t="shared" si="10"/>
        <v>0</v>
      </c>
      <c r="S14" s="247">
        <f t="shared" si="10"/>
        <v>0</v>
      </c>
      <c r="T14" s="247">
        <f t="shared" si="10"/>
        <v>0</v>
      </c>
      <c r="U14" s="247">
        <f t="shared" si="10"/>
        <v>0</v>
      </c>
      <c r="V14" s="247">
        <f t="shared" si="10"/>
        <v>0</v>
      </c>
      <c r="W14" s="247">
        <f t="shared" si="10"/>
        <v>0</v>
      </c>
      <c r="X14" s="247">
        <f t="shared" si="10"/>
        <v>0</v>
      </c>
      <c r="Y14" s="247">
        <f t="shared" si="10"/>
        <v>0</v>
      </c>
      <c r="Z14" s="247">
        <f t="shared" si="10"/>
        <v>0</v>
      </c>
    </row>
    <row r="15" spans="1:26">
      <c r="A15">
        <v>7</v>
      </c>
      <c r="B15" s="489" t="str">
        <f t="shared" si="9"/>
        <v>D2hard</v>
      </c>
      <c r="C15" s="489" t="str">
        <f t="shared" si="9"/>
        <v>Sbend</v>
      </c>
      <c r="D15" s="489">
        <f t="shared" si="9"/>
        <v>9.2324800999999998E-2</v>
      </c>
      <c r="E15" s="489">
        <f t="shared" si="9"/>
        <v>23.366301</v>
      </c>
      <c r="F15" s="489">
        <f t="shared" si="0"/>
        <v>0</v>
      </c>
      <c r="G15" s="551">
        <f t="shared" si="1"/>
        <v>0</v>
      </c>
      <c r="H15" s="551">
        <f t="shared" si="2"/>
        <v>0</v>
      </c>
      <c r="I15" s="551">
        <f t="shared" si="3"/>
        <v>0</v>
      </c>
      <c r="K15" s="489" t="s">
        <v>943</v>
      </c>
      <c r="L15" s="489">
        <v>0</v>
      </c>
      <c r="M15" s="551">
        <f>L15/$N$9^6</f>
        <v>0</v>
      </c>
      <c r="O15" s="247">
        <f>$M15*O$11^6</f>
        <v>0</v>
      </c>
      <c r="P15" s="247">
        <f t="shared" ref="P15:Z15" si="11">$M15*P$11^6</f>
        <v>0</v>
      </c>
      <c r="Q15" s="247">
        <f t="shared" si="11"/>
        <v>0</v>
      </c>
      <c r="R15" s="247">
        <f t="shared" si="11"/>
        <v>0</v>
      </c>
      <c r="S15" s="247">
        <f t="shared" si="11"/>
        <v>0</v>
      </c>
      <c r="T15" s="247">
        <f t="shared" si="11"/>
        <v>0</v>
      </c>
      <c r="U15" s="247">
        <f t="shared" si="11"/>
        <v>0</v>
      </c>
      <c r="V15" s="247">
        <f t="shared" si="11"/>
        <v>0</v>
      </c>
      <c r="W15" s="247">
        <f t="shared" si="11"/>
        <v>0</v>
      </c>
      <c r="X15" s="247">
        <f t="shared" si="11"/>
        <v>0</v>
      </c>
      <c r="Y15" s="247">
        <f t="shared" si="11"/>
        <v>0</v>
      </c>
      <c r="Z15" s="247">
        <f t="shared" si="11"/>
        <v>0</v>
      </c>
    </row>
    <row r="16" spans="1:26">
      <c r="A16">
        <v>7</v>
      </c>
      <c r="B16" s="489" t="str">
        <f>K$5</f>
        <v>D2soft</v>
      </c>
      <c r="C16" s="489" t="str">
        <f>L$5</f>
        <v>Sbend</v>
      </c>
      <c r="D16" s="489">
        <f>M$5</f>
        <v>5.8499998000000001E-3</v>
      </c>
      <c r="E16" s="489">
        <f>N$5</f>
        <v>50.035998999999997</v>
      </c>
      <c r="F16" s="489">
        <f t="shared" si="0"/>
        <v>0</v>
      </c>
      <c r="G16" s="551">
        <f t="shared" si="1"/>
        <v>0</v>
      </c>
      <c r="H16" s="551">
        <f t="shared" si="2"/>
        <v>0</v>
      </c>
      <c r="I16" s="551">
        <f t="shared" si="3"/>
        <v>0</v>
      </c>
      <c r="K16" t="s">
        <v>547</v>
      </c>
      <c r="M16" s="247"/>
      <c r="O16" s="247">
        <f>SUM(O12:O15)</f>
        <v>0</v>
      </c>
      <c r="P16" s="247">
        <f t="shared" ref="P16:Z16" si="12">SUM(P12:P15)</f>
        <v>0</v>
      </c>
      <c r="Q16" s="247">
        <f t="shared" si="12"/>
        <v>0</v>
      </c>
      <c r="R16" s="247">
        <f t="shared" si="12"/>
        <v>0</v>
      </c>
      <c r="S16" s="247">
        <f t="shared" si="12"/>
        <v>0</v>
      </c>
      <c r="T16" s="247">
        <f t="shared" si="12"/>
        <v>0</v>
      </c>
      <c r="U16" s="247">
        <f t="shared" si="12"/>
        <v>0</v>
      </c>
      <c r="V16" s="247">
        <f t="shared" si="12"/>
        <v>0</v>
      </c>
      <c r="W16" s="247">
        <f t="shared" si="12"/>
        <v>0</v>
      </c>
      <c r="X16" s="247">
        <f t="shared" si="12"/>
        <v>0</v>
      </c>
      <c r="Y16" s="247">
        <f t="shared" si="12"/>
        <v>0</v>
      </c>
      <c r="Z16" s="247">
        <f t="shared" si="12"/>
        <v>0</v>
      </c>
    </row>
    <row r="17" spans="1:9">
      <c r="A17">
        <v>7</v>
      </c>
      <c r="B17" s="489" t="str">
        <f>K$4</f>
        <v>D1soft</v>
      </c>
      <c r="C17" s="489" t="str">
        <f>L$4</f>
        <v>Sbend</v>
      </c>
      <c r="D17" s="489">
        <f>M$4</f>
        <v>5.8499998000000001E-3</v>
      </c>
      <c r="E17" s="489">
        <f>N$4</f>
        <v>50.035998999999997</v>
      </c>
      <c r="F17" s="489">
        <f t="shared" si="0"/>
        <v>0</v>
      </c>
      <c r="G17" s="551">
        <f t="shared" si="1"/>
        <v>0</v>
      </c>
      <c r="H17" s="551">
        <f t="shared" si="2"/>
        <v>0</v>
      </c>
      <c r="I17" s="551">
        <f t="shared" si="3"/>
        <v>0</v>
      </c>
    </row>
    <row r="18" spans="1:9">
      <c r="A18">
        <v>7</v>
      </c>
      <c r="B18" s="489" t="str">
        <f t="shared" ref="B18:E19" si="13">K$3</f>
        <v>D1hard</v>
      </c>
      <c r="C18" s="489" t="str">
        <f t="shared" si="13"/>
        <v>Sbend</v>
      </c>
      <c r="D18" s="489">
        <f t="shared" si="13"/>
        <v>9.2324800999999998E-2</v>
      </c>
      <c r="E18" s="489">
        <f t="shared" si="13"/>
        <v>23.366301</v>
      </c>
      <c r="F18" s="489">
        <f t="shared" si="0"/>
        <v>0</v>
      </c>
      <c r="G18" s="551">
        <f t="shared" si="1"/>
        <v>0</v>
      </c>
      <c r="H18" s="551">
        <f t="shared" si="2"/>
        <v>0</v>
      </c>
      <c r="I18" s="551">
        <f t="shared" si="3"/>
        <v>0</v>
      </c>
    </row>
    <row r="19" spans="1:9">
      <c r="A19">
        <v>8</v>
      </c>
      <c r="B19" s="489" t="str">
        <f t="shared" si="13"/>
        <v>D1hard</v>
      </c>
      <c r="C19" s="489" t="str">
        <f t="shared" si="13"/>
        <v>Sbend</v>
      </c>
      <c r="D19" s="489">
        <f t="shared" si="13"/>
        <v>9.2324800999999998E-2</v>
      </c>
      <c r="E19" s="489">
        <f t="shared" si="13"/>
        <v>23.366301</v>
      </c>
      <c r="F19" s="489">
        <f t="shared" si="0"/>
        <v>0</v>
      </c>
      <c r="G19" s="551">
        <f t="shared" si="1"/>
        <v>0</v>
      </c>
      <c r="H19" s="551">
        <f t="shared" si="2"/>
        <v>0</v>
      </c>
      <c r="I19" s="551">
        <f t="shared" si="3"/>
        <v>0</v>
      </c>
    </row>
    <row r="20" spans="1:9">
      <c r="A20">
        <v>8</v>
      </c>
      <c r="B20" s="489" t="str">
        <f>K$4</f>
        <v>D1soft</v>
      </c>
      <c r="C20" s="489" t="str">
        <f>L$4</f>
        <v>Sbend</v>
      </c>
      <c r="D20" s="489">
        <f>M$4</f>
        <v>5.8499998000000001E-3</v>
      </c>
      <c r="E20" s="489">
        <f>N$4</f>
        <v>50.035998999999997</v>
      </c>
      <c r="F20" s="489">
        <f t="shared" si="0"/>
        <v>0</v>
      </c>
      <c r="G20" s="551">
        <f t="shared" si="1"/>
        <v>0</v>
      </c>
      <c r="H20" s="551">
        <f t="shared" si="2"/>
        <v>0</v>
      </c>
      <c r="I20" s="551">
        <f t="shared" si="3"/>
        <v>0</v>
      </c>
    </row>
    <row r="21" spans="1:9">
      <c r="A21">
        <v>8</v>
      </c>
      <c r="B21" s="489" t="str">
        <f>K$5</f>
        <v>D2soft</v>
      </c>
      <c r="C21" s="489" t="str">
        <f>L$5</f>
        <v>Sbend</v>
      </c>
      <c r="D21" s="489">
        <f>M$5</f>
        <v>5.8499998000000001E-3</v>
      </c>
      <c r="E21" s="489">
        <f>N$5</f>
        <v>50.035998999999997</v>
      </c>
      <c r="F21" s="489">
        <f t="shared" si="0"/>
        <v>0</v>
      </c>
      <c r="G21" s="551">
        <f t="shared" si="1"/>
        <v>0</v>
      </c>
      <c r="H21" s="551">
        <f t="shared" si="2"/>
        <v>0</v>
      </c>
      <c r="I21" s="551">
        <f t="shared" si="3"/>
        <v>0</v>
      </c>
    </row>
    <row r="22" spans="1:9">
      <c r="A22">
        <v>8</v>
      </c>
      <c r="B22" s="489" t="str">
        <f t="shared" ref="B22:E23" si="14">K$6</f>
        <v>D2hard</v>
      </c>
      <c r="C22" s="489" t="str">
        <f t="shared" si="14"/>
        <v>Sbend</v>
      </c>
      <c r="D22" s="489">
        <f t="shared" si="14"/>
        <v>9.2324800999999998E-2</v>
      </c>
      <c r="E22" s="489">
        <f t="shared" si="14"/>
        <v>23.366301</v>
      </c>
      <c r="F22" s="489">
        <f t="shared" si="0"/>
        <v>0</v>
      </c>
      <c r="G22" s="551">
        <f t="shared" si="1"/>
        <v>0</v>
      </c>
      <c r="H22" s="551">
        <f t="shared" si="2"/>
        <v>0</v>
      </c>
      <c r="I22" s="551">
        <f t="shared" si="3"/>
        <v>0</v>
      </c>
    </row>
    <row r="23" spans="1:9">
      <c r="A23">
        <v>9</v>
      </c>
      <c r="B23" s="489" t="str">
        <f t="shared" si="14"/>
        <v>D2hard</v>
      </c>
      <c r="C23" s="489" t="str">
        <f t="shared" si="14"/>
        <v>Sbend</v>
      </c>
      <c r="D23" s="489">
        <f t="shared" si="14"/>
        <v>9.2324800999999998E-2</v>
      </c>
      <c r="E23" s="489">
        <f t="shared" si="14"/>
        <v>23.366301</v>
      </c>
      <c r="F23" s="489">
        <f t="shared" si="0"/>
        <v>0</v>
      </c>
      <c r="G23" s="551">
        <f t="shared" si="1"/>
        <v>0</v>
      </c>
      <c r="H23" s="551">
        <f t="shared" si="2"/>
        <v>0</v>
      </c>
      <c r="I23" s="551">
        <f t="shared" si="3"/>
        <v>0</v>
      </c>
    </row>
    <row r="24" spans="1:9">
      <c r="A24">
        <v>9</v>
      </c>
      <c r="B24" s="489" t="str">
        <f>K$5</f>
        <v>D2soft</v>
      </c>
      <c r="C24" s="489" t="str">
        <f>L$5</f>
        <v>Sbend</v>
      </c>
      <c r="D24" s="489">
        <f>M$5</f>
        <v>5.8499998000000001E-3</v>
      </c>
      <c r="E24" s="489">
        <f>N$5</f>
        <v>50.035998999999997</v>
      </c>
      <c r="F24" s="489">
        <f t="shared" si="0"/>
        <v>0</v>
      </c>
      <c r="G24" s="551">
        <f t="shared" si="1"/>
        <v>0</v>
      </c>
      <c r="H24" s="551">
        <f t="shared" si="2"/>
        <v>0</v>
      </c>
      <c r="I24" s="551">
        <f t="shared" si="3"/>
        <v>0</v>
      </c>
    </row>
    <row r="25" spans="1:9">
      <c r="A25">
        <v>9</v>
      </c>
      <c r="B25" s="489" t="str">
        <f>K$4</f>
        <v>D1soft</v>
      </c>
      <c r="C25" s="489" t="str">
        <f>L$4</f>
        <v>Sbend</v>
      </c>
      <c r="D25" s="489">
        <f>M$4</f>
        <v>5.8499998000000001E-3</v>
      </c>
      <c r="E25" s="489">
        <f>N$4</f>
        <v>50.035998999999997</v>
      </c>
      <c r="F25" s="489">
        <f t="shared" si="0"/>
        <v>0</v>
      </c>
      <c r="G25" s="551">
        <f t="shared" si="1"/>
        <v>0</v>
      </c>
      <c r="H25" s="551">
        <f t="shared" si="2"/>
        <v>0</v>
      </c>
      <c r="I25" s="551">
        <f t="shared" si="3"/>
        <v>0</v>
      </c>
    </row>
    <row r="26" spans="1:9">
      <c r="A26">
        <v>9</v>
      </c>
      <c r="B26" s="489" t="str">
        <f t="shared" ref="B26:E27" si="15">K$3</f>
        <v>D1hard</v>
      </c>
      <c r="C26" s="489" t="str">
        <f t="shared" si="15"/>
        <v>Sbend</v>
      </c>
      <c r="D26" s="489">
        <f t="shared" si="15"/>
        <v>9.2324800999999998E-2</v>
      </c>
      <c r="E26" s="489">
        <f t="shared" si="15"/>
        <v>23.366301</v>
      </c>
      <c r="F26" s="489">
        <f t="shared" si="0"/>
        <v>0</v>
      </c>
      <c r="G26" s="551">
        <f t="shared" si="1"/>
        <v>0</v>
      </c>
      <c r="H26" s="551">
        <f t="shared" si="2"/>
        <v>0</v>
      </c>
      <c r="I26" s="551">
        <f t="shared" si="3"/>
        <v>0</v>
      </c>
    </row>
    <row r="27" spans="1:9">
      <c r="A27">
        <v>10</v>
      </c>
      <c r="B27" s="489" t="str">
        <f t="shared" si="15"/>
        <v>D1hard</v>
      </c>
      <c r="C27" s="489" t="str">
        <f t="shared" si="15"/>
        <v>Sbend</v>
      </c>
      <c r="D27" s="489">
        <f t="shared" si="15"/>
        <v>9.2324800999999998E-2</v>
      </c>
      <c r="E27" s="489">
        <f t="shared" si="15"/>
        <v>23.366301</v>
      </c>
      <c r="F27" s="489">
        <f t="shared" si="0"/>
        <v>0</v>
      </c>
      <c r="G27" s="551">
        <f t="shared" si="1"/>
        <v>0</v>
      </c>
      <c r="H27" s="551">
        <f t="shared" si="2"/>
        <v>0</v>
      </c>
      <c r="I27" s="551">
        <f t="shared" si="3"/>
        <v>0</v>
      </c>
    </row>
    <row r="28" spans="1:9">
      <c r="A28">
        <v>10</v>
      </c>
      <c r="B28" s="489" t="str">
        <f>K$4</f>
        <v>D1soft</v>
      </c>
      <c r="C28" s="489" t="str">
        <f>L$4</f>
        <v>Sbend</v>
      </c>
      <c r="D28" s="489">
        <f>M$4</f>
        <v>5.8499998000000001E-3</v>
      </c>
      <c r="E28" s="489">
        <f>N$4</f>
        <v>50.035998999999997</v>
      </c>
      <c r="F28" s="489">
        <f t="shared" si="0"/>
        <v>0</v>
      </c>
      <c r="G28" s="551">
        <f t="shared" si="1"/>
        <v>0</v>
      </c>
      <c r="H28" s="551">
        <f t="shared" si="2"/>
        <v>0</v>
      </c>
      <c r="I28" s="551">
        <f t="shared" si="3"/>
        <v>0</v>
      </c>
    </row>
    <row r="29" spans="1:9">
      <c r="A29">
        <v>10</v>
      </c>
      <c r="B29" s="489" t="str">
        <f>K$5</f>
        <v>D2soft</v>
      </c>
      <c r="C29" s="489" t="str">
        <f>L$5</f>
        <v>Sbend</v>
      </c>
      <c r="D29" s="489">
        <f>M$5</f>
        <v>5.8499998000000001E-3</v>
      </c>
      <c r="E29" s="489">
        <f>N$5</f>
        <v>50.035998999999997</v>
      </c>
      <c r="F29" s="489">
        <f t="shared" si="0"/>
        <v>0</v>
      </c>
      <c r="G29" s="551">
        <f t="shared" si="1"/>
        <v>0</v>
      </c>
      <c r="H29" s="551">
        <f t="shared" si="2"/>
        <v>0</v>
      </c>
      <c r="I29" s="551">
        <f t="shared" si="3"/>
        <v>0</v>
      </c>
    </row>
    <row r="30" spans="1:9">
      <c r="A30">
        <v>10</v>
      </c>
      <c r="B30" s="489" t="str">
        <f t="shared" ref="B30:E31" si="16">K$6</f>
        <v>D2hard</v>
      </c>
      <c r="C30" s="489" t="str">
        <f t="shared" si="16"/>
        <v>Sbend</v>
      </c>
      <c r="D30" s="489">
        <f t="shared" si="16"/>
        <v>9.2324800999999998E-2</v>
      </c>
      <c r="E30" s="489">
        <f t="shared" si="16"/>
        <v>23.366301</v>
      </c>
      <c r="F30" s="489">
        <f t="shared" si="0"/>
        <v>0</v>
      </c>
      <c r="G30" s="551">
        <f t="shared" si="1"/>
        <v>0</v>
      </c>
      <c r="H30" s="551">
        <f t="shared" si="2"/>
        <v>0</v>
      </c>
      <c r="I30" s="551">
        <f t="shared" si="3"/>
        <v>0</v>
      </c>
    </row>
    <row r="31" spans="1:9">
      <c r="A31">
        <v>11</v>
      </c>
      <c r="B31" s="489" t="str">
        <f t="shared" si="16"/>
        <v>D2hard</v>
      </c>
      <c r="C31" s="489" t="str">
        <f t="shared" si="16"/>
        <v>Sbend</v>
      </c>
      <c r="D31" s="489">
        <f t="shared" si="16"/>
        <v>9.2324800999999998E-2</v>
      </c>
      <c r="E31" s="489">
        <f t="shared" si="16"/>
        <v>23.366301</v>
      </c>
      <c r="F31" s="489">
        <f t="shared" si="0"/>
        <v>0</v>
      </c>
      <c r="G31" s="551">
        <f t="shared" si="1"/>
        <v>0</v>
      </c>
      <c r="H31" s="551">
        <f t="shared" si="2"/>
        <v>0</v>
      </c>
      <c r="I31" s="551">
        <f t="shared" si="3"/>
        <v>0</v>
      </c>
    </row>
    <row r="32" spans="1:9">
      <c r="A32">
        <v>11</v>
      </c>
      <c r="B32" s="489" t="str">
        <f>K$5</f>
        <v>D2soft</v>
      </c>
      <c r="C32" s="489" t="str">
        <f>L$5</f>
        <v>Sbend</v>
      </c>
      <c r="D32" s="489">
        <f>M$5</f>
        <v>5.8499998000000001E-3</v>
      </c>
      <c r="E32" s="489">
        <f>N$5</f>
        <v>50.035998999999997</v>
      </c>
      <c r="F32" s="489">
        <f t="shared" si="0"/>
        <v>0</v>
      </c>
      <c r="G32" s="551">
        <f t="shared" si="1"/>
        <v>0</v>
      </c>
      <c r="H32" s="551">
        <f t="shared" si="2"/>
        <v>0</v>
      </c>
      <c r="I32" s="551">
        <f t="shared" si="3"/>
        <v>0</v>
      </c>
    </row>
    <row r="33" spans="1:9">
      <c r="A33">
        <v>11</v>
      </c>
      <c r="B33" s="489" t="str">
        <f>K$4</f>
        <v>D1soft</v>
      </c>
      <c r="C33" s="489" t="str">
        <f>L$4</f>
        <v>Sbend</v>
      </c>
      <c r="D33" s="489">
        <f>M$4</f>
        <v>5.8499998000000001E-3</v>
      </c>
      <c r="E33" s="489">
        <f>N$4</f>
        <v>50.035998999999997</v>
      </c>
      <c r="F33" s="489">
        <f t="shared" si="0"/>
        <v>0</v>
      </c>
      <c r="G33" s="551">
        <f t="shared" si="1"/>
        <v>0</v>
      </c>
      <c r="H33" s="551">
        <f t="shared" si="2"/>
        <v>0</v>
      </c>
      <c r="I33" s="551">
        <f t="shared" si="3"/>
        <v>0</v>
      </c>
    </row>
    <row r="34" spans="1:9">
      <c r="A34">
        <v>11</v>
      </c>
      <c r="B34" s="489" t="str">
        <f t="shared" ref="B34:E35" si="17">K$3</f>
        <v>D1hard</v>
      </c>
      <c r="C34" s="489" t="str">
        <f t="shared" si="17"/>
        <v>Sbend</v>
      </c>
      <c r="D34" s="489">
        <f t="shared" si="17"/>
        <v>9.2324800999999998E-2</v>
      </c>
      <c r="E34" s="489">
        <f t="shared" si="17"/>
        <v>23.366301</v>
      </c>
      <c r="F34" s="489">
        <f t="shared" si="0"/>
        <v>0</v>
      </c>
      <c r="G34" s="551">
        <f t="shared" si="1"/>
        <v>0</v>
      </c>
      <c r="H34" s="551">
        <f t="shared" si="2"/>
        <v>0</v>
      </c>
      <c r="I34" s="551">
        <f t="shared" si="3"/>
        <v>0</v>
      </c>
    </row>
    <row r="35" spans="1:9">
      <c r="A35">
        <v>12</v>
      </c>
      <c r="B35" s="489" t="str">
        <f t="shared" si="17"/>
        <v>D1hard</v>
      </c>
      <c r="C35" s="489" t="str">
        <f t="shared" si="17"/>
        <v>Sbend</v>
      </c>
      <c r="D35" s="489">
        <f t="shared" si="17"/>
        <v>9.2324800999999998E-2</v>
      </c>
      <c r="E35" s="489">
        <f t="shared" si="17"/>
        <v>23.366301</v>
      </c>
      <c r="F35" s="489">
        <f t="shared" si="0"/>
        <v>0</v>
      </c>
      <c r="G35" s="551">
        <f t="shared" si="1"/>
        <v>0</v>
      </c>
      <c r="H35" s="551">
        <f t="shared" si="2"/>
        <v>0</v>
      </c>
      <c r="I35" s="551">
        <f t="shared" si="3"/>
        <v>0</v>
      </c>
    </row>
    <row r="36" spans="1:9">
      <c r="A36">
        <v>12</v>
      </c>
      <c r="B36" s="489" t="str">
        <f>K$4</f>
        <v>D1soft</v>
      </c>
      <c r="C36" s="489" t="str">
        <f>L$4</f>
        <v>Sbend</v>
      </c>
      <c r="D36" s="489">
        <f>M$4</f>
        <v>5.8499998000000001E-3</v>
      </c>
      <c r="E36" s="489">
        <f>N$4</f>
        <v>50.035998999999997</v>
      </c>
      <c r="F36" s="489">
        <f t="shared" si="0"/>
        <v>0</v>
      </c>
      <c r="G36" s="551">
        <f t="shared" si="1"/>
        <v>0</v>
      </c>
      <c r="H36" s="551">
        <f t="shared" si="2"/>
        <v>0</v>
      </c>
      <c r="I36" s="551">
        <f t="shared" si="3"/>
        <v>0</v>
      </c>
    </row>
    <row r="37" spans="1:9">
      <c r="A37">
        <v>12</v>
      </c>
      <c r="B37" s="489" t="str">
        <f>K$5</f>
        <v>D2soft</v>
      </c>
      <c r="C37" s="489" t="str">
        <f>L$5</f>
        <v>Sbend</v>
      </c>
      <c r="D37" s="489">
        <f>M$5</f>
        <v>5.8499998000000001E-3</v>
      </c>
      <c r="E37" s="489">
        <f>N$5</f>
        <v>50.035998999999997</v>
      </c>
      <c r="F37" s="489">
        <f t="shared" si="0"/>
        <v>0</v>
      </c>
      <c r="G37" s="551">
        <f t="shared" si="1"/>
        <v>0</v>
      </c>
      <c r="H37" s="551">
        <f t="shared" si="2"/>
        <v>0</v>
      </c>
      <c r="I37" s="551">
        <f t="shared" si="3"/>
        <v>0</v>
      </c>
    </row>
    <row r="38" spans="1:9">
      <c r="A38">
        <v>12</v>
      </c>
      <c r="B38" s="489" t="str">
        <f t="shared" ref="B38:E39" si="18">K$6</f>
        <v>D2hard</v>
      </c>
      <c r="C38" s="489" t="str">
        <f t="shared" si="18"/>
        <v>Sbend</v>
      </c>
      <c r="D38" s="489">
        <f t="shared" si="18"/>
        <v>9.2324800999999998E-2</v>
      </c>
      <c r="E38" s="489">
        <f t="shared" si="18"/>
        <v>23.366301</v>
      </c>
      <c r="F38" s="489">
        <f t="shared" si="0"/>
        <v>0</v>
      </c>
      <c r="G38" s="551">
        <f t="shared" si="1"/>
        <v>0</v>
      </c>
      <c r="H38" s="551">
        <f t="shared" si="2"/>
        <v>0</v>
      </c>
      <c r="I38" s="551">
        <f t="shared" si="3"/>
        <v>0</v>
      </c>
    </row>
    <row r="39" spans="1:9">
      <c r="A39">
        <v>13</v>
      </c>
      <c r="B39" s="489" t="str">
        <f t="shared" si="18"/>
        <v>D2hard</v>
      </c>
      <c r="C39" s="489" t="str">
        <f t="shared" si="18"/>
        <v>Sbend</v>
      </c>
      <c r="D39" s="489">
        <f t="shared" si="18"/>
        <v>9.2324800999999998E-2</v>
      </c>
      <c r="E39" s="489">
        <f t="shared" si="18"/>
        <v>23.366301</v>
      </c>
      <c r="F39" s="489">
        <f t="shared" si="0"/>
        <v>0</v>
      </c>
      <c r="G39" s="551">
        <f t="shared" si="1"/>
        <v>0</v>
      </c>
      <c r="H39" s="551">
        <f t="shared" si="2"/>
        <v>0</v>
      </c>
      <c r="I39" s="551">
        <f t="shared" si="3"/>
        <v>0</v>
      </c>
    </row>
    <row r="40" spans="1:9">
      <c r="A40">
        <v>13</v>
      </c>
      <c r="B40" s="489" t="str">
        <f>K$5</f>
        <v>D2soft</v>
      </c>
      <c r="C40" s="489" t="str">
        <f>L$5</f>
        <v>Sbend</v>
      </c>
      <c r="D40" s="489">
        <f>M$5</f>
        <v>5.8499998000000001E-3</v>
      </c>
      <c r="E40" s="489">
        <f>N$5</f>
        <v>50.035998999999997</v>
      </c>
      <c r="F40" s="489">
        <f t="shared" si="0"/>
        <v>0</v>
      </c>
      <c r="G40" s="551">
        <f t="shared" si="1"/>
        <v>0</v>
      </c>
      <c r="H40" s="551">
        <f t="shared" si="2"/>
        <v>0</v>
      </c>
      <c r="I40" s="551">
        <f t="shared" si="3"/>
        <v>0</v>
      </c>
    </row>
    <row r="41" spans="1:9">
      <c r="A41">
        <v>13</v>
      </c>
      <c r="B41" s="489" t="str">
        <f>K$4</f>
        <v>D1soft</v>
      </c>
      <c r="C41" s="489" t="str">
        <f>L$4</f>
        <v>Sbend</v>
      </c>
      <c r="D41" s="489">
        <f>M$4</f>
        <v>5.8499998000000001E-3</v>
      </c>
      <c r="E41" s="489">
        <f>N$4</f>
        <v>50.035998999999997</v>
      </c>
      <c r="F41" s="489">
        <f t="shared" si="0"/>
        <v>0</v>
      </c>
      <c r="G41" s="551">
        <f t="shared" si="1"/>
        <v>0</v>
      </c>
      <c r="H41" s="551">
        <f t="shared" si="2"/>
        <v>0</v>
      </c>
      <c r="I41" s="551">
        <f t="shared" si="3"/>
        <v>0</v>
      </c>
    </row>
    <row r="42" spans="1:9">
      <c r="A42">
        <v>13</v>
      </c>
      <c r="B42" s="489" t="str">
        <f t="shared" ref="B42:E43" si="19">K$3</f>
        <v>D1hard</v>
      </c>
      <c r="C42" s="489" t="str">
        <f t="shared" si="19"/>
        <v>Sbend</v>
      </c>
      <c r="D42" s="489">
        <f t="shared" si="19"/>
        <v>9.2324800999999998E-2</v>
      </c>
      <c r="E42" s="489">
        <f t="shared" si="19"/>
        <v>23.366301</v>
      </c>
      <c r="F42" s="489">
        <f t="shared" si="0"/>
        <v>0</v>
      </c>
      <c r="G42" s="551">
        <f t="shared" si="1"/>
        <v>0</v>
      </c>
      <c r="H42" s="551">
        <f t="shared" si="2"/>
        <v>0</v>
      </c>
      <c r="I42" s="551">
        <f t="shared" si="3"/>
        <v>0</v>
      </c>
    </row>
    <row r="43" spans="1:9">
      <c r="A43">
        <v>14</v>
      </c>
      <c r="B43" s="489" t="str">
        <f t="shared" si="19"/>
        <v>D1hard</v>
      </c>
      <c r="C43" s="489" t="str">
        <f t="shared" si="19"/>
        <v>Sbend</v>
      </c>
      <c r="D43" s="489">
        <f t="shared" si="19"/>
        <v>9.2324800999999998E-2</v>
      </c>
      <c r="E43" s="489">
        <f t="shared" si="19"/>
        <v>23.366301</v>
      </c>
      <c r="F43" s="489">
        <f t="shared" si="0"/>
        <v>0</v>
      </c>
      <c r="G43" s="551">
        <f t="shared" si="1"/>
        <v>0</v>
      </c>
      <c r="H43" s="551">
        <f t="shared" si="2"/>
        <v>0</v>
      </c>
      <c r="I43" s="551">
        <f t="shared" si="3"/>
        <v>0</v>
      </c>
    </row>
    <row r="44" spans="1:9">
      <c r="A44">
        <v>14</v>
      </c>
      <c r="B44" s="489" t="str">
        <f>K$4</f>
        <v>D1soft</v>
      </c>
      <c r="C44" s="489" t="str">
        <f>L$4</f>
        <v>Sbend</v>
      </c>
      <c r="D44" s="489">
        <f>M$4</f>
        <v>5.8499998000000001E-3</v>
      </c>
      <c r="E44" s="489">
        <f>N$4</f>
        <v>50.035998999999997</v>
      </c>
      <c r="F44" s="489">
        <f t="shared" si="0"/>
        <v>0</v>
      </c>
      <c r="G44" s="551">
        <f t="shared" si="1"/>
        <v>0</v>
      </c>
      <c r="H44" s="551">
        <f t="shared" si="2"/>
        <v>0</v>
      </c>
      <c r="I44" s="551">
        <f t="shared" si="3"/>
        <v>0</v>
      </c>
    </row>
    <row r="45" spans="1:9">
      <c r="A45">
        <v>14</v>
      </c>
      <c r="B45" s="489" t="str">
        <f>K$5</f>
        <v>D2soft</v>
      </c>
      <c r="C45" s="489" t="str">
        <f>L$5</f>
        <v>Sbend</v>
      </c>
      <c r="D45" s="489">
        <f>M$5</f>
        <v>5.8499998000000001E-3</v>
      </c>
      <c r="E45" s="489">
        <f>N$5</f>
        <v>50.035998999999997</v>
      </c>
      <c r="F45" s="489">
        <f t="shared" si="0"/>
        <v>0</v>
      </c>
      <c r="G45" s="551">
        <f t="shared" si="1"/>
        <v>0</v>
      </c>
      <c r="H45" s="551">
        <f t="shared" si="2"/>
        <v>0</v>
      </c>
      <c r="I45" s="551">
        <f t="shared" si="3"/>
        <v>0</v>
      </c>
    </row>
    <row r="46" spans="1:9">
      <c r="A46">
        <v>14</v>
      </c>
      <c r="B46" s="489" t="str">
        <f t="shared" ref="B46:E47" si="20">K$6</f>
        <v>D2hard</v>
      </c>
      <c r="C46" s="489" t="str">
        <f t="shared" si="20"/>
        <v>Sbend</v>
      </c>
      <c r="D46" s="489">
        <f t="shared" si="20"/>
        <v>9.2324800999999998E-2</v>
      </c>
      <c r="E46" s="489">
        <f t="shared" si="20"/>
        <v>23.366301</v>
      </c>
      <c r="F46" s="489">
        <f t="shared" si="0"/>
        <v>0</v>
      </c>
      <c r="G46" s="551">
        <f t="shared" si="1"/>
        <v>0</v>
      </c>
      <c r="H46" s="551">
        <f t="shared" si="2"/>
        <v>0</v>
      </c>
      <c r="I46" s="551">
        <f t="shared" si="3"/>
        <v>0</v>
      </c>
    </row>
    <row r="47" spans="1:9">
      <c r="A47">
        <v>15</v>
      </c>
      <c r="B47" s="489" t="str">
        <f t="shared" si="20"/>
        <v>D2hard</v>
      </c>
      <c r="C47" s="489" t="str">
        <f t="shared" si="20"/>
        <v>Sbend</v>
      </c>
      <c r="D47" s="489">
        <f t="shared" si="20"/>
        <v>9.2324800999999998E-2</v>
      </c>
      <c r="E47" s="489">
        <f t="shared" si="20"/>
        <v>23.366301</v>
      </c>
      <c r="F47" s="489">
        <f t="shared" si="0"/>
        <v>0</v>
      </c>
      <c r="G47" s="551">
        <f t="shared" si="1"/>
        <v>0</v>
      </c>
      <c r="H47" s="551">
        <f t="shared" si="2"/>
        <v>0</v>
      </c>
      <c r="I47" s="551">
        <f t="shared" si="3"/>
        <v>0</v>
      </c>
    </row>
    <row r="48" spans="1:9">
      <c r="A48">
        <v>15</v>
      </c>
      <c r="B48" s="489" t="str">
        <f>K$5</f>
        <v>D2soft</v>
      </c>
      <c r="C48" s="489" t="str">
        <f>L$5</f>
        <v>Sbend</v>
      </c>
      <c r="D48" s="489">
        <f>M$5</f>
        <v>5.8499998000000001E-3</v>
      </c>
      <c r="E48" s="489">
        <f>N$5</f>
        <v>50.035998999999997</v>
      </c>
      <c r="F48" s="489">
        <f t="shared" si="0"/>
        <v>0</v>
      </c>
      <c r="G48" s="551">
        <f t="shared" si="1"/>
        <v>0</v>
      </c>
      <c r="H48" s="551">
        <f t="shared" si="2"/>
        <v>0</v>
      </c>
      <c r="I48" s="551">
        <f t="shared" si="3"/>
        <v>0</v>
      </c>
    </row>
    <row r="49" spans="1:12">
      <c r="A49">
        <v>15</v>
      </c>
      <c r="B49" s="489" t="str">
        <f>K$4</f>
        <v>D1soft</v>
      </c>
      <c r="C49" s="489" t="str">
        <f>L$4</f>
        <v>Sbend</v>
      </c>
      <c r="D49" s="489">
        <f>M$4</f>
        <v>5.8499998000000001E-3</v>
      </c>
      <c r="E49" s="489">
        <f>N$4</f>
        <v>50.035998999999997</v>
      </c>
      <c r="F49" s="489">
        <f t="shared" si="0"/>
        <v>0</v>
      </c>
      <c r="G49" s="551">
        <f t="shared" si="1"/>
        <v>0</v>
      </c>
      <c r="H49" s="551">
        <f t="shared" si="2"/>
        <v>0</v>
      </c>
      <c r="I49" s="551">
        <f t="shared" si="3"/>
        <v>0</v>
      </c>
    </row>
    <row r="50" spans="1:12">
      <c r="A50">
        <v>15</v>
      </c>
      <c r="B50" s="489" t="str">
        <f t="shared" ref="B50:E51" si="21">K$3</f>
        <v>D1hard</v>
      </c>
      <c r="C50" s="489" t="str">
        <f t="shared" si="21"/>
        <v>Sbend</v>
      </c>
      <c r="D50" s="489">
        <f t="shared" si="21"/>
        <v>9.2324800999999998E-2</v>
      </c>
      <c r="E50" s="489">
        <f t="shared" si="21"/>
        <v>23.366301</v>
      </c>
      <c r="F50" s="489">
        <f t="shared" si="0"/>
        <v>0</v>
      </c>
      <c r="G50" s="551">
        <f t="shared" si="1"/>
        <v>0</v>
      </c>
      <c r="H50" s="551">
        <f t="shared" si="2"/>
        <v>0</v>
      </c>
      <c r="I50" s="551">
        <f t="shared" si="3"/>
        <v>0</v>
      </c>
    </row>
    <row r="51" spans="1:12">
      <c r="A51">
        <v>16</v>
      </c>
      <c r="B51" s="489" t="str">
        <f t="shared" si="21"/>
        <v>D1hard</v>
      </c>
      <c r="C51" s="489" t="str">
        <f t="shared" si="21"/>
        <v>Sbend</v>
      </c>
      <c r="D51" s="489">
        <f t="shared" si="21"/>
        <v>9.2324800999999998E-2</v>
      </c>
      <c r="E51" s="489">
        <f t="shared" si="21"/>
        <v>23.366301</v>
      </c>
      <c r="F51" s="489">
        <f t="shared" si="0"/>
        <v>0</v>
      </c>
      <c r="G51" s="551">
        <f t="shared" si="1"/>
        <v>0</v>
      </c>
      <c r="H51" s="551">
        <f t="shared" si="2"/>
        <v>0</v>
      </c>
      <c r="I51" s="551">
        <f t="shared" si="3"/>
        <v>0</v>
      </c>
    </row>
    <row r="52" spans="1:12">
      <c r="A52">
        <v>16</v>
      </c>
      <c r="B52" s="489" t="str">
        <f>K$4</f>
        <v>D1soft</v>
      </c>
      <c r="C52" s="489" t="str">
        <f>L$4</f>
        <v>Sbend</v>
      </c>
      <c r="D52" s="489">
        <f>M$4</f>
        <v>5.8499998000000001E-3</v>
      </c>
      <c r="E52" s="489">
        <f>N$4</f>
        <v>50.035998999999997</v>
      </c>
      <c r="F52" s="489">
        <f t="shared" si="0"/>
        <v>0</v>
      </c>
      <c r="G52" s="551">
        <f t="shared" si="1"/>
        <v>0</v>
      </c>
      <c r="H52" s="551">
        <f t="shared" si="2"/>
        <v>0</v>
      </c>
      <c r="I52" s="551">
        <f t="shared" si="3"/>
        <v>0</v>
      </c>
    </row>
    <row r="53" spans="1:12">
      <c r="A53">
        <v>16</v>
      </c>
      <c r="B53" s="489" t="str">
        <f>K$5</f>
        <v>D2soft</v>
      </c>
      <c r="C53" s="489" t="str">
        <f>L$5</f>
        <v>Sbend</v>
      </c>
      <c r="D53" s="489">
        <f>M$5</f>
        <v>5.8499998000000001E-3</v>
      </c>
      <c r="E53" s="489">
        <f>N$5</f>
        <v>50.035998999999997</v>
      </c>
      <c r="F53" s="489">
        <f t="shared" si="0"/>
        <v>0</v>
      </c>
      <c r="G53" s="551">
        <f t="shared" si="1"/>
        <v>0</v>
      </c>
      <c r="H53" s="551">
        <f t="shared" si="2"/>
        <v>0</v>
      </c>
      <c r="I53" s="551">
        <f t="shared" si="3"/>
        <v>0</v>
      </c>
    </row>
    <row r="54" spans="1:12">
      <c r="A54">
        <v>16</v>
      </c>
      <c r="B54" s="489" t="str">
        <f t="shared" ref="B54:E55" si="22">K$6</f>
        <v>D2hard</v>
      </c>
      <c r="C54" s="489" t="str">
        <f t="shared" si="22"/>
        <v>Sbend</v>
      </c>
      <c r="D54" s="489">
        <f t="shared" si="22"/>
        <v>9.2324800999999998E-2</v>
      </c>
      <c r="E54" s="489">
        <f t="shared" si="22"/>
        <v>23.366301</v>
      </c>
      <c r="F54" s="489">
        <f t="shared" si="0"/>
        <v>0</v>
      </c>
      <c r="G54" s="551">
        <f t="shared" si="1"/>
        <v>0</v>
      </c>
      <c r="H54" s="551">
        <f t="shared" si="2"/>
        <v>0</v>
      </c>
      <c r="I54" s="551">
        <f t="shared" si="3"/>
        <v>0</v>
      </c>
    </row>
    <row r="55" spans="1:12" ht="15.75">
      <c r="A55">
        <v>17</v>
      </c>
      <c r="B55" s="489" t="str">
        <f t="shared" si="22"/>
        <v>D2hard</v>
      </c>
      <c r="C55" s="489" t="str">
        <f t="shared" si="22"/>
        <v>Sbend</v>
      </c>
      <c r="D55" s="489">
        <f t="shared" si="22"/>
        <v>9.2324800999999998E-2</v>
      </c>
      <c r="E55" s="489">
        <f t="shared" si="22"/>
        <v>23.366301</v>
      </c>
      <c r="F55" s="489">
        <f t="shared" si="0"/>
        <v>0</v>
      </c>
      <c r="G55" s="551">
        <f t="shared" si="1"/>
        <v>0</v>
      </c>
      <c r="H55" s="551">
        <f t="shared" si="2"/>
        <v>0</v>
      </c>
      <c r="I55" s="551">
        <f t="shared" si="3"/>
        <v>0</v>
      </c>
      <c r="K55" s="490" t="s">
        <v>953</v>
      </c>
    </row>
    <row r="56" spans="1:12">
      <c r="A56">
        <v>17</v>
      </c>
      <c r="B56" s="489" t="str">
        <f>K$5</f>
        <v>D2soft</v>
      </c>
      <c r="C56" s="489" t="str">
        <f>L$5</f>
        <v>Sbend</v>
      </c>
      <c r="D56" s="489">
        <f>M$5</f>
        <v>5.8499998000000001E-3</v>
      </c>
      <c r="E56" s="489">
        <f>N$5</f>
        <v>50.035998999999997</v>
      </c>
      <c r="F56" s="489">
        <f t="shared" si="0"/>
        <v>0</v>
      </c>
      <c r="G56" s="551">
        <f t="shared" si="1"/>
        <v>0</v>
      </c>
      <c r="H56" s="551">
        <f t="shared" si="2"/>
        <v>0</v>
      </c>
      <c r="I56" s="551">
        <f t="shared" si="3"/>
        <v>0</v>
      </c>
      <c r="L56" t="s">
        <v>945</v>
      </c>
    </row>
    <row r="57" spans="1:12">
      <c r="A57">
        <v>17</v>
      </c>
      <c r="B57" s="489" t="str">
        <f>K$4</f>
        <v>D1soft</v>
      </c>
      <c r="C57" s="489" t="str">
        <f>L$4</f>
        <v>Sbend</v>
      </c>
      <c r="D57" s="489">
        <f>M$4</f>
        <v>5.8499998000000001E-3</v>
      </c>
      <c r="E57" s="489">
        <f>N$4</f>
        <v>50.035998999999997</v>
      </c>
      <c r="F57" s="489">
        <f t="shared" si="0"/>
        <v>0</v>
      </c>
      <c r="G57" s="551">
        <f t="shared" si="1"/>
        <v>0</v>
      </c>
      <c r="H57" s="551">
        <f t="shared" si="2"/>
        <v>0</v>
      </c>
      <c r="I57" s="551">
        <f t="shared" si="3"/>
        <v>0</v>
      </c>
      <c r="K57" t="s">
        <v>948</v>
      </c>
      <c r="L57">
        <v>1.2E-4</v>
      </c>
    </row>
    <row r="58" spans="1:12">
      <c r="A58">
        <v>17</v>
      </c>
      <c r="B58" s="489" t="str">
        <f t="shared" ref="B58:E59" si="23">K$3</f>
        <v>D1hard</v>
      </c>
      <c r="C58" s="489" t="str">
        <f t="shared" si="23"/>
        <v>Sbend</v>
      </c>
      <c r="D58" s="489">
        <f t="shared" si="23"/>
        <v>9.2324800999999998E-2</v>
      </c>
      <c r="E58" s="489">
        <f t="shared" si="23"/>
        <v>23.366301</v>
      </c>
      <c r="F58" s="489">
        <f t="shared" si="0"/>
        <v>0</v>
      </c>
      <c r="G58" s="551">
        <f t="shared" si="1"/>
        <v>0</v>
      </c>
      <c r="H58" s="551">
        <f t="shared" si="2"/>
        <v>0</v>
      </c>
      <c r="I58" s="551">
        <f t="shared" si="3"/>
        <v>0</v>
      </c>
      <c r="K58" t="s">
        <v>946</v>
      </c>
      <c r="L58">
        <v>-2.6499999999999999E-4</v>
      </c>
    </row>
    <row r="59" spans="1:12">
      <c r="A59">
        <v>18</v>
      </c>
      <c r="B59" s="489" t="str">
        <f t="shared" si="23"/>
        <v>D1hard</v>
      </c>
      <c r="C59" s="489" t="str">
        <f t="shared" si="23"/>
        <v>Sbend</v>
      </c>
      <c r="D59" s="489">
        <f t="shared" si="23"/>
        <v>9.2324800999999998E-2</v>
      </c>
      <c r="E59" s="489">
        <f t="shared" si="23"/>
        <v>23.366301</v>
      </c>
      <c r="F59" s="489">
        <f t="shared" si="0"/>
        <v>0</v>
      </c>
      <c r="G59" s="551">
        <f t="shared" si="1"/>
        <v>0</v>
      </c>
      <c r="H59" s="551">
        <f t="shared" si="2"/>
        <v>0</v>
      </c>
      <c r="I59" s="551">
        <f t="shared" si="3"/>
        <v>0</v>
      </c>
      <c r="K59" t="s">
        <v>942</v>
      </c>
      <c r="L59">
        <v>-1.15E-4</v>
      </c>
    </row>
    <row r="60" spans="1:12">
      <c r="A60">
        <v>18</v>
      </c>
      <c r="B60" s="489" t="str">
        <f>K$4</f>
        <v>D1soft</v>
      </c>
      <c r="C60" s="489" t="str">
        <f>L$4</f>
        <v>Sbend</v>
      </c>
      <c r="D60" s="489">
        <f>M$4</f>
        <v>5.8499998000000001E-3</v>
      </c>
      <c r="E60" s="489">
        <f>N$4</f>
        <v>50.035998999999997</v>
      </c>
      <c r="F60" s="489">
        <f t="shared" si="0"/>
        <v>0</v>
      </c>
      <c r="G60" s="551">
        <f t="shared" si="1"/>
        <v>0</v>
      </c>
      <c r="H60" s="551">
        <f t="shared" si="2"/>
        <v>0</v>
      </c>
      <c r="I60" s="551">
        <f t="shared" si="3"/>
        <v>0</v>
      </c>
      <c r="K60" t="s">
        <v>943</v>
      </c>
      <c r="L60">
        <v>0</v>
      </c>
    </row>
    <row r="61" spans="1:12">
      <c r="A61">
        <v>18</v>
      </c>
      <c r="B61" s="489" t="str">
        <f>K$5</f>
        <v>D2soft</v>
      </c>
      <c r="C61" s="489" t="str">
        <f>L$5</f>
        <v>Sbend</v>
      </c>
      <c r="D61" s="489">
        <f>M$5</f>
        <v>5.8499998000000001E-3</v>
      </c>
      <c r="E61" s="489">
        <f>N$5</f>
        <v>50.035998999999997</v>
      </c>
      <c r="F61" s="489">
        <f t="shared" si="0"/>
        <v>0</v>
      </c>
      <c r="G61" s="551">
        <f t="shared" si="1"/>
        <v>0</v>
      </c>
      <c r="H61" s="551">
        <f t="shared" si="2"/>
        <v>0</v>
      </c>
      <c r="I61" s="551">
        <f t="shared" si="3"/>
        <v>0</v>
      </c>
    </row>
    <row r="62" spans="1:12">
      <c r="A62">
        <v>18</v>
      </c>
      <c r="B62" s="489" t="str">
        <f t="shared" ref="B62:E63" si="24">K$6</f>
        <v>D2hard</v>
      </c>
      <c r="C62" s="489" t="str">
        <f t="shared" si="24"/>
        <v>Sbend</v>
      </c>
      <c r="D62" s="489">
        <f t="shared" si="24"/>
        <v>9.2324800999999998E-2</v>
      </c>
      <c r="E62" s="489">
        <f t="shared" si="24"/>
        <v>23.366301</v>
      </c>
      <c r="F62" s="489">
        <f t="shared" si="0"/>
        <v>0</v>
      </c>
      <c r="G62" s="551">
        <f t="shared" si="1"/>
        <v>0</v>
      </c>
      <c r="H62" s="551">
        <f t="shared" si="2"/>
        <v>0</v>
      </c>
      <c r="I62" s="551">
        <f t="shared" si="3"/>
        <v>0</v>
      </c>
    </row>
    <row r="63" spans="1:12">
      <c r="A63">
        <v>19</v>
      </c>
      <c r="B63" s="489" t="str">
        <f t="shared" si="24"/>
        <v>D2hard</v>
      </c>
      <c r="C63" s="489" t="str">
        <f t="shared" si="24"/>
        <v>Sbend</v>
      </c>
      <c r="D63" s="489">
        <f t="shared" si="24"/>
        <v>9.2324800999999998E-2</v>
      </c>
      <c r="E63" s="489">
        <f t="shared" si="24"/>
        <v>23.366301</v>
      </c>
      <c r="F63" s="489">
        <f t="shared" si="0"/>
        <v>0</v>
      </c>
      <c r="G63" s="551">
        <f t="shared" si="1"/>
        <v>0</v>
      </c>
      <c r="H63" s="551">
        <f t="shared" si="2"/>
        <v>0</v>
      </c>
      <c r="I63" s="551">
        <f t="shared" si="3"/>
        <v>0</v>
      </c>
    </row>
    <row r="64" spans="1:12">
      <c r="A64">
        <v>19</v>
      </c>
      <c r="B64" s="489" t="str">
        <f>K$5</f>
        <v>D2soft</v>
      </c>
      <c r="C64" s="489" t="str">
        <f>L$5</f>
        <v>Sbend</v>
      </c>
      <c r="D64" s="489">
        <f>M$5</f>
        <v>5.8499998000000001E-3</v>
      </c>
      <c r="E64" s="489">
        <f>N$5</f>
        <v>50.035998999999997</v>
      </c>
      <c r="F64" s="489">
        <f t="shared" si="0"/>
        <v>0</v>
      </c>
      <c r="G64" s="551">
        <f t="shared" si="1"/>
        <v>0</v>
      </c>
      <c r="H64" s="551">
        <f t="shared" si="2"/>
        <v>0</v>
      </c>
      <c r="I64" s="551">
        <f t="shared" si="3"/>
        <v>0</v>
      </c>
    </row>
    <row r="65" spans="1:9">
      <c r="A65">
        <v>19</v>
      </c>
      <c r="B65" s="489" t="str">
        <f>K$4</f>
        <v>D1soft</v>
      </c>
      <c r="C65" s="489" t="str">
        <f>L$4</f>
        <v>Sbend</v>
      </c>
      <c r="D65" s="489">
        <f>M$4</f>
        <v>5.8499998000000001E-3</v>
      </c>
      <c r="E65" s="489">
        <f>N$4</f>
        <v>50.035998999999997</v>
      </c>
      <c r="F65" s="489">
        <f t="shared" si="0"/>
        <v>0</v>
      </c>
      <c r="G65" s="551">
        <f t="shared" si="1"/>
        <v>0</v>
      </c>
      <c r="H65" s="551">
        <f t="shared" si="2"/>
        <v>0</v>
      </c>
      <c r="I65" s="551">
        <f t="shared" si="3"/>
        <v>0</v>
      </c>
    </row>
    <row r="66" spans="1:9">
      <c r="A66">
        <v>19</v>
      </c>
      <c r="B66" s="489" t="str">
        <f t="shared" ref="B66:E67" si="25">K$3</f>
        <v>D1hard</v>
      </c>
      <c r="C66" s="489" t="str">
        <f t="shared" si="25"/>
        <v>Sbend</v>
      </c>
      <c r="D66" s="489">
        <f t="shared" si="25"/>
        <v>9.2324800999999998E-2</v>
      </c>
      <c r="E66" s="489">
        <f t="shared" si="25"/>
        <v>23.366301</v>
      </c>
      <c r="F66" s="489">
        <f t="shared" si="0"/>
        <v>0</v>
      </c>
      <c r="G66" s="551">
        <f t="shared" si="1"/>
        <v>0</v>
      </c>
      <c r="H66" s="551">
        <f t="shared" si="2"/>
        <v>0</v>
      </c>
      <c r="I66" s="551">
        <f t="shared" si="3"/>
        <v>0</v>
      </c>
    </row>
    <row r="67" spans="1:9">
      <c r="A67">
        <v>20</v>
      </c>
      <c r="B67" s="489" t="str">
        <f t="shared" si="25"/>
        <v>D1hard</v>
      </c>
      <c r="C67" s="489" t="str">
        <f t="shared" si="25"/>
        <v>Sbend</v>
      </c>
      <c r="D67" s="489">
        <f t="shared" si="25"/>
        <v>9.2324800999999998E-2</v>
      </c>
      <c r="E67" s="489">
        <f t="shared" si="25"/>
        <v>23.366301</v>
      </c>
      <c r="F67" s="489">
        <f t="shared" si="0"/>
        <v>0</v>
      </c>
      <c r="G67" s="551">
        <f t="shared" si="1"/>
        <v>0</v>
      </c>
      <c r="H67" s="551">
        <f t="shared" si="2"/>
        <v>0</v>
      </c>
      <c r="I67" s="551">
        <f t="shared" si="3"/>
        <v>0</v>
      </c>
    </row>
    <row r="68" spans="1:9">
      <c r="A68">
        <v>20</v>
      </c>
      <c r="B68" s="489" t="str">
        <f>K$4</f>
        <v>D1soft</v>
      </c>
      <c r="C68" s="489" t="str">
        <f>L$4</f>
        <v>Sbend</v>
      </c>
      <c r="D68" s="489">
        <f>M$4</f>
        <v>5.8499998000000001E-3</v>
      </c>
      <c r="E68" s="489">
        <f>N$4</f>
        <v>50.035998999999997</v>
      </c>
      <c r="F68" s="489">
        <f t="shared" ref="F68:F130" si="26">-$M$12*E68</f>
        <v>0</v>
      </c>
      <c r="G68" s="551">
        <f t="shared" ref="G68:G130" si="27">$M$13*E68*E68</f>
        <v>0</v>
      </c>
      <c r="H68" s="551">
        <f t="shared" ref="H68:H130" si="28">$M$14/E68</f>
        <v>0</v>
      </c>
      <c r="I68" s="551">
        <f t="shared" ref="I68:I130" si="29">$M$15/E68</f>
        <v>0</v>
      </c>
    </row>
    <row r="69" spans="1:9">
      <c r="A69">
        <v>20</v>
      </c>
      <c r="B69" s="489" t="str">
        <f>K$5</f>
        <v>D2soft</v>
      </c>
      <c r="C69" s="489" t="str">
        <f>L$5</f>
        <v>Sbend</v>
      </c>
      <c r="D69" s="489">
        <f>M$5</f>
        <v>5.8499998000000001E-3</v>
      </c>
      <c r="E69" s="489">
        <f>N$5</f>
        <v>50.035998999999997</v>
      </c>
      <c r="F69" s="489">
        <f t="shared" si="26"/>
        <v>0</v>
      </c>
      <c r="G69" s="551">
        <f t="shared" si="27"/>
        <v>0</v>
      </c>
      <c r="H69" s="551">
        <f t="shared" si="28"/>
        <v>0</v>
      </c>
      <c r="I69" s="551">
        <f t="shared" si="29"/>
        <v>0</v>
      </c>
    </row>
    <row r="70" spans="1:9">
      <c r="A70">
        <v>20</v>
      </c>
      <c r="B70" s="489" t="str">
        <f t="shared" ref="B70:E71" si="30">K$6</f>
        <v>D2hard</v>
      </c>
      <c r="C70" s="489" t="str">
        <f t="shared" si="30"/>
        <v>Sbend</v>
      </c>
      <c r="D70" s="489">
        <f t="shared" si="30"/>
        <v>9.2324800999999998E-2</v>
      </c>
      <c r="E70" s="489">
        <f t="shared" si="30"/>
        <v>23.366301</v>
      </c>
      <c r="F70" s="489">
        <f t="shared" si="26"/>
        <v>0</v>
      </c>
      <c r="G70" s="551">
        <f t="shared" si="27"/>
        <v>0</v>
      </c>
      <c r="H70" s="551">
        <f t="shared" si="28"/>
        <v>0</v>
      </c>
      <c r="I70" s="551">
        <f t="shared" si="29"/>
        <v>0</v>
      </c>
    </row>
    <row r="71" spans="1:9">
      <c r="A71">
        <v>21</v>
      </c>
      <c r="B71" s="489" t="str">
        <f t="shared" si="30"/>
        <v>D2hard</v>
      </c>
      <c r="C71" s="489" t="str">
        <f t="shared" si="30"/>
        <v>Sbend</v>
      </c>
      <c r="D71" s="489">
        <f t="shared" si="30"/>
        <v>9.2324800999999998E-2</v>
      </c>
      <c r="E71" s="489">
        <f t="shared" si="30"/>
        <v>23.366301</v>
      </c>
      <c r="F71" s="489">
        <f t="shared" si="26"/>
        <v>0</v>
      </c>
      <c r="G71" s="551">
        <f t="shared" si="27"/>
        <v>0</v>
      </c>
      <c r="H71" s="551">
        <f t="shared" si="28"/>
        <v>0</v>
      </c>
      <c r="I71" s="551">
        <f t="shared" si="29"/>
        <v>0</v>
      </c>
    </row>
    <row r="72" spans="1:9">
      <c r="A72">
        <v>21</v>
      </c>
      <c r="B72" s="489" t="str">
        <f>K$5</f>
        <v>D2soft</v>
      </c>
      <c r="C72" s="489" t="str">
        <f>L$5</f>
        <v>Sbend</v>
      </c>
      <c r="D72" s="489">
        <f>M$5</f>
        <v>5.8499998000000001E-3</v>
      </c>
      <c r="E72" s="489">
        <f>N$5</f>
        <v>50.035998999999997</v>
      </c>
      <c r="F72" s="489">
        <f t="shared" si="26"/>
        <v>0</v>
      </c>
      <c r="G72" s="551">
        <f t="shared" si="27"/>
        <v>0</v>
      </c>
      <c r="H72" s="551">
        <f t="shared" si="28"/>
        <v>0</v>
      </c>
      <c r="I72" s="551">
        <f t="shared" si="29"/>
        <v>0</v>
      </c>
    </row>
    <row r="73" spans="1:9">
      <c r="A73">
        <v>21</v>
      </c>
      <c r="B73" s="489" t="str">
        <f>K$4</f>
        <v>D1soft</v>
      </c>
      <c r="C73" s="489" t="str">
        <f>L$4</f>
        <v>Sbend</v>
      </c>
      <c r="D73" s="489">
        <f>M$4</f>
        <v>5.8499998000000001E-3</v>
      </c>
      <c r="E73" s="489">
        <f>N$4</f>
        <v>50.035998999999997</v>
      </c>
      <c r="F73" s="489">
        <f t="shared" si="26"/>
        <v>0</v>
      </c>
      <c r="G73" s="551">
        <f t="shared" si="27"/>
        <v>0</v>
      </c>
      <c r="H73" s="551">
        <f t="shared" si="28"/>
        <v>0</v>
      </c>
      <c r="I73" s="551">
        <f t="shared" si="29"/>
        <v>0</v>
      </c>
    </row>
    <row r="74" spans="1:9">
      <c r="A74">
        <v>21</v>
      </c>
      <c r="B74" s="489" t="str">
        <f t="shared" ref="B74:E75" si="31">K$3</f>
        <v>D1hard</v>
      </c>
      <c r="C74" s="489" t="str">
        <f t="shared" si="31"/>
        <v>Sbend</v>
      </c>
      <c r="D74" s="489">
        <f t="shared" si="31"/>
        <v>9.2324800999999998E-2</v>
      </c>
      <c r="E74" s="489">
        <f t="shared" si="31"/>
        <v>23.366301</v>
      </c>
      <c r="F74" s="489">
        <f t="shared" si="26"/>
        <v>0</v>
      </c>
      <c r="G74" s="551">
        <f t="shared" si="27"/>
        <v>0</v>
      </c>
      <c r="H74" s="551">
        <f t="shared" si="28"/>
        <v>0</v>
      </c>
      <c r="I74" s="551">
        <f t="shared" si="29"/>
        <v>0</v>
      </c>
    </row>
    <row r="75" spans="1:9">
      <c r="A75">
        <v>22</v>
      </c>
      <c r="B75" s="489" t="str">
        <f t="shared" si="31"/>
        <v>D1hard</v>
      </c>
      <c r="C75" s="489" t="str">
        <f t="shared" si="31"/>
        <v>Sbend</v>
      </c>
      <c r="D75" s="489">
        <f t="shared" si="31"/>
        <v>9.2324800999999998E-2</v>
      </c>
      <c r="E75" s="489">
        <f t="shared" si="31"/>
        <v>23.366301</v>
      </c>
      <c r="F75" s="489">
        <f t="shared" si="26"/>
        <v>0</v>
      </c>
      <c r="G75" s="551">
        <f t="shared" si="27"/>
        <v>0</v>
      </c>
      <c r="H75" s="551">
        <f t="shared" si="28"/>
        <v>0</v>
      </c>
      <c r="I75" s="551">
        <f t="shared" si="29"/>
        <v>0</v>
      </c>
    </row>
    <row r="76" spans="1:9">
      <c r="A76">
        <v>22</v>
      </c>
      <c r="B76" s="489" t="str">
        <f>K$4</f>
        <v>D1soft</v>
      </c>
      <c r="C76" s="489" t="str">
        <f>L$4</f>
        <v>Sbend</v>
      </c>
      <c r="D76" s="489">
        <f>M$4</f>
        <v>5.8499998000000001E-3</v>
      </c>
      <c r="E76" s="489">
        <f>N$4</f>
        <v>50.035998999999997</v>
      </c>
      <c r="F76" s="489">
        <f t="shared" si="26"/>
        <v>0</v>
      </c>
      <c r="G76" s="551">
        <f t="shared" si="27"/>
        <v>0</v>
      </c>
      <c r="H76" s="551">
        <f t="shared" si="28"/>
        <v>0</v>
      </c>
      <c r="I76" s="551">
        <f t="shared" si="29"/>
        <v>0</v>
      </c>
    </row>
    <row r="77" spans="1:9">
      <c r="A77">
        <v>22</v>
      </c>
      <c r="B77" s="489" t="str">
        <f>K$5</f>
        <v>D2soft</v>
      </c>
      <c r="C77" s="489" t="str">
        <f>L$5</f>
        <v>Sbend</v>
      </c>
      <c r="D77" s="489">
        <f>M$5</f>
        <v>5.8499998000000001E-3</v>
      </c>
      <c r="E77" s="489">
        <f>N$5</f>
        <v>50.035998999999997</v>
      </c>
      <c r="F77" s="489">
        <f t="shared" si="26"/>
        <v>0</v>
      </c>
      <c r="G77" s="551">
        <f t="shared" si="27"/>
        <v>0</v>
      </c>
      <c r="H77" s="551">
        <f t="shared" si="28"/>
        <v>0</v>
      </c>
      <c r="I77" s="551">
        <f t="shared" si="29"/>
        <v>0</v>
      </c>
    </row>
    <row r="78" spans="1:9">
      <c r="A78">
        <v>22</v>
      </c>
      <c r="B78" s="489" t="str">
        <f t="shared" ref="B78:E79" si="32">K$6</f>
        <v>D2hard</v>
      </c>
      <c r="C78" s="489" t="str">
        <f t="shared" si="32"/>
        <v>Sbend</v>
      </c>
      <c r="D78" s="489">
        <f t="shared" si="32"/>
        <v>9.2324800999999998E-2</v>
      </c>
      <c r="E78" s="489">
        <f t="shared" si="32"/>
        <v>23.366301</v>
      </c>
      <c r="F78" s="489">
        <f t="shared" si="26"/>
        <v>0</v>
      </c>
      <c r="G78" s="551">
        <f t="shared" si="27"/>
        <v>0</v>
      </c>
      <c r="H78" s="551">
        <f t="shared" si="28"/>
        <v>0</v>
      </c>
      <c r="I78" s="551">
        <f t="shared" si="29"/>
        <v>0</v>
      </c>
    </row>
    <row r="79" spans="1:9">
      <c r="A79">
        <v>23</v>
      </c>
      <c r="B79" s="489" t="str">
        <f t="shared" si="32"/>
        <v>D2hard</v>
      </c>
      <c r="C79" s="489" t="str">
        <f t="shared" si="32"/>
        <v>Sbend</v>
      </c>
      <c r="D79" s="489">
        <f t="shared" si="32"/>
        <v>9.2324800999999998E-2</v>
      </c>
      <c r="E79" s="489">
        <f t="shared" si="32"/>
        <v>23.366301</v>
      </c>
      <c r="F79" s="489">
        <f t="shared" si="26"/>
        <v>0</v>
      </c>
      <c r="G79" s="551">
        <f t="shared" si="27"/>
        <v>0</v>
      </c>
      <c r="H79" s="551">
        <f t="shared" si="28"/>
        <v>0</v>
      </c>
      <c r="I79" s="551">
        <f t="shared" si="29"/>
        <v>0</v>
      </c>
    </row>
    <row r="80" spans="1:9">
      <c r="A80">
        <v>23</v>
      </c>
      <c r="B80" s="489" t="str">
        <f>K$5</f>
        <v>D2soft</v>
      </c>
      <c r="C80" s="489" t="str">
        <f>L$5</f>
        <v>Sbend</v>
      </c>
      <c r="D80" s="489">
        <f>M$5</f>
        <v>5.8499998000000001E-3</v>
      </c>
      <c r="E80" s="489">
        <f>N$5</f>
        <v>50.035998999999997</v>
      </c>
      <c r="F80" s="489">
        <f t="shared" si="26"/>
        <v>0</v>
      </c>
      <c r="G80" s="551">
        <f t="shared" si="27"/>
        <v>0</v>
      </c>
      <c r="H80" s="551">
        <f t="shared" si="28"/>
        <v>0</v>
      </c>
      <c r="I80" s="551">
        <f t="shared" si="29"/>
        <v>0</v>
      </c>
    </row>
    <row r="81" spans="1:9">
      <c r="A81">
        <v>23</v>
      </c>
      <c r="B81" s="489" t="str">
        <f>K$4</f>
        <v>D1soft</v>
      </c>
      <c r="C81" s="489" t="str">
        <f>L$4</f>
        <v>Sbend</v>
      </c>
      <c r="D81" s="489">
        <f>M$4</f>
        <v>5.8499998000000001E-3</v>
      </c>
      <c r="E81" s="489">
        <f>N$4</f>
        <v>50.035998999999997</v>
      </c>
      <c r="F81" s="489">
        <f t="shared" si="26"/>
        <v>0</v>
      </c>
      <c r="G81" s="551">
        <f t="shared" si="27"/>
        <v>0</v>
      </c>
      <c r="H81" s="551">
        <f t="shared" si="28"/>
        <v>0</v>
      </c>
      <c r="I81" s="551">
        <f t="shared" si="29"/>
        <v>0</v>
      </c>
    </row>
    <row r="82" spans="1:9">
      <c r="A82">
        <v>23</v>
      </c>
      <c r="B82" s="489" t="str">
        <f t="shared" ref="B82:E83" si="33">K$3</f>
        <v>D1hard</v>
      </c>
      <c r="C82" s="489" t="str">
        <f t="shared" si="33"/>
        <v>Sbend</v>
      </c>
      <c r="D82" s="489">
        <f t="shared" si="33"/>
        <v>9.2324800999999998E-2</v>
      </c>
      <c r="E82" s="489">
        <f t="shared" si="33"/>
        <v>23.366301</v>
      </c>
      <c r="F82" s="489">
        <f t="shared" si="26"/>
        <v>0</v>
      </c>
      <c r="G82" s="551">
        <f t="shared" si="27"/>
        <v>0</v>
      </c>
      <c r="H82" s="551">
        <f t="shared" si="28"/>
        <v>0</v>
      </c>
      <c r="I82" s="551">
        <f t="shared" si="29"/>
        <v>0</v>
      </c>
    </row>
    <row r="83" spans="1:9">
      <c r="A83">
        <v>24</v>
      </c>
      <c r="B83" s="489" t="str">
        <f t="shared" si="33"/>
        <v>D1hard</v>
      </c>
      <c r="C83" s="489" t="str">
        <f t="shared" si="33"/>
        <v>Sbend</v>
      </c>
      <c r="D83" s="489">
        <f t="shared" si="33"/>
        <v>9.2324800999999998E-2</v>
      </c>
      <c r="E83" s="489">
        <f t="shared" si="33"/>
        <v>23.366301</v>
      </c>
      <c r="F83" s="489">
        <f t="shared" si="26"/>
        <v>0</v>
      </c>
      <c r="G83" s="551">
        <f t="shared" si="27"/>
        <v>0</v>
      </c>
      <c r="H83" s="551">
        <f t="shared" si="28"/>
        <v>0</v>
      </c>
      <c r="I83" s="551">
        <f t="shared" si="29"/>
        <v>0</v>
      </c>
    </row>
    <row r="84" spans="1:9">
      <c r="A84">
        <v>24</v>
      </c>
      <c r="B84" s="489" t="str">
        <f>K$4</f>
        <v>D1soft</v>
      </c>
      <c r="C84" s="489" t="str">
        <f>L$4</f>
        <v>Sbend</v>
      </c>
      <c r="D84" s="489">
        <f>M$4</f>
        <v>5.8499998000000001E-3</v>
      </c>
      <c r="E84" s="489">
        <f>N$4</f>
        <v>50.035998999999997</v>
      </c>
      <c r="F84" s="489">
        <f t="shared" si="26"/>
        <v>0</v>
      </c>
      <c r="G84" s="551">
        <f t="shared" si="27"/>
        <v>0</v>
      </c>
      <c r="H84" s="551">
        <f t="shared" si="28"/>
        <v>0</v>
      </c>
      <c r="I84" s="551">
        <f t="shared" si="29"/>
        <v>0</v>
      </c>
    </row>
    <row r="85" spans="1:9">
      <c r="A85">
        <v>24</v>
      </c>
      <c r="B85" s="489" t="str">
        <f>K$5</f>
        <v>D2soft</v>
      </c>
      <c r="C85" s="489" t="str">
        <f>L$5</f>
        <v>Sbend</v>
      </c>
      <c r="D85" s="489">
        <f>M$5</f>
        <v>5.8499998000000001E-3</v>
      </c>
      <c r="E85" s="489">
        <f>N$5</f>
        <v>50.035998999999997</v>
      </c>
      <c r="F85" s="489">
        <f t="shared" si="26"/>
        <v>0</v>
      </c>
      <c r="G85" s="551">
        <f t="shared" si="27"/>
        <v>0</v>
      </c>
      <c r="H85" s="551">
        <f t="shared" si="28"/>
        <v>0</v>
      </c>
      <c r="I85" s="551">
        <f t="shared" si="29"/>
        <v>0</v>
      </c>
    </row>
    <row r="86" spans="1:9">
      <c r="A86">
        <v>24</v>
      </c>
      <c r="B86" s="489" t="str">
        <f t="shared" ref="B86:E87" si="34">K$6</f>
        <v>D2hard</v>
      </c>
      <c r="C86" s="489" t="str">
        <f t="shared" si="34"/>
        <v>Sbend</v>
      </c>
      <c r="D86" s="489">
        <f t="shared" si="34"/>
        <v>9.2324800999999998E-2</v>
      </c>
      <c r="E86" s="489">
        <f t="shared" si="34"/>
        <v>23.366301</v>
      </c>
      <c r="F86" s="489">
        <f t="shared" si="26"/>
        <v>0</v>
      </c>
      <c r="G86" s="551">
        <f t="shared" si="27"/>
        <v>0</v>
      </c>
      <c r="H86" s="551">
        <f t="shared" si="28"/>
        <v>0</v>
      </c>
      <c r="I86" s="551">
        <f t="shared" si="29"/>
        <v>0</v>
      </c>
    </row>
    <row r="87" spans="1:9">
      <c r="A87">
        <v>25</v>
      </c>
      <c r="B87" s="489" t="str">
        <f t="shared" si="34"/>
        <v>D2hard</v>
      </c>
      <c r="C87" s="489" t="str">
        <f t="shared" si="34"/>
        <v>Sbend</v>
      </c>
      <c r="D87" s="489">
        <f t="shared" si="34"/>
        <v>9.2324800999999998E-2</v>
      </c>
      <c r="E87" s="489">
        <f t="shared" si="34"/>
        <v>23.366301</v>
      </c>
      <c r="F87" s="489">
        <f t="shared" si="26"/>
        <v>0</v>
      </c>
      <c r="G87" s="551">
        <f t="shared" si="27"/>
        <v>0</v>
      </c>
      <c r="H87" s="551">
        <f t="shared" si="28"/>
        <v>0</v>
      </c>
      <c r="I87" s="551">
        <f t="shared" si="29"/>
        <v>0</v>
      </c>
    </row>
    <row r="88" spans="1:9">
      <c r="A88">
        <v>25</v>
      </c>
      <c r="B88" s="489" t="str">
        <f>K$5</f>
        <v>D2soft</v>
      </c>
      <c r="C88" s="489" t="str">
        <f>L$5</f>
        <v>Sbend</v>
      </c>
      <c r="D88" s="489">
        <f>M$5</f>
        <v>5.8499998000000001E-3</v>
      </c>
      <c r="E88" s="489">
        <f>N$5</f>
        <v>50.035998999999997</v>
      </c>
      <c r="F88" s="489">
        <f t="shared" si="26"/>
        <v>0</v>
      </c>
      <c r="G88" s="551">
        <f t="shared" si="27"/>
        <v>0</v>
      </c>
      <c r="H88" s="551">
        <f t="shared" si="28"/>
        <v>0</v>
      </c>
      <c r="I88" s="551">
        <f t="shared" si="29"/>
        <v>0</v>
      </c>
    </row>
    <row r="89" spans="1:9">
      <c r="A89">
        <v>25</v>
      </c>
      <c r="B89" s="489" t="str">
        <f>K$4</f>
        <v>D1soft</v>
      </c>
      <c r="C89" s="489" t="str">
        <f>L$4</f>
        <v>Sbend</v>
      </c>
      <c r="D89" s="489">
        <f>M$4</f>
        <v>5.8499998000000001E-3</v>
      </c>
      <c r="E89" s="489">
        <f>N$4</f>
        <v>50.035998999999997</v>
      </c>
      <c r="F89" s="489">
        <f t="shared" si="26"/>
        <v>0</v>
      </c>
      <c r="G89" s="551">
        <f t="shared" si="27"/>
        <v>0</v>
      </c>
      <c r="H89" s="551">
        <f t="shared" si="28"/>
        <v>0</v>
      </c>
      <c r="I89" s="551">
        <f t="shared" si="29"/>
        <v>0</v>
      </c>
    </row>
    <row r="90" spans="1:9">
      <c r="A90">
        <v>25</v>
      </c>
      <c r="B90" s="489" t="str">
        <f t="shared" ref="B90:E91" si="35">K$3</f>
        <v>D1hard</v>
      </c>
      <c r="C90" s="489" t="str">
        <f t="shared" si="35"/>
        <v>Sbend</v>
      </c>
      <c r="D90" s="489">
        <f t="shared" si="35"/>
        <v>9.2324800999999998E-2</v>
      </c>
      <c r="E90" s="489">
        <f t="shared" si="35"/>
        <v>23.366301</v>
      </c>
      <c r="F90" s="489">
        <f t="shared" si="26"/>
        <v>0</v>
      </c>
      <c r="G90" s="551">
        <f t="shared" si="27"/>
        <v>0</v>
      </c>
      <c r="H90" s="551">
        <f t="shared" si="28"/>
        <v>0</v>
      </c>
      <c r="I90" s="551">
        <f t="shared" si="29"/>
        <v>0</v>
      </c>
    </row>
    <row r="91" spans="1:9">
      <c r="A91">
        <v>26</v>
      </c>
      <c r="B91" s="489" t="str">
        <f t="shared" si="35"/>
        <v>D1hard</v>
      </c>
      <c r="C91" s="489" t="str">
        <f t="shared" si="35"/>
        <v>Sbend</v>
      </c>
      <c r="D91" s="489">
        <f t="shared" si="35"/>
        <v>9.2324800999999998E-2</v>
      </c>
      <c r="E91" s="489">
        <f t="shared" si="35"/>
        <v>23.366301</v>
      </c>
      <c r="F91" s="489">
        <f t="shared" si="26"/>
        <v>0</v>
      </c>
      <c r="G91" s="551">
        <f t="shared" si="27"/>
        <v>0</v>
      </c>
      <c r="H91" s="551">
        <f t="shared" si="28"/>
        <v>0</v>
      </c>
      <c r="I91" s="551">
        <f t="shared" si="29"/>
        <v>0</v>
      </c>
    </row>
    <row r="92" spans="1:9">
      <c r="A92">
        <v>26</v>
      </c>
      <c r="B92" s="489" t="str">
        <f>K$4</f>
        <v>D1soft</v>
      </c>
      <c r="C92" s="489" t="str">
        <f>L$4</f>
        <v>Sbend</v>
      </c>
      <c r="D92" s="489">
        <f>M$4</f>
        <v>5.8499998000000001E-3</v>
      </c>
      <c r="E92" s="489">
        <f>N$4</f>
        <v>50.035998999999997</v>
      </c>
      <c r="F92" s="489">
        <f t="shared" si="26"/>
        <v>0</v>
      </c>
      <c r="G92" s="551">
        <f t="shared" si="27"/>
        <v>0</v>
      </c>
      <c r="H92" s="551">
        <f t="shared" si="28"/>
        <v>0</v>
      </c>
      <c r="I92" s="551">
        <f t="shared" si="29"/>
        <v>0</v>
      </c>
    </row>
    <row r="93" spans="1:9">
      <c r="A93">
        <v>26</v>
      </c>
      <c r="B93" s="489" t="str">
        <f>K$5</f>
        <v>D2soft</v>
      </c>
      <c r="C93" s="489" t="str">
        <f>L$5</f>
        <v>Sbend</v>
      </c>
      <c r="D93" s="489">
        <f>M$5</f>
        <v>5.8499998000000001E-3</v>
      </c>
      <c r="E93" s="489">
        <f>N$5</f>
        <v>50.035998999999997</v>
      </c>
      <c r="F93" s="489">
        <f t="shared" si="26"/>
        <v>0</v>
      </c>
      <c r="G93" s="551">
        <f t="shared" si="27"/>
        <v>0</v>
      </c>
      <c r="H93" s="551">
        <f t="shared" si="28"/>
        <v>0</v>
      </c>
      <c r="I93" s="551">
        <f t="shared" si="29"/>
        <v>0</v>
      </c>
    </row>
    <row r="94" spans="1:9">
      <c r="A94">
        <v>26</v>
      </c>
      <c r="B94" s="489" t="str">
        <f t="shared" ref="B94:E95" si="36">K$6</f>
        <v>D2hard</v>
      </c>
      <c r="C94" s="489" t="str">
        <f t="shared" si="36"/>
        <v>Sbend</v>
      </c>
      <c r="D94" s="489">
        <f t="shared" si="36"/>
        <v>9.2324800999999998E-2</v>
      </c>
      <c r="E94" s="489">
        <f t="shared" si="36"/>
        <v>23.366301</v>
      </c>
      <c r="F94" s="489">
        <f t="shared" si="26"/>
        <v>0</v>
      </c>
      <c r="G94" s="551">
        <f t="shared" si="27"/>
        <v>0</v>
      </c>
      <c r="H94" s="551">
        <f t="shared" si="28"/>
        <v>0</v>
      </c>
      <c r="I94" s="551">
        <f t="shared" si="29"/>
        <v>0</v>
      </c>
    </row>
    <row r="95" spans="1:9">
      <c r="A95">
        <v>27</v>
      </c>
      <c r="B95" s="489" t="str">
        <f t="shared" si="36"/>
        <v>D2hard</v>
      </c>
      <c r="C95" s="489" t="str">
        <f t="shared" si="36"/>
        <v>Sbend</v>
      </c>
      <c r="D95" s="489">
        <f t="shared" si="36"/>
        <v>9.2324800999999998E-2</v>
      </c>
      <c r="E95" s="489">
        <f t="shared" si="36"/>
        <v>23.366301</v>
      </c>
      <c r="F95" s="489">
        <f t="shared" si="26"/>
        <v>0</v>
      </c>
      <c r="G95" s="551">
        <f t="shared" si="27"/>
        <v>0</v>
      </c>
      <c r="H95" s="551">
        <f t="shared" si="28"/>
        <v>0</v>
      </c>
      <c r="I95" s="551">
        <f t="shared" si="29"/>
        <v>0</v>
      </c>
    </row>
    <row r="96" spans="1:9">
      <c r="A96">
        <v>27</v>
      </c>
      <c r="B96" s="489" t="str">
        <f>K$5</f>
        <v>D2soft</v>
      </c>
      <c r="C96" s="489" t="str">
        <f>L$5</f>
        <v>Sbend</v>
      </c>
      <c r="D96" s="489">
        <f>M$5</f>
        <v>5.8499998000000001E-3</v>
      </c>
      <c r="E96" s="489">
        <f>N$5</f>
        <v>50.035998999999997</v>
      </c>
      <c r="F96" s="489">
        <f t="shared" si="26"/>
        <v>0</v>
      </c>
      <c r="G96" s="551">
        <f t="shared" si="27"/>
        <v>0</v>
      </c>
      <c r="H96" s="551">
        <f t="shared" si="28"/>
        <v>0</v>
      </c>
      <c r="I96" s="551">
        <f t="shared" si="29"/>
        <v>0</v>
      </c>
    </row>
    <row r="97" spans="1:9">
      <c r="A97">
        <v>27</v>
      </c>
      <c r="B97" s="489" t="str">
        <f>K$4</f>
        <v>D1soft</v>
      </c>
      <c r="C97" s="489" t="str">
        <f>L$4</f>
        <v>Sbend</v>
      </c>
      <c r="D97" s="489">
        <f>M$4</f>
        <v>5.8499998000000001E-3</v>
      </c>
      <c r="E97" s="489">
        <f>N$4</f>
        <v>50.035998999999997</v>
      </c>
      <c r="F97" s="489">
        <f t="shared" si="26"/>
        <v>0</v>
      </c>
      <c r="G97" s="551">
        <f t="shared" si="27"/>
        <v>0</v>
      </c>
      <c r="H97" s="551">
        <f t="shared" si="28"/>
        <v>0</v>
      </c>
      <c r="I97" s="551">
        <f t="shared" si="29"/>
        <v>0</v>
      </c>
    </row>
    <row r="98" spans="1:9">
      <c r="A98">
        <v>27</v>
      </c>
      <c r="B98" s="489" t="str">
        <f t="shared" ref="B98:E99" si="37">K$3</f>
        <v>D1hard</v>
      </c>
      <c r="C98" s="489" t="str">
        <f t="shared" si="37"/>
        <v>Sbend</v>
      </c>
      <c r="D98" s="489">
        <f t="shared" si="37"/>
        <v>9.2324800999999998E-2</v>
      </c>
      <c r="E98" s="489">
        <f t="shared" si="37"/>
        <v>23.366301</v>
      </c>
      <c r="F98" s="489">
        <f t="shared" si="26"/>
        <v>0</v>
      </c>
      <c r="G98" s="551">
        <f t="shared" si="27"/>
        <v>0</v>
      </c>
      <c r="H98" s="551">
        <f t="shared" si="28"/>
        <v>0</v>
      </c>
      <c r="I98" s="551">
        <f t="shared" si="29"/>
        <v>0</v>
      </c>
    </row>
    <row r="99" spans="1:9">
      <c r="A99">
        <v>28</v>
      </c>
      <c r="B99" s="489" t="str">
        <f t="shared" si="37"/>
        <v>D1hard</v>
      </c>
      <c r="C99" s="489" t="str">
        <f t="shared" si="37"/>
        <v>Sbend</v>
      </c>
      <c r="D99" s="489">
        <f t="shared" si="37"/>
        <v>9.2324800999999998E-2</v>
      </c>
      <c r="E99" s="489">
        <f t="shared" si="37"/>
        <v>23.366301</v>
      </c>
      <c r="F99" s="489">
        <f t="shared" si="26"/>
        <v>0</v>
      </c>
      <c r="G99" s="551">
        <f t="shared" si="27"/>
        <v>0</v>
      </c>
      <c r="H99" s="551">
        <f t="shared" si="28"/>
        <v>0</v>
      </c>
      <c r="I99" s="551">
        <f t="shared" si="29"/>
        <v>0</v>
      </c>
    </row>
    <row r="100" spans="1:9">
      <c r="A100">
        <v>28</v>
      </c>
      <c r="B100" s="489" t="str">
        <f>K$4</f>
        <v>D1soft</v>
      </c>
      <c r="C100" s="489" t="str">
        <f>L$4</f>
        <v>Sbend</v>
      </c>
      <c r="D100" s="489">
        <f>M$4</f>
        <v>5.8499998000000001E-3</v>
      </c>
      <c r="E100" s="489">
        <f>N$4</f>
        <v>50.035998999999997</v>
      </c>
      <c r="F100" s="489">
        <f t="shared" si="26"/>
        <v>0</v>
      </c>
      <c r="G100" s="551">
        <f t="shared" si="27"/>
        <v>0</v>
      </c>
      <c r="H100" s="551">
        <f t="shared" si="28"/>
        <v>0</v>
      </c>
      <c r="I100" s="551">
        <f t="shared" si="29"/>
        <v>0</v>
      </c>
    </row>
    <row r="101" spans="1:9">
      <c r="A101">
        <v>28</v>
      </c>
      <c r="B101" s="489" t="str">
        <f>K$5</f>
        <v>D2soft</v>
      </c>
      <c r="C101" s="489" t="str">
        <f>L$5</f>
        <v>Sbend</v>
      </c>
      <c r="D101" s="489">
        <f>M$5</f>
        <v>5.8499998000000001E-3</v>
      </c>
      <c r="E101" s="489">
        <f>N$5</f>
        <v>50.035998999999997</v>
      </c>
      <c r="F101" s="489">
        <f t="shared" si="26"/>
        <v>0</v>
      </c>
      <c r="G101" s="551">
        <f t="shared" si="27"/>
        <v>0</v>
      </c>
      <c r="H101" s="551">
        <f t="shared" si="28"/>
        <v>0</v>
      </c>
      <c r="I101" s="551">
        <f t="shared" si="29"/>
        <v>0</v>
      </c>
    </row>
    <row r="102" spans="1:9">
      <c r="A102">
        <v>28</v>
      </c>
      <c r="B102" s="489" t="str">
        <f t="shared" ref="B102:E103" si="38">K$6</f>
        <v>D2hard</v>
      </c>
      <c r="C102" s="489" t="str">
        <f t="shared" si="38"/>
        <v>Sbend</v>
      </c>
      <c r="D102" s="489">
        <f t="shared" si="38"/>
        <v>9.2324800999999998E-2</v>
      </c>
      <c r="E102" s="489">
        <f t="shared" si="38"/>
        <v>23.366301</v>
      </c>
      <c r="F102" s="489">
        <f t="shared" si="26"/>
        <v>0</v>
      </c>
      <c r="G102" s="551">
        <f t="shared" si="27"/>
        <v>0</v>
      </c>
      <c r="H102" s="551">
        <f t="shared" si="28"/>
        <v>0</v>
      </c>
      <c r="I102" s="551">
        <f t="shared" si="29"/>
        <v>0</v>
      </c>
    </row>
    <row r="103" spans="1:9">
      <c r="A103">
        <v>29</v>
      </c>
      <c r="B103" s="489" t="str">
        <f t="shared" si="38"/>
        <v>D2hard</v>
      </c>
      <c r="C103" s="489" t="str">
        <f t="shared" si="38"/>
        <v>Sbend</v>
      </c>
      <c r="D103" s="489">
        <f t="shared" si="38"/>
        <v>9.2324800999999998E-2</v>
      </c>
      <c r="E103" s="489">
        <f t="shared" si="38"/>
        <v>23.366301</v>
      </c>
      <c r="F103" s="489">
        <f t="shared" si="26"/>
        <v>0</v>
      </c>
      <c r="G103" s="551">
        <f t="shared" si="27"/>
        <v>0</v>
      </c>
      <c r="H103" s="551">
        <f t="shared" si="28"/>
        <v>0</v>
      </c>
      <c r="I103" s="551">
        <f t="shared" si="29"/>
        <v>0</v>
      </c>
    </row>
    <row r="104" spans="1:9">
      <c r="A104">
        <v>29</v>
      </c>
      <c r="B104" s="489" t="str">
        <f>K$5</f>
        <v>D2soft</v>
      </c>
      <c r="C104" s="489" t="str">
        <f>L$5</f>
        <v>Sbend</v>
      </c>
      <c r="D104" s="489">
        <f>M$5</f>
        <v>5.8499998000000001E-3</v>
      </c>
      <c r="E104" s="489">
        <f>N$5</f>
        <v>50.035998999999997</v>
      </c>
      <c r="F104" s="489">
        <f t="shared" si="26"/>
        <v>0</v>
      </c>
      <c r="G104" s="551">
        <f t="shared" si="27"/>
        <v>0</v>
      </c>
      <c r="H104" s="551">
        <f t="shared" si="28"/>
        <v>0</v>
      </c>
      <c r="I104" s="551">
        <f t="shared" si="29"/>
        <v>0</v>
      </c>
    </row>
    <row r="105" spans="1:9">
      <c r="A105">
        <v>29</v>
      </c>
      <c r="B105" s="489" t="str">
        <f>K$4</f>
        <v>D1soft</v>
      </c>
      <c r="C105" s="489" t="str">
        <f>L$4</f>
        <v>Sbend</v>
      </c>
      <c r="D105" s="489">
        <f>M$4</f>
        <v>5.8499998000000001E-3</v>
      </c>
      <c r="E105" s="489">
        <f>N$4</f>
        <v>50.035998999999997</v>
      </c>
      <c r="F105" s="489">
        <f t="shared" si="26"/>
        <v>0</v>
      </c>
      <c r="G105" s="551">
        <f t="shared" si="27"/>
        <v>0</v>
      </c>
      <c r="H105" s="551">
        <f t="shared" si="28"/>
        <v>0</v>
      </c>
      <c r="I105" s="551">
        <f t="shared" si="29"/>
        <v>0</v>
      </c>
    </row>
    <row r="106" spans="1:9">
      <c r="A106">
        <v>29</v>
      </c>
      <c r="B106" s="489" t="str">
        <f t="shared" ref="B106:E107" si="39">K$3</f>
        <v>D1hard</v>
      </c>
      <c r="C106" s="489" t="str">
        <f t="shared" si="39"/>
        <v>Sbend</v>
      </c>
      <c r="D106" s="489">
        <f t="shared" si="39"/>
        <v>9.2324800999999998E-2</v>
      </c>
      <c r="E106" s="489">
        <f t="shared" si="39"/>
        <v>23.366301</v>
      </c>
      <c r="F106" s="489">
        <f t="shared" si="26"/>
        <v>0</v>
      </c>
      <c r="G106" s="551">
        <f t="shared" si="27"/>
        <v>0</v>
      </c>
      <c r="H106" s="551">
        <f t="shared" si="28"/>
        <v>0</v>
      </c>
      <c r="I106" s="551">
        <f t="shared" si="29"/>
        <v>0</v>
      </c>
    </row>
    <row r="107" spans="1:9">
      <c r="A107">
        <v>30</v>
      </c>
      <c r="B107" s="489" t="str">
        <f t="shared" si="39"/>
        <v>D1hard</v>
      </c>
      <c r="C107" s="489" t="str">
        <f t="shared" si="39"/>
        <v>Sbend</v>
      </c>
      <c r="D107" s="489">
        <f t="shared" si="39"/>
        <v>9.2324800999999998E-2</v>
      </c>
      <c r="E107" s="489">
        <f t="shared" si="39"/>
        <v>23.366301</v>
      </c>
      <c r="F107" s="489">
        <f t="shared" si="26"/>
        <v>0</v>
      </c>
      <c r="G107" s="551">
        <f t="shared" si="27"/>
        <v>0</v>
      </c>
      <c r="H107" s="551">
        <f t="shared" si="28"/>
        <v>0</v>
      </c>
      <c r="I107" s="551">
        <f t="shared" si="29"/>
        <v>0</v>
      </c>
    </row>
    <row r="108" spans="1:9">
      <c r="A108">
        <v>30</v>
      </c>
      <c r="B108" s="489" t="str">
        <f>K$4</f>
        <v>D1soft</v>
      </c>
      <c r="C108" s="489" t="str">
        <f>L$4</f>
        <v>Sbend</v>
      </c>
      <c r="D108" s="489">
        <f>M$4</f>
        <v>5.8499998000000001E-3</v>
      </c>
      <c r="E108" s="489">
        <f>N$4</f>
        <v>50.035998999999997</v>
      </c>
      <c r="F108" s="489">
        <f t="shared" si="26"/>
        <v>0</v>
      </c>
      <c r="G108" s="551">
        <f t="shared" si="27"/>
        <v>0</v>
      </c>
      <c r="H108" s="551">
        <f t="shared" si="28"/>
        <v>0</v>
      </c>
      <c r="I108" s="551">
        <f t="shared" si="29"/>
        <v>0</v>
      </c>
    </row>
    <row r="109" spans="1:9">
      <c r="A109">
        <v>30</v>
      </c>
      <c r="B109" s="489" t="str">
        <f>K$5</f>
        <v>D2soft</v>
      </c>
      <c r="C109" s="489" t="str">
        <f>L$5</f>
        <v>Sbend</v>
      </c>
      <c r="D109" s="489">
        <f>M$5</f>
        <v>5.8499998000000001E-3</v>
      </c>
      <c r="E109" s="489">
        <f>N$5</f>
        <v>50.035998999999997</v>
      </c>
      <c r="F109" s="489">
        <f t="shared" si="26"/>
        <v>0</v>
      </c>
      <c r="G109" s="551">
        <f t="shared" si="27"/>
        <v>0</v>
      </c>
      <c r="H109" s="551">
        <f t="shared" si="28"/>
        <v>0</v>
      </c>
      <c r="I109" s="551">
        <f t="shared" si="29"/>
        <v>0</v>
      </c>
    </row>
    <row r="110" spans="1:9">
      <c r="A110">
        <v>30</v>
      </c>
      <c r="B110" s="489" t="str">
        <f t="shared" ref="B110:E111" si="40">K$6</f>
        <v>D2hard</v>
      </c>
      <c r="C110" s="489" t="str">
        <f t="shared" si="40"/>
        <v>Sbend</v>
      </c>
      <c r="D110" s="489">
        <f t="shared" si="40"/>
        <v>9.2324800999999998E-2</v>
      </c>
      <c r="E110" s="489">
        <f t="shared" si="40"/>
        <v>23.366301</v>
      </c>
      <c r="F110" s="489">
        <f t="shared" si="26"/>
        <v>0</v>
      </c>
      <c r="G110" s="551">
        <f t="shared" si="27"/>
        <v>0</v>
      </c>
      <c r="H110" s="551">
        <f t="shared" si="28"/>
        <v>0</v>
      </c>
      <c r="I110" s="551">
        <f t="shared" si="29"/>
        <v>0</v>
      </c>
    </row>
    <row r="111" spans="1:9">
      <c r="A111">
        <v>31</v>
      </c>
      <c r="B111" s="489" t="str">
        <f t="shared" si="40"/>
        <v>D2hard</v>
      </c>
      <c r="C111" s="489" t="str">
        <f t="shared" si="40"/>
        <v>Sbend</v>
      </c>
      <c r="D111" s="489">
        <f t="shared" si="40"/>
        <v>9.2324800999999998E-2</v>
      </c>
      <c r="E111" s="489">
        <f t="shared" si="40"/>
        <v>23.366301</v>
      </c>
      <c r="F111" s="489">
        <f t="shared" si="26"/>
        <v>0</v>
      </c>
      <c r="G111" s="551">
        <f t="shared" si="27"/>
        <v>0</v>
      </c>
      <c r="H111" s="551">
        <f t="shared" si="28"/>
        <v>0</v>
      </c>
      <c r="I111" s="551">
        <f t="shared" si="29"/>
        <v>0</v>
      </c>
    </row>
    <row r="112" spans="1:9">
      <c r="A112">
        <v>31</v>
      </c>
      <c r="B112" s="489" t="str">
        <f>K$5</f>
        <v>D2soft</v>
      </c>
      <c r="C112" s="489" t="str">
        <f>L$5</f>
        <v>Sbend</v>
      </c>
      <c r="D112" s="489">
        <f>M$5</f>
        <v>5.8499998000000001E-3</v>
      </c>
      <c r="E112" s="489">
        <f>N$5</f>
        <v>50.035998999999997</v>
      </c>
      <c r="F112" s="489">
        <f t="shared" si="26"/>
        <v>0</v>
      </c>
      <c r="G112" s="551">
        <f t="shared" si="27"/>
        <v>0</v>
      </c>
      <c r="H112" s="551">
        <f t="shared" si="28"/>
        <v>0</v>
      </c>
      <c r="I112" s="551">
        <f t="shared" si="29"/>
        <v>0</v>
      </c>
    </row>
    <row r="113" spans="1:9">
      <c r="A113">
        <v>31</v>
      </c>
      <c r="B113" s="489" t="str">
        <f>K$4</f>
        <v>D1soft</v>
      </c>
      <c r="C113" s="489" t="str">
        <f>L$4</f>
        <v>Sbend</v>
      </c>
      <c r="D113" s="489">
        <f>M$4</f>
        <v>5.8499998000000001E-3</v>
      </c>
      <c r="E113" s="489">
        <f>N$4</f>
        <v>50.035998999999997</v>
      </c>
      <c r="F113" s="489">
        <f t="shared" si="26"/>
        <v>0</v>
      </c>
      <c r="G113" s="551">
        <f t="shared" si="27"/>
        <v>0</v>
      </c>
      <c r="H113" s="551">
        <f t="shared" si="28"/>
        <v>0</v>
      </c>
      <c r="I113" s="551">
        <f t="shared" si="29"/>
        <v>0</v>
      </c>
    </row>
    <row r="114" spans="1:9">
      <c r="A114">
        <v>31</v>
      </c>
      <c r="B114" s="489" t="str">
        <f t="shared" ref="B114:E115" si="41">K$3</f>
        <v>D1hard</v>
      </c>
      <c r="C114" s="489" t="str">
        <f t="shared" si="41"/>
        <v>Sbend</v>
      </c>
      <c r="D114" s="489">
        <f t="shared" si="41"/>
        <v>9.2324800999999998E-2</v>
      </c>
      <c r="E114" s="489">
        <f t="shared" si="41"/>
        <v>23.366301</v>
      </c>
      <c r="F114" s="489">
        <f t="shared" si="26"/>
        <v>0</v>
      </c>
      <c r="G114" s="551">
        <f t="shared" si="27"/>
        <v>0</v>
      </c>
      <c r="H114" s="551">
        <f t="shared" si="28"/>
        <v>0</v>
      </c>
      <c r="I114" s="551">
        <f t="shared" si="29"/>
        <v>0</v>
      </c>
    </row>
    <row r="115" spans="1:9">
      <c r="A115">
        <v>32</v>
      </c>
      <c r="B115" s="489" t="str">
        <f t="shared" si="41"/>
        <v>D1hard</v>
      </c>
      <c r="C115" s="489" t="str">
        <f t="shared" si="41"/>
        <v>Sbend</v>
      </c>
      <c r="D115" s="489">
        <f t="shared" si="41"/>
        <v>9.2324800999999998E-2</v>
      </c>
      <c r="E115" s="489">
        <f t="shared" si="41"/>
        <v>23.366301</v>
      </c>
      <c r="F115" s="489">
        <f t="shared" si="26"/>
        <v>0</v>
      </c>
      <c r="G115" s="551">
        <f t="shared" si="27"/>
        <v>0</v>
      </c>
      <c r="H115" s="551">
        <f t="shared" si="28"/>
        <v>0</v>
      </c>
      <c r="I115" s="551">
        <f t="shared" si="29"/>
        <v>0</v>
      </c>
    </row>
    <row r="116" spans="1:9">
      <c r="A116">
        <v>32</v>
      </c>
      <c r="B116" s="489" t="str">
        <f>K$4</f>
        <v>D1soft</v>
      </c>
      <c r="C116" s="489" t="str">
        <f>L$4</f>
        <v>Sbend</v>
      </c>
      <c r="D116" s="489">
        <f>M$4</f>
        <v>5.8499998000000001E-3</v>
      </c>
      <c r="E116" s="489">
        <f>N$4</f>
        <v>50.035998999999997</v>
      </c>
      <c r="F116" s="489">
        <f t="shared" si="26"/>
        <v>0</v>
      </c>
      <c r="G116" s="551">
        <f t="shared" si="27"/>
        <v>0</v>
      </c>
      <c r="H116" s="551">
        <f t="shared" si="28"/>
        <v>0</v>
      </c>
      <c r="I116" s="551">
        <f t="shared" si="29"/>
        <v>0</v>
      </c>
    </row>
    <row r="117" spans="1:9">
      <c r="A117">
        <v>32</v>
      </c>
      <c r="B117" s="489" t="str">
        <f>K$5</f>
        <v>D2soft</v>
      </c>
      <c r="C117" s="489" t="str">
        <f>L$5</f>
        <v>Sbend</v>
      </c>
      <c r="D117" s="489">
        <f>M$5</f>
        <v>5.8499998000000001E-3</v>
      </c>
      <c r="E117" s="489">
        <f>N$5</f>
        <v>50.035998999999997</v>
      </c>
      <c r="F117" s="489">
        <f t="shared" si="26"/>
        <v>0</v>
      </c>
      <c r="G117" s="551">
        <f t="shared" si="27"/>
        <v>0</v>
      </c>
      <c r="H117" s="551">
        <f t="shared" si="28"/>
        <v>0</v>
      </c>
      <c r="I117" s="551">
        <f t="shared" si="29"/>
        <v>0</v>
      </c>
    </row>
    <row r="118" spans="1:9">
      <c r="A118">
        <v>32</v>
      </c>
      <c r="B118" s="489" t="str">
        <f t="shared" ref="B118:E119" si="42">K$6</f>
        <v>D2hard</v>
      </c>
      <c r="C118" s="489" t="str">
        <f t="shared" si="42"/>
        <v>Sbend</v>
      </c>
      <c r="D118" s="489">
        <f t="shared" si="42"/>
        <v>9.2324800999999998E-2</v>
      </c>
      <c r="E118" s="489">
        <f t="shared" si="42"/>
        <v>23.366301</v>
      </c>
      <c r="F118" s="489">
        <f t="shared" si="26"/>
        <v>0</v>
      </c>
      <c r="G118" s="551">
        <f t="shared" si="27"/>
        <v>0</v>
      </c>
      <c r="H118" s="551">
        <f t="shared" si="28"/>
        <v>0</v>
      </c>
      <c r="I118" s="551">
        <f t="shared" si="29"/>
        <v>0</v>
      </c>
    </row>
    <row r="119" spans="1:9">
      <c r="A119">
        <v>1</v>
      </c>
      <c r="B119" s="489" t="str">
        <f t="shared" si="42"/>
        <v>D2hard</v>
      </c>
      <c r="C119" s="489" t="str">
        <f t="shared" si="42"/>
        <v>Sbend</v>
      </c>
      <c r="D119" s="489">
        <f t="shared" si="42"/>
        <v>9.2324800999999998E-2</v>
      </c>
      <c r="E119" s="489">
        <f t="shared" si="42"/>
        <v>23.366301</v>
      </c>
      <c r="F119" s="489">
        <f t="shared" si="26"/>
        <v>0</v>
      </c>
      <c r="G119" s="551">
        <f t="shared" si="27"/>
        <v>0</v>
      </c>
      <c r="H119" s="551">
        <f t="shared" si="28"/>
        <v>0</v>
      </c>
      <c r="I119" s="551">
        <f t="shared" si="29"/>
        <v>0</v>
      </c>
    </row>
    <row r="120" spans="1:9">
      <c r="A120">
        <v>1</v>
      </c>
      <c r="B120" s="489" t="str">
        <f>K$5</f>
        <v>D2soft</v>
      </c>
      <c r="C120" s="489" t="str">
        <f>L$5</f>
        <v>Sbend</v>
      </c>
      <c r="D120" s="489">
        <f>M$5</f>
        <v>5.8499998000000001E-3</v>
      </c>
      <c r="E120" s="489">
        <f>N$5</f>
        <v>50.035998999999997</v>
      </c>
      <c r="F120" s="489">
        <f t="shared" si="26"/>
        <v>0</v>
      </c>
      <c r="G120" s="551">
        <f t="shared" si="27"/>
        <v>0</v>
      </c>
      <c r="H120" s="551">
        <f t="shared" si="28"/>
        <v>0</v>
      </c>
      <c r="I120" s="551">
        <f t="shared" si="29"/>
        <v>0</v>
      </c>
    </row>
    <row r="121" spans="1:9">
      <c r="A121">
        <v>1</v>
      </c>
      <c r="B121" s="489" t="str">
        <f>K$4</f>
        <v>D1soft</v>
      </c>
      <c r="C121" s="489" t="str">
        <f>L$4</f>
        <v>Sbend</v>
      </c>
      <c r="D121" s="489">
        <f>M$4</f>
        <v>5.8499998000000001E-3</v>
      </c>
      <c r="E121" s="489">
        <f>N$4</f>
        <v>50.035998999999997</v>
      </c>
      <c r="F121" s="489">
        <f t="shared" si="26"/>
        <v>0</v>
      </c>
      <c r="G121" s="551">
        <f t="shared" si="27"/>
        <v>0</v>
      </c>
      <c r="H121" s="551">
        <f t="shared" si="28"/>
        <v>0</v>
      </c>
      <c r="I121" s="551">
        <f t="shared" si="29"/>
        <v>0</v>
      </c>
    </row>
    <row r="122" spans="1:9">
      <c r="A122">
        <v>1</v>
      </c>
      <c r="B122" s="489" t="str">
        <f t="shared" ref="B122:E123" si="43">K$3</f>
        <v>D1hard</v>
      </c>
      <c r="C122" s="489" t="str">
        <f t="shared" si="43"/>
        <v>Sbend</v>
      </c>
      <c r="D122" s="489">
        <f t="shared" si="43"/>
        <v>9.2324800999999998E-2</v>
      </c>
      <c r="E122" s="489">
        <f t="shared" si="43"/>
        <v>23.366301</v>
      </c>
      <c r="F122" s="489">
        <f t="shared" si="26"/>
        <v>0</v>
      </c>
      <c r="G122" s="551">
        <f t="shared" si="27"/>
        <v>0</v>
      </c>
      <c r="H122" s="551">
        <f t="shared" si="28"/>
        <v>0</v>
      </c>
      <c r="I122" s="551">
        <f t="shared" si="29"/>
        <v>0</v>
      </c>
    </row>
    <row r="123" spans="1:9">
      <c r="A123">
        <v>2</v>
      </c>
      <c r="B123" s="489" t="str">
        <f t="shared" si="43"/>
        <v>D1hard</v>
      </c>
      <c r="C123" s="489" t="str">
        <f t="shared" si="43"/>
        <v>Sbend</v>
      </c>
      <c r="D123" s="489">
        <f t="shared" si="43"/>
        <v>9.2324800999999998E-2</v>
      </c>
      <c r="E123" s="489">
        <f t="shared" si="43"/>
        <v>23.366301</v>
      </c>
      <c r="F123" s="489">
        <f t="shared" si="26"/>
        <v>0</v>
      </c>
      <c r="G123" s="551">
        <f t="shared" si="27"/>
        <v>0</v>
      </c>
      <c r="H123" s="551">
        <f t="shared" si="28"/>
        <v>0</v>
      </c>
      <c r="I123" s="551">
        <f t="shared" si="29"/>
        <v>0</v>
      </c>
    </row>
    <row r="124" spans="1:9">
      <c r="A124">
        <v>2</v>
      </c>
      <c r="B124" s="489" t="str">
        <f>K$4</f>
        <v>D1soft</v>
      </c>
      <c r="C124" s="489" t="str">
        <f>L$4</f>
        <v>Sbend</v>
      </c>
      <c r="D124" s="489">
        <f>M$4</f>
        <v>5.8499998000000001E-3</v>
      </c>
      <c r="E124" s="489">
        <f>N$4</f>
        <v>50.035998999999997</v>
      </c>
      <c r="F124" s="489">
        <f t="shared" si="26"/>
        <v>0</v>
      </c>
      <c r="G124" s="551">
        <f t="shared" si="27"/>
        <v>0</v>
      </c>
      <c r="H124" s="551">
        <f t="shared" si="28"/>
        <v>0</v>
      </c>
      <c r="I124" s="551">
        <f t="shared" si="29"/>
        <v>0</v>
      </c>
    </row>
    <row r="125" spans="1:9">
      <c r="A125">
        <v>2</v>
      </c>
      <c r="B125" s="489" t="str">
        <f>K$5</f>
        <v>D2soft</v>
      </c>
      <c r="C125" s="489" t="str">
        <f>L$5</f>
        <v>Sbend</v>
      </c>
      <c r="D125" s="489">
        <f>M$5</f>
        <v>5.8499998000000001E-3</v>
      </c>
      <c r="E125" s="489">
        <f>N$5</f>
        <v>50.035998999999997</v>
      </c>
      <c r="F125" s="489">
        <f t="shared" si="26"/>
        <v>0</v>
      </c>
      <c r="G125" s="551">
        <f t="shared" si="27"/>
        <v>0</v>
      </c>
      <c r="H125" s="551">
        <f t="shared" si="28"/>
        <v>0</v>
      </c>
      <c r="I125" s="551">
        <f t="shared" si="29"/>
        <v>0</v>
      </c>
    </row>
    <row r="126" spans="1:9">
      <c r="A126">
        <v>2</v>
      </c>
      <c r="B126" s="489" t="str">
        <f t="shared" ref="B126:E127" si="44">K$6</f>
        <v>D2hard</v>
      </c>
      <c r="C126" s="489" t="str">
        <f t="shared" si="44"/>
        <v>Sbend</v>
      </c>
      <c r="D126" s="489">
        <f t="shared" si="44"/>
        <v>9.2324800999999998E-2</v>
      </c>
      <c r="E126" s="489">
        <f t="shared" si="44"/>
        <v>23.366301</v>
      </c>
      <c r="F126" s="489">
        <f t="shared" si="26"/>
        <v>0</v>
      </c>
      <c r="G126" s="551">
        <f t="shared" si="27"/>
        <v>0</v>
      </c>
      <c r="H126" s="551">
        <f t="shared" si="28"/>
        <v>0</v>
      </c>
      <c r="I126" s="551">
        <f t="shared" si="29"/>
        <v>0</v>
      </c>
    </row>
    <row r="127" spans="1:9">
      <c r="A127">
        <v>3</v>
      </c>
      <c r="B127" s="489" t="str">
        <f t="shared" si="44"/>
        <v>D2hard</v>
      </c>
      <c r="C127" s="489" t="str">
        <f t="shared" si="44"/>
        <v>Sbend</v>
      </c>
      <c r="D127" s="489">
        <f t="shared" si="44"/>
        <v>9.2324800999999998E-2</v>
      </c>
      <c r="E127" s="489">
        <f t="shared" si="44"/>
        <v>23.366301</v>
      </c>
      <c r="F127" s="489">
        <f t="shared" si="26"/>
        <v>0</v>
      </c>
      <c r="G127" s="551">
        <f t="shared" si="27"/>
        <v>0</v>
      </c>
      <c r="H127" s="551">
        <f t="shared" si="28"/>
        <v>0</v>
      </c>
      <c r="I127" s="551">
        <f t="shared" si="29"/>
        <v>0</v>
      </c>
    </row>
    <row r="128" spans="1:9">
      <c r="A128">
        <v>3</v>
      </c>
      <c r="B128" s="489" t="str">
        <f>K$5</f>
        <v>D2soft</v>
      </c>
      <c r="C128" s="489" t="str">
        <f>L$5</f>
        <v>Sbend</v>
      </c>
      <c r="D128" s="489">
        <f>M$5</f>
        <v>5.8499998000000001E-3</v>
      </c>
      <c r="E128" s="489">
        <f>N$5</f>
        <v>50.035998999999997</v>
      </c>
      <c r="F128" s="489">
        <f t="shared" si="26"/>
        <v>0</v>
      </c>
      <c r="G128" s="551">
        <f t="shared" si="27"/>
        <v>0</v>
      </c>
      <c r="H128" s="551">
        <f t="shared" si="28"/>
        <v>0</v>
      </c>
      <c r="I128" s="551">
        <f t="shared" si="29"/>
        <v>0</v>
      </c>
    </row>
    <row r="129" spans="1:9">
      <c r="A129">
        <v>3</v>
      </c>
      <c r="B129" s="489" t="str">
        <f>K$4</f>
        <v>D1soft</v>
      </c>
      <c r="C129" s="489" t="str">
        <f>L$4</f>
        <v>Sbend</v>
      </c>
      <c r="D129" s="489">
        <f>M$4</f>
        <v>5.8499998000000001E-3</v>
      </c>
      <c r="E129" s="489">
        <f>N$4</f>
        <v>50.035998999999997</v>
      </c>
      <c r="F129" s="489">
        <f t="shared" si="26"/>
        <v>0</v>
      </c>
      <c r="G129" s="551">
        <f t="shared" si="27"/>
        <v>0</v>
      </c>
      <c r="H129" s="551">
        <f t="shared" si="28"/>
        <v>0</v>
      </c>
      <c r="I129" s="551">
        <f t="shared" si="29"/>
        <v>0</v>
      </c>
    </row>
    <row r="130" spans="1:9">
      <c r="A130">
        <v>3</v>
      </c>
      <c r="B130" s="489" t="str">
        <f>K$3</f>
        <v>D1hard</v>
      </c>
      <c r="C130" s="489" t="str">
        <f>L$3</f>
        <v>Sbend</v>
      </c>
      <c r="D130" s="489">
        <f>M$3</f>
        <v>9.2324800999999998E-2</v>
      </c>
      <c r="E130" s="489">
        <f>N$3</f>
        <v>23.366301</v>
      </c>
      <c r="F130" s="489">
        <f t="shared" si="26"/>
        <v>0</v>
      </c>
      <c r="G130" s="551">
        <f t="shared" si="27"/>
        <v>0</v>
      </c>
      <c r="H130" s="551">
        <f t="shared" si="28"/>
        <v>0</v>
      </c>
      <c r="I130" s="551">
        <f t="shared" si="29"/>
        <v>0</v>
      </c>
    </row>
  </sheetData>
  <phoneticPr fontId="42" type="noConversion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10"/>
    <outlinePr summaryBelow="0" summaryRight="0"/>
    <pageSetUpPr autoPageBreaks="0"/>
  </sheetPr>
  <dimension ref="A1:HU389"/>
  <sheetViews>
    <sheetView workbookViewId="0">
      <pane ySplit="2" topLeftCell="A3" activePane="bottomLeft" state="frozen"/>
      <selection pane="bottomLeft" activeCell="F29" sqref="F29"/>
    </sheetView>
  </sheetViews>
  <sheetFormatPr defaultColWidth="8.42578125" defaultRowHeight="15.75" customHeight="1" outlineLevelRow="3" outlineLevelCol="2"/>
  <cols>
    <col min="1" max="1" width="6.140625" style="31" customWidth="1"/>
    <col min="2" max="2" width="5.140625" style="31" customWidth="1"/>
    <col min="3" max="3" width="12.85546875" style="24" customWidth="1"/>
    <col min="4" max="4" width="11.7109375" style="31" customWidth="1"/>
    <col min="5" max="5" width="10.42578125" style="83" customWidth="1"/>
    <col min="6" max="8" width="9.42578125" style="31" customWidth="1"/>
    <col min="9" max="13" width="9.42578125" style="31" customWidth="1" outlineLevel="1"/>
    <col min="14" max="14" width="7" style="88" customWidth="1" collapsed="1"/>
    <col min="15" max="15" width="8" style="88" hidden="1" customWidth="1" outlineLevel="1"/>
    <col min="16" max="17" width="8" style="463" hidden="1" customWidth="1" outlineLevel="1"/>
    <col min="18" max="18" width="8.42578125" style="31" customWidth="1" collapsed="1"/>
    <col min="19" max="19" width="7.7109375" style="31" hidden="1" customWidth="1" outlineLevel="1"/>
    <col min="20" max="20" width="10.42578125" style="31" hidden="1" customWidth="1" outlineLevel="1"/>
    <col min="21" max="21" width="9.42578125" style="31" hidden="1" customWidth="1" outlineLevel="1"/>
    <col min="22" max="22" width="8.28515625" style="31" customWidth="1" collapsed="1"/>
    <col min="23" max="23" width="9.7109375" style="31" hidden="1" customWidth="1" outlineLevel="1"/>
    <col min="24" max="25" width="8.42578125" style="31" hidden="1" customWidth="1" outlineLevel="1"/>
    <col min="26" max="26" width="8.42578125" style="31" customWidth="1" collapsed="1"/>
    <col min="27" max="27" width="8.7109375" style="31" hidden="1" customWidth="1" outlineLevel="1"/>
    <col min="28" max="29" width="8.42578125" style="31" hidden="1" customWidth="1" outlineLevel="1"/>
    <col min="30" max="30" width="8.42578125" style="31" customWidth="1" collapsed="1"/>
    <col min="31" max="31" width="8.42578125" style="31" hidden="1" customWidth="1" outlineLevel="1"/>
    <col min="32" max="32" width="10.28515625" style="31" hidden="1" customWidth="1" outlineLevel="1"/>
    <col min="33" max="34" width="8.42578125" style="31" hidden="1" customWidth="1" outlineLevel="2"/>
    <col min="35" max="35" width="8.42578125" style="31" customWidth="1"/>
    <col min="36" max="38" width="8.42578125" style="31" customWidth="1" outlineLevel="1"/>
    <col min="39" max="39" width="8.85546875" style="31" customWidth="1"/>
    <col min="40" max="42" width="8.42578125" style="31" customWidth="1" outlineLevel="1"/>
    <col min="43" max="43" width="8.28515625" style="31" customWidth="1" collapsed="1"/>
    <col min="44" max="44" width="10.42578125" style="31" hidden="1" customWidth="1" outlineLevel="1"/>
    <col min="45" max="45" width="8.42578125" style="31" hidden="1" customWidth="1" outlineLevel="1"/>
    <col min="46" max="46" width="9.85546875" style="31" hidden="1" customWidth="1" outlineLevel="1"/>
    <col min="47" max="47" width="8.42578125" style="31" hidden="1" customWidth="1" outlineLevel="1"/>
    <col min="48" max="48" width="9.7109375" style="31" hidden="1" customWidth="1" outlineLevel="1"/>
    <col min="49" max="62" width="8.42578125" style="31" hidden="1" customWidth="1" outlineLevel="1"/>
    <col min="63" max="63" width="8.42578125" style="31" customWidth="1" collapsed="1"/>
    <col min="64" max="67" width="8.42578125" style="31" hidden="1" customWidth="1" outlineLevel="1"/>
    <col min="68" max="68" width="9.7109375" style="31" hidden="1" customWidth="1" outlineLevel="1"/>
    <col min="69" max="81" width="8.42578125" style="31" hidden="1" customWidth="1" outlineLevel="1"/>
    <col min="82" max="82" width="9.140625" style="31" hidden="1" customWidth="1" outlineLevel="1"/>
    <col min="83" max="83" width="8.42578125" style="31" hidden="1" customWidth="1" outlineLevel="1"/>
    <col min="84" max="85" width="8.42578125" style="31" customWidth="1"/>
    <col min="86" max="86" width="8.42578125" style="31" customWidth="1" outlineLevel="1"/>
    <col min="87" max="87" width="15.7109375" style="152" customWidth="1" outlineLevel="1"/>
    <col min="88" max="114" width="8.42578125" style="31" customWidth="1" outlineLevel="1"/>
    <col min="115" max="115" width="11.42578125" style="31" customWidth="1" outlineLevel="1"/>
    <col min="116" max="117" width="8.42578125" style="31" customWidth="1" outlineLevel="1"/>
    <col min="118" max="118" width="8.42578125" style="409" customWidth="1"/>
    <col min="119" max="119" width="8.140625" style="409" customWidth="1" outlineLevel="2"/>
    <col min="120" max="120" width="8.140625" style="396" customWidth="1" outlineLevel="2" collapsed="1"/>
    <col min="121" max="123" width="8.140625" style="396" customWidth="1" outlineLevel="2"/>
    <col min="124" max="124" width="8.140625" style="396" customWidth="1" outlineLevel="2" collapsed="1"/>
    <col min="125" max="126" width="8.140625" style="396" customWidth="1" outlineLevel="2"/>
    <col min="127" max="127" width="8.140625" style="396" customWidth="1" outlineLevel="2" collapsed="1"/>
    <col min="128" max="128" width="8.140625" style="396" customWidth="1" outlineLevel="2"/>
    <col min="129" max="131" width="8.42578125" style="396" customWidth="1" outlineLevel="2"/>
    <col min="132" max="132" width="10.28515625" style="31" customWidth="1" outlineLevel="2"/>
    <col min="133" max="134" width="10" style="31" customWidth="1" outlineLevel="2"/>
    <col min="135" max="135" width="11.42578125" style="336" customWidth="1" outlineLevel="2"/>
    <col min="136" max="136" width="8" style="336" customWidth="1" outlineLevel="2"/>
    <col min="137" max="137" width="8.85546875" style="336" customWidth="1" outlineLevel="2"/>
    <col min="138" max="138" width="11.42578125" style="24" customWidth="1" outlineLevel="2"/>
    <col min="139" max="139" width="10.28515625" style="24" customWidth="1" outlineLevel="2"/>
    <col min="140" max="150" width="11" style="24" customWidth="1" outlineLevel="2"/>
    <col min="151" max="151" width="8.42578125" style="24" customWidth="1" outlineLevel="2"/>
    <col min="152" max="152" width="11.7109375" style="31" customWidth="1" collapsed="1"/>
    <col min="153" max="153" width="10.28515625" style="24" customWidth="1"/>
    <col min="154" max="157" width="8.42578125" style="24" customWidth="1"/>
    <col min="158" max="158" width="10.140625" style="24" customWidth="1"/>
    <col min="159" max="16384" width="8.42578125" style="31"/>
  </cols>
  <sheetData>
    <row r="1" spans="2:229" s="2" customFormat="1" ht="14.25" customHeight="1">
      <c r="B1" s="1" t="s">
        <v>1177</v>
      </c>
      <c r="D1" s="3"/>
      <c r="N1" s="6"/>
      <c r="O1" s="6"/>
      <c r="P1" s="456"/>
      <c r="Q1" s="456"/>
      <c r="CH1" s="4"/>
      <c r="DL1" s="5"/>
      <c r="DM1" s="5"/>
      <c r="DN1" s="420"/>
      <c r="DO1" s="420"/>
      <c r="DP1" s="421"/>
      <c r="DQ1" s="421"/>
      <c r="DR1" s="421"/>
      <c r="DS1" s="421"/>
      <c r="DT1" s="421"/>
      <c r="DU1" s="421"/>
      <c r="DV1" s="421"/>
      <c r="DW1" s="421"/>
      <c r="DX1" s="421"/>
      <c r="DY1" s="421"/>
      <c r="DZ1" s="421"/>
      <c r="EA1" s="421"/>
      <c r="EB1" s="6"/>
      <c r="EC1" s="6"/>
      <c r="ED1" s="6"/>
      <c r="EE1" s="337"/>
      <c r="EF1" s="337"/>
      <c r="EG1" s="337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338"/>
      <c r="FA1" s="338"/>
      <c r="FB1" s="338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</row>
    <row r="2" spans="2:229" s="34" customFormat="1" ht="15.75" customHeight="1" outlineLevel="1">
      <c r="C2" s="448"/>
      <c r="I2" s="34" t="str">
        <f>"10/12"</f>
        <v>10/12</v>
      </c>
      <c r="J2" s="34" t="str">
        <f>"14/20"</f>
        <v>14/20</v>
      </c>
      <c r="K2" s="34" t="s">
        <v>1009</v>
      </c>
      <c r="L2" s="34" t="s">
        <v>1010</v>
      </c>
      <c r="M2" s="449" t="s">
        <v>1011</v>
      </c>
      <c r="N2" s="451" t="s">
        <v>868</v>
      </c>
      <c r="O2" s="450" t="s">
        <v>869</v>
      </c>
      <c r="P2" s="450" t="s">
        <v>155</v>
      </c>
      <c r="Q2" s="450" t="s">
        <v>955</v>
      </c>
      <c r="R2" s="451" t="s">
        <v>726</v>
      </c>
      <c r="S2" s="450" t="s">
        <v>727</v>
      </c>
      <c r="T2" s="450" t="s">
        <v>728</v>
      </c>
      <c r="U2" s="452" t="s">
        <v>1064</v>
      </c>
      <c r="V2" s="451" t="s">
        <v>171</v>
      </c>
      <c r="W2" s="453" t="s">
        <v>324</v>
      </c>
      <c r="X2" s="450" t="s">
        <v>325</v>
      </c>
      <c r="Y2" s="452" t="s">
        <v>570</v>
      </c>
      <c r="Z2" s="451" t="s">
        <v>761</v>
      </c>
      <c r="AA2" s="453" t="s">
        <v>762</v>
      </c>
      <c r="AB2" s="450" t="s">
        <v>756</v>
      </c>
      <c r="AC2" s="452" t="s">
        <v>174</v>
      </c>
      <c r="AD2" s="451" t="s">
        <v>175</v>
      </c>
      <c r="AE2" s="450" t="s">
        <v>176</v>
      </c>
      <c r="AF2" s="450" t="s">
        <v>177</v>
      </c>
      <c r="AG2" s="450"/>
      <c r="AH2" s="452"/>
      <c r="AI2" s="451" t="s">
        <v>816</v>
      </c>
      <c r="AJ2" s="450" t="s">
        <v>333</v>
      </c>
      <c r="AK2" s="450"/>
      <c r="AL2" s="452"/>
      <c r="AM2" s="451" t="s">
        <v>749</v>
      </c>
      <c r="AN2" s="450" t="s">
        <v>936</v>
      </c>
      <c r="AO2" s="450"/>
      <c r="AP2" s="450"/>
      <c r="AQ2" s="451" t="s">
        <v>708</v>
      </c>
      <c r="AR2" s="450" t="s">
        <v>328</v>
      </c>
      <c r="AS2" s="450" t="s">
        <v>479</v>
      </c>
      <c r="AT2" s="450" t="s">
        <v>1184</v>
      </c>
      <c r="AU2" s="450" t="s">
        <v>83</v>
      </c>
      <c r="AV2" s="450" t="s">
        <v>84</v>
      </c>
      <c r="AW2" s="450" t="s">
        <v>577</v>
      </c>
      <c r="AX2" s="450" t="s">
        <v>470</v>
      </c>
      <c r="AY2" s="451" t="s">
        <v>538</v>
      </c>
      <c r="AZ2" s="451" t="s">
        <v>1105</v>
      </c>
      <c r="BA2" s="451" t="s">
        <v>619</v>
      </c>
      <c r="BB2" s="452" t="s">
        <v>374</v>
      </c>
      <c r="BC2" s="450" t="s">
        <v>1163</v>
      </c>
      <c r="BD2" s="450"/>
      <c r="BE2" s="450" t="s">
        <v>586</v>
      </c>
      <c r="BF2" s="451" t="s">
        <v>537</v>
      </c>
      <c r="BG2" s="452" t="s">
        <v>375</v>
      </c>
      <c r="BH2" s="450" t="s">
        <v>1164</v>
      </c>
      <c r="BI2" s="450"/>
      <c r="BJ2" s="450" t="s">
        <v>1165</v>
      </c>
      <c r="BK2" s="451" t="s">
        <v>137</v>
      </c>
      <c r="BL2" s="451" t="s">
        <v>113</v>
      </c>
      <c r="BM2" s="451" t="s">
        <v>639</v>
      </c>
      <c r="BN2" s="451" t="s">
        <v>373</v>
      </c>
      <c r="BO2" s="451" t="s">
        <v>596</v>
      </c>
      <c r="BP2" s="451" t="s">
        <v>561</v>
      </c>
      <c r="BQ2" s="451" t="s">
        <v>649</v>
      </c>
      <c r="BR2" s="451" t="s">
        <v>866</v>
      </c>
      <c r="BS2" s="451" t="s">
        <v>138</v>
      </c>
      <c r="BT2" s="451" t="s">
        <v>920</v>
      </c>
      <c r="BU2" s="451" t="s">
        <v>841</v>
      </c>
      <c r="BV2" s="451" t="s">
        <v>372</v>
      </c>
      <c r="BW2" s="451" t="s">
        <v>387</v>
      </c>
      <c r="BX2" s="451" t="s">
        <v>388</v>
      </c>
      <c r="BY2" s="451" t="s">
        <v>51</v>
      </c>
      <c r="BZ2" s="451" t="s">
        <v>590</v>
      </c>
      <c r="CA2" s="451" t="s">
        <v>74</v>
      </c>
      <c r="CB2" s="451" t="s">
        <v>76</v>
      </c>
      <c r="CC2" s="451" t="s">
        <v>78</v>
      </c>
      <c r="CD2" s="451" t="s">
        <v>192</v>
      </c>
      <c r="CE2" s="451" t="s">
        <v>136</v>
      </c>
      <c r="CF2" s="451" t="s">
        <v>241</v>
      </c>
      <c r="CG2" s="450" t="s">
        <v>45</v>
      </c>
      <c r="CH2" s="450" t="s">
        <v>480</v>
      </c>
      <c r="CI2" s="450" t="s">
        <v>818</v>
      </c>
      <c r="CJ2" s="450" t="s">
        <v>471</v>
      </c>
      <c r="CK2" s="450" t="s">
        <v>907</v>
      </c>
      <c r="CL2" s="450" t="s">
        <v>833</v>
      </c>
      <c r="CM2" s="450" t="s">
        <v>299</v>
      </c>
      <c r="CN2" s="450" t="s">
        <v>465</v>
      </c>
      <c r="CO2" s="450" t="s">
        <v>1182</v>
      </c>
      <c r="CP2" s="450" t="s">
        <v>492</v>
      </c>
      <c r="CQ2" s="450" t="s">
        <v>26</v>
      </c>
      <c r="CR2" s="450" t="s">
        <v>268</v>
      </c>
      <c r="CS2" s="450" t="s">
        <v>269</v>
      </c>
      <c r="CT2" s="450" t="s">
        <v>1117</v>
      </c>
      <c r="CU2" s="450" t="s">
        <v>1153</v>
      </c>
      <c r="CV2" s="450"/>
      <c r="CW2" s="450" t="s">
        <v>48</v>
      </c>
      <c r="CX2" s="450" t="s">
        <v>690</v>
      </c>
      <c r="CY2" s="450" t="s">
        <v>691</v>
      </c>
      <c r="CZ2" s="450" t="s">
        <v>692</v>
      </c>
      <c r="DA2" s="450"/>
      <c r="DB2" s="450" t="s">
        <v>905</v>
      </c>
      <c r="DC2" s="450" t="s">
        <v>501</v>
      </c>
      <c r="DD2" s="450" t="s">
        <v>407</v>
      </c>
      <c r="DE2" s="452" t="s">
        <v>179</v>
      </c>
      <c r="DF2" s="450" t="s">
        <v>640</v>
      </c>
      <c r="DG2" s="450" t="s">
        <v>252</v>
      </c>
      <c r="DH2" s="450" t="s">
        <v>253</v>
      </c>
      <c r="DI2" s="450" t="s">
        <v>772</v>
      </c>
      <c r="DJ2" s="450" t="s">
        <v>820</v>
      </c>
      <c r="DK2" s="450" t="s">
        <v>316</v>
      </c>
      <c r="DL2" s="450" t="s">
        <v>926</v>
      </c>
      <c r="DM2" s="450" t="s">
        <v>314</v>
      </c>
      <c r="DN2" s="422" t="str">
        <f>"11001"</f>
        <v>11001</v>
      </c>
      <c r="DO2" s="423" t="str">
        <f>"00111"</f>
        <v>00111</v>
      </c>
      <c r="DP2" s="422" t="str">
        <f>"20001"</f>
        <v>20001</v>
      </c>
      <c r="DQ2" s="454" t="str">
        <f>"00201"</f>
        <v>00201</v>
      </c>
      <c r="DR2" s="454" t="str">
        <f>"10002"</f>
        <v>10002</v>
      </c>
      <c r="DS2" s="454" t="str">
        <f>"21000"</f>
        <v>21000</v>
      </c>
      <c r="DT2" s="454" t="str">
        <f>"30000"</f>
        <v>30000</v>
      </c>
      <c r="DU2" s="454" t="str">
        <f>"10110"</f>
        <v>10110</v>
      </c>
      <c r="DV2" s="454" t="str">
        <f>"10020"</f>
        <v>10020</v>
      </c>
      <c r="DW2" s="423" t="str">
        <f>"10200"</f>
        <v>10200</v>
      </c>
      <c r="DX2" s="423" t="s">
        <v>1131</v>
      </c>
      <c r="DY2" s="423" t="s">
        <v>917</v>
      </c>
      <c r="DZ2" s="423" t="s">
        <v>918</v>
      </c>
      <c r="EA2" s="423" t="s">
        <v>696</v>
      </c>
      <c r="EB2" s="452" t="s">
        <v>956</v>
      </c>
      <c r="EC2" s="452" t="s">
        <v>1008</v>
      </c>
      <c r="ED2" s="452" t="s">
        <v>555</v>
      </c>
      <c r="EE2" s="452" t="s">
        <v>129</v>
      </c>
      <c r="EF2" s="452" t="s">
        <v>130</v>
      </c>
      <c r="EG2" s="452" t="s">
        <v>201</v>
      </c>
      <c r="EH2" s="452" t="s">
        <v>185</v>
      </c>
      <c r="EI2" s="452" t="s">
        <v>184</v>
      </c>
      <c r="EJ2" s="452"/>
      <c r="EK2" s="452"/>
      <c r="EL2" s="452"/>
      <c r="EM2" s="452"/>
      <c r="EN2" s="452"/>
      <c r="EO2" s="452"/>
      <c r="EP2" s="452"/>
      <c r="EQ2" s="452"/>
      <c r="ER2" s="452"/>
      <c r="ES2" s="452"/>
      <c r="ET2" s="452"/>
      <c r="EU2" s="452" t="s">
        <v>676</v>
      </c>
      <c r="EV2" s="468"/>
      <c r="EW2" s="239"/>
      <c r="EX2" s="239"/>
      <c r="EY2" s="239"/>
      <c r="EZ2" s="239"/>
      <c r="FA2" s="239"/>
      <c r="FB2" s="239"/>
      <c r="FC2" s="455"/>
      <c r="FD2" s="455"/>
      <c r="FE2" s="455"/>
      <c r="FF2" s="455"/>
      <c r="FG2" s="455"/>
      <c r="FH2" s="455"/>
      <c r="FI2" s="455"/>
      <c r="FJ2" s="455"/>
      <c r="FK2" s="455"/>
      <c r="FL2" s="455"/>
      <c r="FM2" s="455"/>
      <c r="FN2" s="455"/>
      <c r="FO2" s="455"/>
      <c r="FP2" s="455"/>
      <c r="FQ2" s="455"/>
      <c r="FR2" s="455"/>
      <c r="FS2" s="455"/>
      <c r="FT2" s="455"/>
      <c r="FU2" s="455"/>
      <c r="FV2" s="455"/>
      <c r="FW2" s="455"/>
      <c r="FX2" s="455"/>
      <c r="FY2" s="455"/>
      <c r="FZ2" s="455"/>
      <c r="GA2" s="455"/>
      <c r="GB2" s="455"/>
      <c r="GC2" s="455"/>
      <c r="GD2" s="455"/>
      <c r="GE2" s="455"/>
      <c r="GF2" s="455"/>
      <c r="GG2" s="455"/>
      <c r="GH2" s="455"/>
      <c r="GI2" s="455"/>
      <c r="GJ2" s="455"/>
      <c r="GK2" s="455"/>
      <c r="GL2" s="455"/>
      <c r="GM2" s="455"/>
      <c r="GN2" s="455"/>
      <c r="GO2" s="455"/>
      <c r="GP2" s="455"/>
      <c r="GQ2" s="455"/>
      <c r="GR2" s="455"/>
      <c r="GS2" s="455"/>
      <c r="GT2" s="455"/>
      <c r="GU2" s="455"/>
      <c r="GV2" s="455"/>
      <c r="GW2" s="455"/>
      <c r="GX2" s="455"/>
      <c r="GY2" s="455"/>
      <c r="GZ2" s="455"/>
      <c r="HA2" s="455"/>
      <c r="HB2" s="455"/>
      <c r="HC2" s="455"/>
      <c r="HD2" s="455"/>
      <c r="HE2" s="455"/>
      <c r="HF2" s="455"/>
      <c r="HG2" s="455"/>
      <c r="HH2" s="455"/>
      <c r="HI2" s="455"/>
      <c r="HJ2" s="455"/>
      <c r="HK2" s="455"/>
      <c r="HL2" s="455"/>
      <c r="HM2" s="455"/>
      <c r="HN2" s="455"/>
      <c r="HO2" s="455"/>
      <c r="HP2" s="455"/>
      <c r="HQ2" s="455"/>
      <c r="HR2" s="455"/>
      <c r="HS2" s="455"/>
      <c r="HT2" s="455"/>
      <c r="HU2" s="455"/>
    </row>
    <row r="3" spans="2:229" s="8" customFormat="1" ht="16.5" customHeight="1" outlineLevel="1">
      <c r="B3" s="12"/>
      <c r="C3" s="13" t="s">
        <v>504</v>
      </c>
      <c r="D3" s="14" t="s">
        <v>280</v>
      </c>
      <c r="E3" s="15"/>
      <c r="F3" s="15"/>
      <c r="G3" s="15"/>
      <c r="H3" s="15"/>
      <c r="I3" s="15"/>
      <c r="J3" s="15"/>
      <c r="K3" s="15"/>
      <c r="L3" s="15"/>
      <c r="M3" s="16"/>
      <c r="N3" s="522"/>
      <c r="O3" s="29"/>
      <c r="P3" s="117"/>
      <c r="Q3" s="117"/>
      <c r="W3" s="18"/>
      <c r="AA3" s="18"/>
      <c r="CW3" s="19"/>
      <c r="CX3" s="19"/>
      <c r="CY3" s="19"/>
      <c r="CZ3" s="19"/>
      <c r="DB3" s="19"/>
      <c r="DC3" s="19"/>
      <c r="DD3" s="19"/>
      <c r="DE3" s="19"/>
      <c r="DF3" s="19"/>
      <c r="DN3" s="424"/>
      <c r="DO3" s="424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E3" s="33"/>
      <c r="EF3" s="33"/>
      <c r="EG3" s="33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</row>
    <row r="4" spans="2:229" s="8" customFormat="1" ht="15.75" customHeight="1" outlineLevel="2">
      <c r="B4" s="12"/>
      <c r="C4" s="20"/>
      <c r="D4" s="21" t="s">
        <v>278</v>
      </c>
      <c r="E4" s="22">
        <v>6.04</v>
      </c>
      <c r="K4" s="12"/>
      <c r="L4" s="12"/>
      <c r="M4" s="23"/>
      <c r="N4" s="523"/>
      <c r="O4" s="29"/>
      <c r="P4" s="117"/>
      <c r="Q4" s="117"/>
      <c r="W4" s="18"/>
      <c r="AA4" s="18"/>
      <c r="AV4" s="22"/>
      <c r="AW4" s="22"/>
      <c r="AX4" s="22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W4" s="19"/>
      <c r="CX4" s="19"/>
      <c r="CY4" s="19"/>
      <c r="CZ4" s="19"/>
      <c r="DB4" s="19"/>
      <c r="DC4" s="19"/>
      <c r="DD4" s="19"/>
      <c r="DE4" s="19"/>
      <c r="DF4" s="19"/>
      <c r="DN4" s="424"/>
      <c r="DO4" s="424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E4" s="33"/>
      <c r="EF4" s="33"/>
      <c r="EG4" s="33"/>
      <c r="EW4" s="30"/>
      <c r="EX4" s="30"/>
      <c r="EY4" s="30"/>
      <c r="EZ4" s="30"/>
      <c r="FA4" s="30"/>
      <c r="FB4" s="30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</row>
    <row r="5" spans="2:229" s="8" customFormat="1" ht="15.75" customHeight="1" outlineLevel="2">
      <c r="B5" s="12"/>
      <c r="C5" s="20"/>
      <c r="D5" s="21" t="s">
        <v>122</v>
      </c>
      <c r="E5" s="22">
        <v>16</v>
      </c>
      <c r="K5" s="12"/>
      <c r="L5" s="12"/>
      <c r="M5" s="23"/>
      <c r="N5" s="523"/>
      <c r="O5" s="29"/>
      <c r="P5" s="117"/>
      <c r="Q5" s="117"/>
      <c r="W5" s="18"/>
      <c r="AA5" s="18"/>
      <c r="CW5" s="19"/>
      <c r="CX5" s="19"/>
      <c r="CY5" s="19"/>
      <c r="CZ5" s="19"/>
      <c r="DB5" s="19"/>
      <c r="DC5" s="19"/>
      <c r="DD5" s="19"/>
      <c r="DE5" s="19"/>
      <c r="DF5" s="19"/>
      <c r="DN5" s="424"/>
      <c r="DO5" s="424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E5" s="33"/>
      <c r="EF5" s="33"/>
      <c r="EG5" s="33"/>
      <c r="EV5" s="30" t="s">
        <v>107</v>
      </c>
      <c r="EW5" s="484">
        <f>C219</f>
        <v>0</v>
      </c>
      <c r="EX5" s="484">
        <f>C220</f>
        <v>2</v>
      </c>
      <c r="EY5" s="484">
        <f>C221</f>
        <v>3</v>
      </c>
      <c r="EZ5" s="484">
        <f>C222</f>
        <v>1</v>
      </c>
      <c r="FA5" s="484">
        <f>C223</f>
        <v>1</v>
      </c>
      <c r="FB5" s="30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</row>
    <row r="6" spans="2:229" s="8" customFormat="1" ht="15.75" customHeight="1" outlineLevel="2">
      <c r="B6" s="12"/>
      <c r="C6" s="20"/>
      <c r="D6" s="21" t="s">
        <v>398</v>
      </c>
      <c r="E6" s="22" t="s">
        <v>557</v>
      </c>
      <c r="K6" s="12"/>
      <c r="L6" s="12"/>
      <c r="M6" s="23"/>
      <c r="N6" s="523"/>
      <c r="O6" s="29"/>
      <c r="P6" s="117"/>
      <c r="Q6" s="117"/>
      <c r="W6" s="18"/>
      <c r="AA6" s="18"/>
      <c r="CW6" s="19"/>
      <c r="CX6" s="19"/>
      <c r="CY6" s="19"/>
      <c r="CZ6" s="19"/>
      <c r="DB6" s="19"/>
      <c r="DC6" s="19"/>
      <c r="DD6" s="19"/>
      <c r="DE6" s="19"/>
      <c r="DF6" s="19"/>
      <c r="DN6" s="424"/>
      <c r="DO6" s="424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E6" s="33"/>
      <c r="EF6" s="33"/>
      <c r="EG6" s="33"/>
      <c r="EH6" s="8">
        <v>0</v>
      </c>
      <c r="EI6" s="8">
        <f t="shared" ref="EI6:ET6" si="0">EH6+1</f>
        <v>1</v>
      </c>
      <c r="EJ6" s="8">
        <f t="shared" si="0"/>
        <v>2</v>
      </c>
      <c r="EK6" s="8">
        <f t="shared" si="0"/>
        <v>3</v>
      </c>
      <c r="EL6" s="8">
        <f t="shared" si="0"/>
        <v>4</v>
      </c>
      <c r="EM6" s="8">
        <f t="shared" si="0"/>
        <v>5</v>
      </c>
      <c r="EN6" s="8">
        <f t="shared" si="0"/>
        <v>6</v>
      </c>
      <c r="EO6" s="8">
        <f t="shared" si="0"/>
        <v>7</v>
      </c>
      <c r="EP6" s="8">
        <f t="shared" si="0"/>
        <v>8</v>
      </c>
      <c r="EQ6" s="8">
        <f t="shared" si="0"/>
        <v>9</v>
      </c>
      <c r="ER6" s="8">
        <f t="shared" si="0"/>
        <v>10</v>
      </c>
      <c r="ES6" s="8">
        <f t="shared" si="0"/>
        <v>11</v>
      </c>
      <c r="ET6" s="8">
        <f t="shared" si="0"/>
        <v>12</v>
      </c>
      <c r="EV6" s="30" t="s">
        <v>108</v>
      </c>
      <c r="EW6" s="484">
        <f>D219</f>
        <v>2</v>
      </c>
      <c r="EX6" s="484">
        <f>D220</f>
        <v>0</v>
      </c>
      <c r="EY6" s="484">
        <f>D221</f>
        <v>0</v>
      </c>
      <c r="EZ6" s="484">
        <f>D222</f>
        <v>-2</v>
      </c>
      <c r="FA6" s="484">
        <f>D223</f>
        <v>2</v>
      </c>
      <c r="FB6" s="30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</row>
    <row r="7" spans="2:229" s="8" customFormat="1" ht="15.75" customHeight="1" outlineLevel="2">
      <c r="B7" s="12"/>
      <c r="C7" s="20"/>
      <c r="D7" s="7" t="s">
        <v>279</v>
      </c>
      <c r="E7" s="22">
        <v>9</v>
      </c>
      <c r="K7" s="12"/>
      <c r="L7" s="12"/>
      <c r="M7" s="23"/>
      <c r="N7" s="523"/>
      <c r="O7" s="29"/>
      <c r="P7" s="117"/>
      <c r="Q7" s="117"/>
      <c r="W7" s="18"/>
      <c r="AA7" s="18"/>
      <c r="CW7" s="19"/>
      <c r="CX7" s="19"/>
      <c r="CY7" s="19"/>
      <c r="CZ7" s="19"/>
      <c r="DB7" s="19"/>
      <c r="DC7" s="19"/>
      <c r="DD7" s="19"/>
      <c r="DE7" s="19"/>
      <c r="DF7" s="19"/>
      <c r="DN7" s="424"/>
      <c r="DO7" s="424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E7" s="335" t="s">
        <v>131</v>
      </c>
      <c r="EG7" s="33"/>
      <c r="EH7" s="238">
        <f t="shared" ref="EH7:ES7" si="1">EH327</f>
        <v>1.4719509213495421E-3</v>
      </c>
      <c r="EI7" s="33" t="e">
        <f t="shared" si="1"/>
        <v>#DIV/0!</v>
      </c>
      <c r="EJ7" s="33" t="e">
        <f t="shared" si="1"/>
        <v>#DIV/0!</v>
      </c>
      <c r="EK7" s="33" t="e">
        <f t="shared" si="1"/>
        <v>#DIV/0!</v>
      </c>
      <c r="EL7" s="33" t="e">
        <f t="shared" si="1"/>
        <v>#DIV/0!</v>
      </c>
      <c r="EM7" s="33" t="e">
        <f t="shared" si="1"/>
        <v>#DIV/0!</v>
      </c>
      <c r="EN7" s="33" t="e">
        <f t="shared" si="1"/>
        <v>#DIV/0!</v>
      </c>
      <c r="EO7" s="33" t="e">
        <f t="shared" si="1"/>
        <v>#DIV/0!</v>
      </c>
      <c r="EP7" s="33" t="e">
        <f t="shared" si="1"/>
        <v>#DIV/0!</v>
      </c>
      <c r="EQ7" s="33" t="e">
        <f t="shared" si="1"/>
        <v>#DIV/0!</v>
      </c>
      <c r="ER7" s="33" t="e">
        <f t="shared" si="1"/>
        <v>#DIV/0!</v>
      </c>
      <c r="ES7" s="33" t="e">
        <f t="shared" si="1"/>
        <v>#DIV/0!</v>
      </c>
      <c r="ET7" s="33" t="e">
        <f>ET327</f>
        <v>#DIV/0!</v>
      </c>
      <c r="EV7" s="30" t="s">
        <v>109</v>
      </c>
      <c r="EW7" s="485">
        <f>$D$149*F219</f>
        <v>32</v>
      </c>
      <c r="EX7" s="486">
        <f>$D$149*F220</f>
        <v>80</v>
      </c>
      <c r="EY7" s="486">
        <f>$D$149*F221</f>
        <v>224</v>
      </c>
      <c r="EZ7" s="486">
        <f>$D$149*F222</f>
        <v>-16</v>
      </c>
      <c r="FA7" s="486">
        <f>$D$149*F223</f>
        <v>160</v>
      </c>
      <c r="FB7" s="30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</row>
    <row r="8" spans="2:229" s="8" customFormat="1" ht="15.75" customHeight="1" outlineLevel="2">
      <c r="B8" s="12"/>
      <c r="C8" s="20"/>
      <c r="D8" s="7" t="s">
        <v>580</v>
      </c>
      <c r="E8" s="22">
        <v>992</v>
      </c>
      <c r="K8" s="12"/>
      <c r="L8" s="12"/>
      <c r="M8" s="23"/>
      <c r="N8" s="523"/>
      <c r="O8" s="29"/>
      <c r="P8" s="117"/>
      <c r="Q8" s="117"/>
      <c r="W8" s="18"/>
      <c r="AA8" s="18"/>
      <c r="CW8" s="19"/>
      <c r="CX8" s="19"/>
      <c r="CY8" s="19"/>
      <c r="CZ8" s="19"/>
      <c r="DB8" s="19"/>
      <c r="DC8" s="19"/>
      <c r="DD8" s="19"/>
      <c r="DE8" s="19"/>
      <c r="DF8" s="19"/>
      <c r="DN8" s="424"/>
      <c r="DO8" s="424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E8" s="335" t="s">
        <v>132</v>
      </c>
      <c r="EF8" s="33"/>
      <c r="EG8" s="33"/>
      <c r="EH8" s="112">
        <f t="shared" ref="EH8:ES8" si="2">EH328</f>
        <v>3.7012216628845733</v>
      </c>
      <c r="EI8" s="29" t="e">
        <f t="shared" si="2"/>
        <v>#DIV/0!</v>
      </c>
      <c r="EJ8" s="29" t="e">
        <f t="shared" si="2"/>
        <v>#DIV/0!</v>
      </c>
      <c r="EK8" s="29" t="e">
        <f t="shared" si="2"/>
        <v>#DIV/0!</v>
      </c>
      <c r="EL8" s="29" t="e">
        <f t="shared" si="2"/>
        <v>#DIV/0!</v>
      </c>
      <c r="EM8" s="29" t="e">
        <f t="shared" si="2"/>
        <v>#DIV/0!</v>
      </c>
      <c r="EN8" s="29" t="e">
        <f t="shared" si="2"/>
        <v>#DIV/0!</v>
      </c>
      <c r="EO8" s="29" t="e">
        <f t="shared" si="2"/>
        <v>#DIV/0!</v>
      </c>
      <c r="EP8" s="29" t="e">
        <f t="shared" si="2"/>
        <v>#DIV/0!</v>
      </c>
      <c r="EQ8" s="29" t="e">
        <f t="shared" si="2"/>
        <v>#DIV/0!</v>
      </c>
      <c r="ER8" s="29" t="e">
        <f t="shared" si="2"/>
        <v>#DIV/0!</v>
      </c>
      <c r="ES8" s="29" t="e">
        <f t="shared" si="2"/>
        <v>#DIV/0!</v>
      </c>
      <c r="ET8" s="29" t="e">
        <f>ET328</f>
        <v>#DIV/0!</v>
      </c>
      <c r="FB8" s="30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</row>
    <row r="9" spans="2:229" s="8" customFormat="1" ht="15.75" customHeight="1" outlineLevel="2">
      <c r="B9" s="12"/>
      <c r="C9" s="20"/>
      <c r="D9" s="21" t="s">
        <v>1047</v>
      </c>
      <c r="E9" s="22">
        <v>0.01</v>
      </c>
      <c r="K9" s="12"/>
      <c r="L9" s="12"/>
      <c r="M9" s="23"/>
      <c r="N9" s="523"/>
      <c r="O9" s="29"/>
      <c r="P9" s="117"/>
      <c r="Q9" s="117"/>
      <c r="W9" s="18"/>
      <c r="AA9" s="18"/>
      <c r="CW9" s="19"/>
      <c r="CX9" s="19"/>
      <c r="CY9" s="19"/>
      <c r="CZ9" s="19"/>
      <c r="DB9" s="19"/>
      <c r="DC9" s="19"/>
      <c r="DD9" s="19"/>
      <c r="DE9" s="19"/>
      <c r="DF9" s="19"/>
      <c r="DN9" s="424"/>
      <c r="DO9" s="424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E9" s="335"/>
      <c r="EF9" s="33"/>
      <c r="EG9" s="33"/>
      <c r="EH9" s="112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V9" s="8" t="s">
        <v>318</v>
      </c>
      <c r="EW9" s="24">
        <f>IF($E$6="S",2*IMREAL(EW94),IMABS(EW94))</f>
        <v>34.162353439508998</v>
      </c>
      <c r="EX9" s="24">
        <f>IF($E$6="S",2*IMREAL(EX94),IMABS(EX94))</f>
        <v>102.5988137515744</v>
      </c>
      <c r="EY9" s="24">
        <f>IF($E$6="S",2*IMREAL(EY94),IMABS(EY94))</f>
        <v>705.57118823608198</v>
      </c>
      <c r="EZ9" s="24">
        <f>IF($E$6="S",2*IMREAL(EZ94),IMABS(EZ94))</f>
        <v>155.1410120158362</v>
      </c>
      <c r="FA9" s="24">
        <f>IF($E$6="S",2*IMREAL(FA94),IMABS(FA94))</f>
        <v>-373.870116168256</v>
      </c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</row>
    <row r="10" spans="2:229" s="8" customFormat="1" ht="15.75" customHeight="1" outlineLevel="2">
      <c r="B10" s="12"/>
      <c r="C10" s="20"/>
      <c r="D10" s="21" t="s">
        <v>1026</v>
      </c>
      <c r="E10" s="8">
        <v>4</v>
      </c>
      <c r="K10" s="12"/>
      <c r="L10" s="12"/>
      <c r="M10" s="23"/>
      <c r="N10" s="523"/>
      <c r="O10" s="29"/>
      <c r="P10" s="117"/>
      <c r="Q10" s="117"/>
      <c r="W10" s="18"/>
      <c r="AA10" s="18"/>
      <c r="CW10" s="19"/>
      <c r="CX10" s="19"/>
      <c r="CY10" s="19"/>
      <c r="CZ10" s="19"/>
      <c r="DB10" s="19"/>
      <c r="DC10" s="19"/>
      <c r="DD10" s="19"/>
      <c r="DE10" s="19"/>
      <c r="DF10" s="19"/>
      <c r="DN10" s="424"/>
      <c r="DO10" s="424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E10" s="33"/>
      <c r="EF10" s="33"/>
      <c r="EG10" s="33"/>
      <c r="EV10" s="8" t="s">
        <v>319</v>
      </c>
      <c r="EW10" s="8">
        <f>IF($E$6="S",0,IMARGUMENT(EW94))</f>
        <v>0</v>
      </c>
      <c r="EX10" s="8">
        <f>IF($E$6="S",0,IMARGUMENT(EX94))</f>
        <v>0</v>
      </c>
      <c r="EY10" s="8">
        <f>IF($E$6="S",0,IMARGUMENT(EY94))</f>
        <v>0</v>
      </c>
      <c r="EZ10" s="8">
        <f>IF($E$6="S",0,IMARGUMENT(EZ94))</f>
        <v>0</v>
      </c>
      <c r="FA10" s="8">
        <f>IF($E$6="S",0,IMARGUMENT(FA94))</f>
        <v>0</v>
      </c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</row>
    <row r="11" spans="2:229" s="8" customFormat="1" ht="15.75" customHeight="1" outlineLevel="1" collapsed="1">
      <c r="B11" s="12"/>
      <c r="C11" s="20"/>
      <c r="D11" s="21"/>
      <c r="E11" s="24"/>
      <c r="K11" s="12"/>
      <c r="L11" s="12"/>
      <c r="M11" s="23"/>
      <c r="N11" s="523"/>
      <c r="O11" s="29"/>
      <c r="P11" s="117"/>
      <c r="Q11" s="117"/>
      <c r="W11" s="18"/>
      <c r="AA11" s="18"/>
      <c r="CW11" s="19"/>
      <c r="CX11" s="19"/>
      <c r="CY11" s="19"/>
      <c r="CZ11" s="19"/>
      <c r="DB11" s="19"/>
      <c r="DC11" s="19"/>
      <c r="DD11" s="19"/>
      <c r="DE11" s="19"/>
      <c r="DF11" s="19"/>
      <c r="DN11" s="424"/>
      <c r="DO11" s="424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E11" s="33"/>
      <c r="EF11" s="33"/>
      <c r="EG11" s="33"/>
      <c r="EV11" s="8" t="s">
        <v>411</v>
      </c>
      <c r="EW11" s="8">
        <f>INT(EW5*$E$173+EW6*$E$174+0.5)</f>
        <v>2</v>
      </c>
      <c r="EX11" s="8">
        <f>INT(EX5*$E$173+EX6*$E$174+0.5)</f>
        <v>5</v>
      </c>
      <c r="EY11" s="8">
        <f>INT(EY5*$E$173+EY6*$E$174+0.5)</f>
        <v>7</v>
      </c>
      <c r="EZ11" s="8">
        <f>INT(EZ5*$E$173+EZ6*$E$174+0.5)</f>
        <v>0</v>
      </c>
      <c r="FA11" s="8">
        <f>INT(FA5*$E$173+FA6*$E$174+0.5)</f>
        <v>4</v>
      </c>
      <c r="FB11" s="24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</row>
    <row r="12" spans="2:229" s="8" customFormat="1" ht="15.75" hidden="1" customHeight="1" outlineLevel="2">
      <c r="B12" s="12"/>
      <c r="C12" s="20"/>
      <c r="D12" s="17" t="s">
        <v>906</v>
      </c>
      <c r="E12" s="22"/>
      <c r="F12" s="25"/>
      <c r="G12" s="24"/>
      <c r="H12" s="24"/>
      <c r="I12" s="24"/>
      <c r="J12" s="24"/>
      <c r="K12" s="12"/>
      <c r="L12" s="12"/>
      <c r="M12" s="23"/>
      <c r="N12" s="523"/>
      <c r="O12" s="29"/>
      <c r="P12" s="117"/>
      <c r="Q12" s="117"/>
      <c r="W12" s="18"/>
      <c r="AA12" s="18"/>
      <c r="CW12" s="19"/>
      <c r="CX12" s="19"/>
      <c r="CY12" s="19"/>
      <c r="CZ12" s="19"/>
      <c r="DB12" s="19"/>
      <c r="DC12" s="19"/>
      <c r="DD12" s="19"/>
      <c r="DE12" s="19"/>
      <c r="DF12" s="19"/>
      <c r="DN12" s="424"/>
      <c r="DO12" s="424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E12" s="33"/>
      <c r="EF12" s="33"/>
      <c r="EG12" s="33"/>
      <c r="EV12" s="24"/>
      <c r="FB12" s="24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</row>
    <row r="13" spans="2:229" s="8" customFormat="1" ht="15.75" hidden="1" customHeight="1" outlineLevel="2">
      <c r="B13" s="12"/>
      <c r="C13" s="20"/>
      <c r="D13" s="17" t="s">
        <v>750</v>
      </c>
      <c r="E13" s="22"/>
      <c r="F13" s="25"/>
      <c r="G13" s="24"/>
      <c r="H13" s="24"/>
      <c r="I13" s="24"/>
      <c r="J13" s="24"/>
      <c r="K13" s="12"/>
      <c r="L13" s="12"/>
      <c r="M13" s="23"/>
      <c r="N13" s="523"/>
      <c r="O13" s="29"/>
      <c r="P13" s="117"/>
      <c r="Q13" s="117"/>
      <c r="W13" s="18"/>
      <c r="AA13" s="18"/>
      <c r="CW13" s="19"/>
      <c r="CX13" s="19"/>
      <c r="CY13" s="19"/>
      <c r="CZ13" s="19"/>
      <c r="DB13" s="19"/>
      <c r="DC13" s="19"/>
      <c r="DD13" s="19"/>
      <c r="DE13" s="19"/>
      <c r="DF13" s="19"/>
      <c r="DN13" s="424"/>
      <c r="DO13" s="424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E13" s="33"/>
      <c r="EF13" s="33"/>
      <c r="EG13" s="33"/>
      <c r="EV13" s="24"/>
      <c r="EX13" s="24"/>
      <c r="EY13" s="24"/>
      <c r="EZ13" s="24"/>
      <c r="FA13" s="24"/>
      <c r="FB13" s="24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</row>
    <row r="14" spans="2:229" s="8" customFormat="1" ht="15.75" hidden="1" customHeight="1" outlineLevel="2">
      <c r="B14" s="12"/>
      <c r="C14" s="20"/>
      <c r="D14" s="17" t="s">
        <v>923</v>
      </c>
      <c r="E14" s="22"/>
      <c r="F14" s="25"/>
      <c r="G14" s="24"/>
      <c r="H14" s="24"/>
      <c r="I14" s="24"/>
      <c r="J14" s="24"/>
      <c r="K14" s="12"/>
      <c r="L14" s="12"/>
      <c r="M14" s="23"/>
      <c r="N14" s="523"/>
      <c r="O14" s="29"/>
      <c r="P14" s="117"/>
      <c r="Q14" s="117"/>
      <c r="W14" s="18"/>
      <c r="AA14" s="18"/>
      <c r="CW14" s="19"/>
      <c r="CX14" s="19"/>
      <c r="CY14" s="19"/>
      <c r="CZ14" s="19"/>
      <c r="DB14" s="19"/>
      <c r="DC14" s="19"/>
      <c r="DD14" s="19"/>
      <c r="DE14" s="19"/>
      <c r="DF14" s="19"/>
      <c r="DN14" s="424"/>
      <c r="DO14" s="424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E14" s="33"/>
      <c r="EF14" s="33"/>
      <c r="EG14" s="33"/>
      <c r="EV14" s="24"/>
      <c r="EW14" s="30" t="s">
        <v>186</v>
      </c>
      <c r="EX14" s="24"/>
      <c r="EY14" s="24"/>
      <c r="EZ14" s="24"/>
      <c r="FA14" s="24"/>
      <c r="FB14" s="24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</row>
    <row r="15" spans="2:229" s="8" customFormat="1" ht="15.75" hidden="1" customHeight="1" outlineLevel="2">
      <c r="B15" s="12"/>
      <c r="C15" s="20"/>
      <c r="D15" s="17" t="s">
        <v>924</v>
      </c>
      <c r="E15" s="22"/>
      <c r="F15" s="25"/>
      <c r="G15" s="24"/>
      <c r="H15" s="24"/>
      <c r="I15" s="24"/>
      <c r="J15" s="24"/>
      <c r="K15" s="12"/>
      <c r="L15" s="12"/>
      <c r="M15" s="23"/>
      <c r="N15" s="523"/>
      <c r="O15" s="29"/>
      <c r="P15" s="117"/>
      <c r="Q15" s="117"/>
      <c r="W15" s="18"/>
      <c r="AA15" s="18"/>
      <c r="CW15" s="19"/>
      <c r="CX15" s="19"/>
      <c r="CY15" s="19"/>
      <c r="CZ15" s="19"/>
      <c r="DB15" s="19"/>
      <c r="DC15" s="19"/>
      <c r="DD15" s="19"/>
      <c r="DE15" s="19"/>
      <c r="DF15" s="19"/>
      <c r="DN15" s="424"/>
      <c r="DO15" s="424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E15" s="33"/>
      <c r="EF15" s="24"/>
      <c r="EG15" s="94"/>
      <c r="EV15" s="24"/>
      <c r="EW15" s="8" t="s">
        <v>323</v>
      </c>
      <c r="EX15" s="24"/>
      <c r="EY15" s="24"/>
      <c r="EZ15" s="24"/>
      <c r="FA15" s="24"/>
      <c r="FB15" s="24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</row>
    <row r="16" spans="2:229" s="8" customFormat="1" ht="15.75" hidden="1" customHeight="1" outlineLevel="2">
      <c r="B16" s="12"/>
      <c r="C16" s="20"/>
      <c r="D16" s="26" t="s">
        <v>786</v>
      </c>
      <c r="E16" s="22"/>
      <c r="F16" s="25"/>
      <c r="G16" s="24"/>
      <c r="H16" s="24"/>
      <c r="I16" s="24"/>
      <c r="J16" s="24"/>
      <c r="K16" s="12"/>
      <c r="L16" s="12"/>
      <c r="M16" s="23"/>
      <c r="N16" s="523"/>
      <c r="O16" s="29"/>
      <c r="P16" s="117"/>
      <c r="Q16" s="117"/>
      <c r="W16" s="18"/>
      <c r="AA16" s="18"/>
      <c r="CW16" s="19"/>
      <c r="CX16" s="19"/>
      <c r="CY16" s="19"/>
      <c r="CZ16" s="19"/>
      <c r="DB16" s="19"/>
      <c r="DC16" s="19"/>
      <c r="DD16" s="19"/>
      <c r="DE16" s="19"/>
      <c r="DF16" s="19"/>
      <c r="DN16" s="424"/>
      <c r="DO16" s="424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E16" s="33"/>
      <c r="EF16" s="33"/>
      <c r="EG16" s="33"/>
      <c r="EV16" s="24"/>
      <c r="EW16" s="8" t="s">
        <v>641</v>
      </c>
      <c r="EX16" s="24"/>
      <c r="EY16" s="24"/>
      <c r="EZ16" s="24"/>
      <c r="FA16" s="24"/>
      <c r="FB16" s="24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</row>
    <row r="17" spans="1:229" s="8" customFormat="1" ht="15.75" hidden="1" customHeight="1" outlineLevel="2">
      <c r="B17" s="12"/>
      <c r="C17" s="20"/>
      <c r="D17" s="25" t="s">
        <v>1046</v>
      </c>
      <c r="E17" s="22"/>
      <c r="F17" s="25"/>
      <c r="G17" s="24"/>
      <c r="H17" s="24"/>
      <c r="I17" s="24"/>
      <c r="J17" s="24"/>
      <c r="K17" s="12"/>
      <c r="L17" s="12"/>
      <c r="M17" s="23"/>
      <c r="N17" s="523"/>
      <c r="O17" s="29"/>
      <c r="P17" s="117"/>
      <c r="Q17" s="117"/>
      <c r="W17" s="18"/>
      <c r="AA17" s="18"/>
      <c r="CW17" s="19"/>
      <c r="CX17" s="19"/>
      <c r="CY17" s="19"/>
      <c r="CZ17" s="19"/>
      <c r="DB17" s="19"/>
      <c r="DC17" s="19"/>
      <c r="DD17" s="19"/>
      <c r="DE17" s="19"/>
      <c r="DF17" s="19"/>
      <c r="DN17" s="424"/>
      <c r="DO17" s="424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E17" s="33"/>
      <c r="EF17" s="33"/>
      <c r="EG17" s="33"/>
      <c r="EV17" s="24"/>
      <c r="EW17" s="8" t="s">
        <v>642</v>
      </c>
      <c r="EX17" s="24"/>
      <c r="EY17" s="24"/>
      <c r="EZ17" s="24"/>
      <c r="FA17" s="24"/>
      <c r="FB17" s="24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</row>
    <row r="18" spans="1:229" s="8" customFormat="1" ht="15.75" customHeight="1" outlineLevel="1" collapsed="1">
      <c r="B18" s="12"/>
      <c r="C18" s="20"/>
      <c r="D18" s="25"/>
      <c r="E18" s="24"/>
      <c r="F18" s="25"/>
      <c r="G18" s="24"/>
      <c r="H18" s="24"/>
      <c r="I18" s="24"/>
      <c r="J18" s="24"/>
      <c r="K18" s="12"/>
      <c r="L18" s="12"/>
      <c r="M18" s="23"/>
      <c r="N18" s="523"/>
      <c r="O18" s="29"/>
      <c r="P18" s="117"/>
      <c r="Q18" s="117"/>
      <c r="W18" s="18"/>
      <c r="AA18" s="18"/>
      <c r="CW18" s="19"/>
      <c r="CX18" s="19"/>
      <c r="CY18" s="19"/>
      <c r="CZ18" s="19"/>
      <c r="DB18" s="19"/>
      <c r="DC18" s="19"/>
      <c r="DD18" s="19"/>
      <c r="DE18" s="19"/>
      <c r="DF18" s="19"/>
      <c r="DN18" s="424"/>
      <c r="DO18" s="424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E18" s="33"/>
      <c r="EF18" s="33"/>
      <c r="EG18" s="33"/>
      <c r="EV18" s="24"/>
      <c r="EW18" s="24" t="s">
        <v>96</v>
      </c>
      <c r="EX18" s="24"/>
      <c r="EY18" s="24"/>
      <c r="EZ18" s="24"/>
      <c r="FA18" s="24"/>
      <c r="FB18" s="24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</row>
    <row r="19" spans="1:229" s="8" customFormat="1" ht="15.75" hidden="1" customHeight="1" outlineLevel="2">
      <c r="B19" s="12"/>
      <c r="C19" s="20"/>
      <c r="D19" s="25" t="s">
        <v>816</v>
      </c>
      <c r="E19" s="22"/>
      <c r="F19" s="25"/>
      <c r="G19" s="24"/>
      <c r="H19" s="24"/>
      <c r="I19" s="24"/>
      <c r="J19" s="24"/>
      <c r="K19" s="12"/>
      <c r="L19" s="12"/>
      <c r="M19" s="23"/>
      <c r="N19" s="523"/>
      <c r="O19" s="29"/>
      <c r="P19" s="117"/>
      <c r="Q19" s="117"/>
      <c r="W19" s="18"/>
      <c r="AA19" s="18"/>
      <c r="CW19" s="19"/>
      <c r="CX19" s="19"/>
      <c r="CY19" s="19"/>
      <c r="CZ19" s="19"/>
      <c r="DB19" s="19"/>
      <c r="DC19" s="19"/>
      <c r="DD19" s="19"/>
      <c r="DE19" s="19"/>
      <c r="DF19" s="19"/>
      <c r="DN19" s="424"/>
      <c r="DO19" s="424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E19" s="33"/>
      <c r="EF19" s="33"/>
      <c r="EG19" s="33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</row>
    <row r="20" spans="1:229" s="8" customFormat="1" ht="15.75" hidden="1" customHeight="1" outlineLevel="2">
      <c r="B20" s="12"/>
      <c r="C20" s="20"/>
      <c r="D20" s="25" t="s">
        <v>925</v>
      </c>
      <c r="E20" s="22"/>
      <c r="F20" s="25"/>
      <c r="G20" s="24"/>
      <c r="H20" s="24"/>
      <c r="I20" s="24"/>
      <c r="J20" s="24"/>
      <c r="K20" s="12"/>
      <c r="L20" s="12"/>
      <c r="M20" s="23"/>
      <c r="N20" s="523"/>
      <c r="O20" s="29"/>
      <c r="P20" s="117"/>
      <c r="Q20" s="117"/>
      <c r="W20" s="18"/>
      <c r="AA20" s="18"/>
      <c r="CW20" s="19"/>
      <c r="CX20" s="19"/>
      <c r="CY20" s="19"/>
      <c r="CZ20" s="19"/>
      <c r="DB20" s="19"/>
      <c r="DC20" s="19"/>
      <c r="DD20" s="19"/>
      <c r="DE20" s="19"/>
      <c r="DF20" s="19"/>
      <c r="DN20" s="424"/>
      <c r="DO20" s="424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E20" s="33"/>
      <c r="EF20" s="33"/>
      <c r="EG20" s="33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</row>
    <row r="21" spans="1:229" s="8" customFormat="1" ht="15.75" hidden="1" customHeight="1" outlineLevel="2">
      <c r="B21" s="12"/>
      <c r="C21" s="20"/>
      <c r="D21" s="25" t="s">
        <v>749</v>
      </c>
      <c r="E21" s="22"/>
      <c r="F21" s="25"/>
      <c r="G21" s="24"/>
      <c r="H21" s="24"/>
      <c r="I21" s="24"/>
      <c r="J21" s="24"/>
      <c r="K21" s="12"/>
      <c r="L21" s="12"/>
      <c r="M21" s="23"/>
      <c r="N21" s="523"/>
      <c r="O21" s="29"/>
      <c r="P21" s="117"/>
      <c r="Q21" s="117"/>
      <c r="W21" s="18"/>
      <c r="AA21" s="18"/>
      <c r="CW21" s="19"/>
      <c r="CX21" s="19"/>
      <c r="CY21" s="19"/>
      <c r="CZ21" s="19"/>
      <c r="DB21" s="19"/>
      <c r="DC21" s="19"/>
      <c r="DD21" s="19"/>
      <c r="DE21" s="19"/>
      <c r="DF21" s="19"/>
      <c r="DN21" s="424"/>
      <c r="DO21" s="424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E21" s="33"/>
      <c r="EF21" s="33"/>
      <c r="EG21" s="33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</row>
    <row r="22" spans="1:229" s="8" customFormat="1" ht="15.75" hidden="1" customHeight="1" outlineLevel="2">
      <c r="B22" s="12"/>
      <c r="C22" s="20"/>
      <c r="D22" s="25" t="s">
        <v>1096</v>
      </c>
      <c r="E22" s="22"/>
      <c r="F22" s="25"/>
      <c r="G22" s="24"/>
      <c r="H22" s="24"/>
      <c r="I22" s="24"/>
      <c r="J22" s="24"/>
      <c r="K22" s="12"/>
      <c r="L22" s="12"/>
      <c r="M22" s="23"/>
      <c r="N22" s="523"/>
      <c r="O22" s="29"/>
      <c r="P22" s="117"/>
      <c r="Q22" s="117"/>
      <c r="W22" s="18"/>
      <c r="AA22" s="18"/>
      <c r="CW22" s="19"/>
      <c r="CX22" s="19"/>
      <c r="CY22" s="19"/>
      <c r="CZ22" s="19"/>
      <c r="DB22" s="19"/>
      <c r="DC22" s="19"/>
      <c r="DD22" s="19"/>
      <c r="DE22" s="19"/>
      <c r="DF22" s="19"/>
      <c r="DN22" s="424"/>
      <c r="DO22" s="424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E22" s="33"/>
      <c r="EF22" s="33"/>
      <c r="EG22" s="33"/>
      <c r="EV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</row>
    <row r="23" spans="1:229" s="8" customFormat="1" ht="15.75" customHeight="1" outlineLevel="1">
      <c r="B23" s="12"/>
      <c r="C23" s="20"/>
      <c r="D23" s="27"/>
      <c r="E23" s="24"/>
      <c r="F23" s="12"/>
      <c r="G23" s="28"/>
      <c r="H23" s="28"/>
      <c r="I23" s="520"/>
      <c r="J23" s="28"/>
      <c r="K23" s="12"/>
      <c r="L23" s="12"/>
      <c r="M23" s="23"/>
      <c r="N23" s="524"/>
      <c r="O23" s="29"/>
      <c r="P23" s="117"/>
      <c r="Q23" s="117"/>
      <c r="X23" s="29"/>
      <c r="AB23" s="29"/>
      <c r="AF23" s="30"/>
      <c r="AI23" s="30"/>
      <c r="AJ23" s="30"/>
      <c r="AM23" s="30"/>
      <c r="AN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W23" s="19"/>
      <c r="CX23" s="19"/>
      <c r="CY23" s="19"/>
      <c r="CZ23" s="19"/>
      <c r="DB23" s="19"/>
      <c r="DC23" s="19"/>
      <c r="DD23" s="19"/>
      <c r="DE23" s="19"/>
      <c r="DF23" s="19"/>
      <c r="DN23" s="424"/>
      <c r="DO23" s="424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E23" s="33"/>
      <c r="EF23" s="33"/>
      <c r="EG23" s="33"/>
      <c r="EV23" s="7"/>
      <c r="EW23" s="30">
        <f>(EW7-EW5*$D$149*$E$173-EW6*$D$149*$E$174)*2*PI()/$D$159</f>
        <v>2.4047071003061041E-2</v>
      </c>
      <c r="EX23" s="30">
        <f>(EX7-EX5*$D$149*$E$173-EX6*$D$149*$E$174)*2*PI()/$D$159</f>
        <v>5.254150330196751E-2</v>
      </c>
      <c r="EY23" s="30">
        <f>(EY7-EY5*$D$149*$E$173-EY6*$D$149*$E$174)*2*PI()/$D$159</f>
        <v>0.85268773406488518</v>
      </c>
      <c r="EZ23" s="30">
        <f>(EZ7-EZ5*$D$149*$E$173-EZ6*$D$149*$E$174)*2*PI()/$D$159</f>
        <v>-0.17636296837790819</v>
      </c>
      <c r="FA23" s="30">
        <f>(FA7-FA5*$D$149*$E$173-FA6*$D$149*$E$174)*2*PI()/$D$159</f>
        <v>0.70513553574875809</v>
      </c>
      <c r="FB23" s="30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</row>
    <row r="24" spans="1:229" s="7" customFormat="1" ht="15.75" customHeight="1" outlineLevel="1">
      <c r="B24" s="31"/>
      <c r="C24" s="516"/>
      <c r="D24" s="517"/>
      <c r="E24" s="517"/>
      <c r="F24" s="517"/>
      <c r="G24" s="518"/>
      <c r="H24" s="518"/>
      <c r="I24" s="519"/>
      <c r="J24" s="518"/>
      <c r="K24" s="518"/>
      <c r="L24" s="518"/>
      <c r="M24" s="16"/>
      <c r="N24" s="524"/>
      <c r="O24" s="29"/>
      <c r="P24" s="117"/>
      <c r="Q24" s="117"/>
      <c r="R24" s="32">
        <v>0</v>
      </c>
      <c r="S24" s="32">
        <v>0</v>
      </c>
      <c r="T24" s="32">
        <v>0</v>
      </c>
      <c r="U24" s="32">
        <v>0</v>
      </c>
      <c r="V24" s="29">
        <f>IF(E12="",IF(E6="P",CX94/CN94,IF(E6="S",CX94*CZ94*2/CN94,0)),E12)</f>
        <v>35.11760478118476</v>
      </c>
      <c r="W24" s="29">
        <f>IF(E13="",IF(E6="P",(CW94-CL94)/CN94,IF(E6="S",0,0)),E13)</f>
        <v>0</v>
      </c>
      <c r="X24" s="29">
        <f>(1+W24^2)/V24</f>
        <v>2.8475746174345524E-2</v>
      </c>
      <c r="Y24" s="29">
        <v>0</v>
      </c>
      <c r="Z24" s="29">
        <f>IF(E14="",IF(E6="P",DC94/CU94,IF(E6="S",DC94*DE94*2/CU94,0)),E14)</f>
        <v>2.5242585406279678</v>
      </c>
      <c r="AA24" s="29">
        <f>IF(E15="",IF(E6="P",(DB94-CS94)/CU94,IF(E6="S",0,0)),E15)</f>
        <v>0</v>
      </c>
      <c r="AB24" s="29">
        <f>(1+AA24^2)/Z24</f>
        <v>0.39615593407132804</v>
      </c>
      <c r="AC24" s="29">
        <v>0</v>
      </c>
      <c r="AD24" s="32">
        <f>IF(E16="",IF(E6="P",(-AG94*CZ94+AG94+AH94*CX94)/(2-CW94-CZ94),IF(E6="S",-AH94/CY94,0)),E16)</f>
        <v>0.13486265405961981</v>
      </c>
      <c r="AE24" s="29">
        <f>IF(E17="",IF(E6="P",(-AH94*CW94+AH94+AG94*CY94)/(2-CW94-CZ94),IF(E6="S",0,0)),E17)</f>
        <v>0</v>
      </c>
      <c r="AF24" s="33">
        <f>V24*AE24^2+2*W24*AD24*AE24+X24*AD24^2</f>
        <v>5.1791503359447169E-4</v>
      </c>
      <c r="AG24" s="29">
        <v>0</v>
      </c>
      <c r="AH24" s="29">
        <v>0</v>
      </c>
      <c r="AI24" s="29">
        <f>IF(E19="",IF(E6="P",(-AK94*CZ94+AK94+AL94*CX94)/(2-CW94-CZ94),IF(E6="S",-AL94/CY94,0)),E19)</f>
        <v>0</v>
      </c>
      <c r="AJ24" s="29">
        <f>IF(E20="",IF(E6="P",(-AL94*CW94+AL94+AK94*CY94)/(2-CW94-CZ94),IF(E6="S",0,0)),E20)</f>
        <v>0</v>
      </c>
      <c r="AK24" s="29">
        <v>0</v>
      </c>
      <c r="AL24" s="29">
        <v>0</v>
      </c>
      <c r="AM24" s="29">
        <f>IF(E21="",IF(E6="P",(-AO94*DE94+AO94+AP94*DC94)/(2-DB94-DE94),IF(E6="S",-AP94/DD94,0)),E21)</f>
        <v>0</v>
      </c>
      <c r="AN24" s="29">
        <f>IF(E22="",IF(E6="P",(-AP94*DB94+AP94+AO94*DD94)/(2-DB94-DE94),IF(E6="S",0,0)),E22)</f>
        <v>0</v>
      </c>
      <c r="AO24" s="29">
        <v>0</v>
      </c>
      <c r="AP24" s="29">
        <v>0</v>
      </c>
      <c r="AQ24" s="32">
        <f t="shared" ref="AQ24" si="3">SQRT(AV24*V24/1000000000+AX24*AX24*AD24*AD24)*1000</f>
        <v>0.38798130340810622</v>
      </c>
      <c r="AR24" s="32">
        <f t="shared" ref="AR24" si="4">SQRT(AW24*Z24/1000000000)*1000</f>
        <v>9.6658369494284531E-3</v>
      </c>
      <c r="AS24" s="32">
        <f t="shared" ref="AS24" si="5">SQRT(AV24/1000000000*X24+AX24*AX24*AE24*AE24)*1000</f>
        <v>1.0266209066996939E-2</v>
      </c>
      <c r="AT24" s="32">
        <f t="shared" ref="AT24" si="6">SQRT(AW24/1000000000*AB24)*1000</f>
        <v>3.8291786652819848E-3</v>
      </c>
      <c r="AU24" s="7">
        <f t="shared" ref="AU24" si="7">SQRT((V24*AV24*0.000000001+AD24*AD24*AX24^2)*(X24*AV24*0.000000001+AE24*AE24*AX24^2)-(W24*AV24*0.000000001+AD24*AE24*AX24^2)^2)*1000000000</f>
        <v>3.9830971748735911</v>
      </c>
      <c r="AV24" s="34">
        <f>IF(T_Emitx="",0.000000000000384*(1957*E4)^2*DK94/DH94/(1-DJ94/DH94)*1000000000/(1+E9),T_Emitx)</f>
        <v>3.7012216628845733</v>
      </c>
      <c r="AW24" s="34">
        <f>IF(T_Emitz="",AV24*E9,T_Emitz)</f>
        <v>3.7012216628845733E-2</v>
      </c>
      <c r="AX24" s="34">
        <f>IF(T_EnSpread="",SQRT(0.000000000000384*(1957*E4)^2*DI94/DH94/(3-(1-DJ94/DH94))),T_EnSpread)</f>
        <v>1.0629909222129516E-3</v>
      </c>
      <c r="AY24" s="34"/>
      <c r="AZ24" s="34"/>
      <c r="BA24" s="29">
        <f>V24</f>
        <v>35.11760478118476</v>
      </c>
      <c r="BB24" s="29"/>
      <c r="BC24" s="29"/>
      <c r="BD24" s="29"/>
      <c r="BE24" s="29"/>
      <c r="BF24" s="29">
        <f>Z24</f>
        <v>2.5242585406279678</v>
      </c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32"/>
      <c r="CG24" s="32"/>
      <c r="CH24" s="29">
        <v>0</v>
      </c>
      <c r="CI24" s="35"/>
      <c r="CJ24" s="29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29"/>
      <c r="CW24" s="8">
        <v>1</v>
      </c>
      <c r="CX24" s="8">
        <v>0</v>
      </c>
      <c r="CY24" s="8">
        <v>0</v>
      </c>
      <c r="CZ24" s="8">
        <v>1</v>
      </c>
      <c r="DA24" s="29"/>
      <c r="DB24" s="8">
        <v>1</v>
      </c>
      <c r="DC24" s="8">
        <v>0</v>
      </c>
      <c r="DD24" s="8">
        <v>0</v>
      </c>
      <c r="DE24" s="8">
        <v>1</v>
      </c>
      <c r="DF24" s="8"/>
      <c r="DN24" s="356"/>
      <c r="DO24" s="356"/>
      <c r="DP24" s="425"/>
      <c r="DQ24" s="425"/>
      <c r="DR24" s="425"/>
      <c r="DS24" s="425"/>
      <c r="DT24" s="425"/>
      <c r="DU24" s="425"/>
      <c r="DV24" s="425"/>
      <c r="DW24" s="425"/>
      <c r="DX24" s="425"/>
      <c r="DY24" s="425"/>
      <c r="DZ24" s="425"/>
      <c r="EA24" s="425"/>
      <c r="EB24" s="29"/>
      <c r="EC24" s="29"/>
      <c r="ED24" s="29"/>
      <c r="EE24" s="33"/>
      <c r="EF24" s="33"/>
      <c r="EG24" s="33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W24" s="30"/>
      <c r="EX24" s="30"/>
      <c r="EY24" s="30"/>
      <c r="EZ24" s="30"/>
      <c r="FA24" s="30"/>
      <c r="FB24" s="30"/>
    </row>
    <row r="25" spans="1:229" s="7" customFormat="1" ht="15.75" customHeight="1" outlineLevel="1">
      <c r="A25" s="31"/>
      <c r="B25" s="31"/>
      <c r="C25" s="37" t="s">
        <v>567</v>
      </c>
      <c r="D25" s="25" t="s">
        <v>567</v>
      </c>
      <c r="E25" s="395">
        <v>3.0525600000000002</v>
      </c>
      <c r="F25" s="396"/>
      <c r="G25" s="396"/>
      <c r="H25" s="396"/>
      <c r="I25" s="540"/>
      <c r="K25" s="396"/>
      <c r="L25" s="396"/>
      <c r="M25" s="396"/>
      <c r="N25" s="525"/>
      <c r="O25" s="36"/>
      <c r="P25" s="458"/>
      <c r="Q25" s="458"/>
      <c r="R25" s="101">
        <f>R24+Vlength</f>
        <v>3.0525600000000002</v>
      </c>
      <c r="S25" s="101">
        <f>S24+U24*Vlength/SQRT(1+(U24)^2)</f>
        <v>0</v>
      </c>
      <c r="T25" s="101">
        <f>T24+Vlength/SQRT(1+(U24)^2)</f>
        <v>3.0525600000000002</v>
      </c>
      <c r="U25" s="101">
        <f>U24</f>
        <v>0</v>
      </c>
      <c r="V25" s="112">
        <f>V24*CK25*CK25-2*W24*CK25*CL25+X24*CL25*CL25</f>
        <v>35.382945273842516</v>
      </c>
      <c r="W25" s="112">
        <f>-CM25*CK25*V24+(CK25*CN25+CL25*CM25)*W24-X24*CL25*CN25</f>
        <v>-8.6923923741960174E-2</v>
      </c>
      <c r="X25" s="112">
        <f>(1+W25^2)/V25</f>
        <v>2.8475746174345527E-2</v>
      </c>
      <c r="Y25" s="112">
        <f>ATAN2(CN25*V25+CL25*W25,CL25)+Y24</f>
        <v>8.6705985225682472E-2</v>
      </c>
      <c r="Z25" s="112">
        <f>Z24*CR25*CR25-2*AA24*CR25*CS25+AB24*CS25*CS25</f>
        <v>6.2156880846404849</v>
      </c>
      <c r="AA25" s="112">
        <f>-CT25*CR25*Z24+(CR25*CU25+CS25*CT25)*AA24-AB24*CS25*CU25</f>
        <v>-1.2092897581087731</v>
      </c>
      <c r="AB25" s="112">
        <f>(1+AA25^2)/Z25</f>
        <v>0.39615593407132804</v>
      </c>
      <c r="AC25" s="112">
        <f>ATAN2(CU25*Z25+CS25*AA25,CS25)+AC24</f>
        <v>0.879847995036664</v>
      </c>
      <c r="AD25" s="101">
        <f>AD24+AE24*$CL25</f>
        <v>0.13486265405961981</v>
      </c>
      <c r="AE25" s="112">
        <f>AE24</f>
        <v>0</v>
      </c>
      <c r="AF25" s="238">
        <f>AF24</f>
        <v>5.1791503359447169E-4</v>
      </c>
      <c r="AG25" s="112">
        <f>AG24+AH24*$CL25</f>
        <v>0</v>
      </c>
      <c r="AH25" s="112">
        <f>AH24</f>
        <v>0</v>
      </c>
      <c r="AI25" s="112">
        <f>AI24+AJ24*$CL25</f>
        <v>0</v>
      </c>
      <c r="AJ25" s="112">
        <f>AJ24</f>
        <v>0</v>
      </c>
      <c r="AK25" s="112">
        <f>AK24+AL24*$CL25</f>
        <v>0</v>
      </c>
      <c r="AL25" s="112">
        <f>AL24</f>
        <v>0</v>
      </c>
      <c r="AM25" s="112">
        <f>AM24+AN24*$CS25</f>
        <v>0</v>
      </c>
      <c r="AN25" s="112">
        <f>AN24</f>
        <v>0</v>
      </c>
      <c r="AO25" s="112">
        <f>AO24+AP24*$CS25</f>
        <v>0</v>
      </c>
      <c r="AP25" s="112">
        <f>AP24</f>
        <v>0</v>
      </c>
      <c r="AQ25" s="101">
        <f t="shared" ref="AQ25:AQ56" si="8">SQRT(AV25*V25/1000000000+AX25*AX25*AD25*AD25)*1000</f>
        <v>0.38924487893062681</v>
      </c>
      <c r="AR25" s="101">
        <f t="shared" ref="AR25:AR56" si="9">SQRT(AW25*Z25/1000000000)*1000</f>
        <v>1.5167610025513209E-2</v>
      </c>
      <c r="AS25" s="101">
        <f t="shared" ref="AS25:AS56" si="10">SQRT(AV25/1000000000*X25+AX25*AX25*AE25*AE25)*1000</f>
        <v>1.0266209066996939E-2</v>
      </c>
      <c r="AT25" s="101">
        <f t="shared" ref="AT25:AT56" si="11">SQRT(AW25/1000000000*AB25)*1000</f>
        <v>3.8291786652819848E-3</v>
      </c>
      <c r="AU25" s="101">
        <f t="shared" ref="AU25:AU56" si="12">SQRT((V25*AV25*0.000000001+AD25*AD25*AX25^2)*(X25*AV25*0.000000001+AE25*AE25*AX25^2)-(W25*AV25*0.000000001+AD25*AE25*AX25^2)^2)*1000000000</f>
        <v>3.9830971748735911</v>
      </c>
      <c r="AV25" s="239">
        <f t="shared" ref="AV25:AX40" si="13">AV24</f>
        <v>3.7012216628845733</v>
      </c>
      <c r="AW25" s="239">
        <f t="shared" si="13"/>
        <v>3.7012216628845733E-2</v>
      </c>
      <c r="AX25" s="239">
        <f t="shared" si="13"/>
        <v>1.0629909222129516E-3</v>
      </c>
      <c r="AY25" s="434">
        <f>0.5*(AD24+AD25)</f>
        <v>0.13486265405961981</v>
      </c>
      <c r="AZ25" s="356">
        <f>0.5*(AE24+AE25)</f>
        <v>0</v>
      </c>
      <c r="BA25" s="425">
        <f>0.5*(V25+V24)-X24*Vlength*Vlength/6</f>
        <v>35.206051612070681</v>
      </c>
      <c r="BB25" s="356">
        <f t="shared" ref="BB25:BB56" si="14">0.5*(Y25+Y24)</f>
        <v>4.3352992612841236E-2</v>
      </c>
      <c r="BC25" s="434"/>
      <c r="BD25" s="434"/>
      <c r="BE25" s="434"/>
      <c r="BF25" s="425">
        <f>0.5*(Z25+Z24)-AB24*Vlength*Vlength/6</f>
        <v>3.7547350552988066</v>
      </c>
      <c r="BG25" s="434">
        <f t="shared" ref="BG25:BG56" si="15">0.5*(AC25+AC24)</f>
        <v>0.439923997518332</v>
      </c>
      <c r="BH25" s="434"/>
      <c r="BI25" s="434"/>
      <c r="BJ25" s="434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39"/>
      <c r="CB25" s="239"/>
      <c r="CC25" s="239"/>
      <c r="CD25" s="239"/>
      <c r="CE25" s="239"/>
      <c r="CF25" s="101"/>
      <c r="CG25" s="101"/>
      <c r="CH25" s="112">
        <f>E25</f>
        <v>3.0525600000000002</v>
      </c>
      <c r="CI25" s="240"/>
      <c r="CJ25" s="112"/>
      <c r="CK25" s="30">
        <v>1</v>
      </c>
      <c r="CL25" s="30">
        <f>E25</f>
        <v>3.0525600000000002</v>
      </c>
      <c r="CM25" s="30">
        <v>0</v>
      </c>
      <c r="CN25" s="30">
        <v>1</v>
      </c>
      <c r="CO25" s="112"/>
      <c r="CP25" s="112"/>
      <c r="CQ25" s="112"/>
      <c r="CR25" s="30">
        <v>1</v>
      </c>
      <c r="CS25" s="30">
        <f>CL25</f>
        <v>3.0525600000000002</v>
      </c>
      <c r="CT25" s="30">
        <v>0</v>
      </c>
      <c r="CU25" s="30">
        <v>1</v>
      </c>
      <c r="CV25" s="112"/>
      <c r="CW25" s="30">
        <f>CW24*CK25+CY24*CL25</f>
        <v>1</v>
      </c>
      <c r="CX25" s="30">
        <f>CX24*CK25+CZ24*CL25</f>
        <v>3.0525600000000002</v>
      </c>
      <c r="CY25" s="30">
        <f>CW24*CM25+CY24*CN25</f>
        <v>0</v>
      </c>
      <c r="CZ25" s="30">
        <f>CX24*CM25+CZ24*CN25</f>
        <v>1</v>
      </c>
      <c r="DA25" s="112"/>
      <c r="DB25" s="30">
        <f>DB24*CR25+DD24*CS25</f>
        <v>1</v>
      </c>
      <c r="DC25" s="30">
        <f>DC24*CR25+DE24*CS25</f>
        <v>3.0525600000000002</v>
      </c>
      <c r="DD25" s="30">
        <f>DB24*CT25+DD24*CU25</f>
        <v>0</v>
      </c>
      <c r="DE25" s="30">
        <f>DC24*CT25+DE24*CU25</f>
        <v>1</v>
      </c>
      <c r="DF25" s="30">
        <f>AZ25^2*Vlength</f>
        <v>0</v>
      </c>
      <c r="DG25" s="112"/>
      <c r="DH25" s="112"/>
      <c r="DI25" s="112"/>
      <c r="DJ25" s="112"/>
      <c r="DK25" s="112"/>
      <c r="DL25" s="36"/>
      <c r="DM25" s="36"/>
      <c r="DN25" s="356"/>
      <c r="DO25" s="356"/>
      <c r="DP25" s="425"/>
      <c r="DQ25" s="425"/>
      <c r="DR25" s="425"/>
      <c r="DS25" s="425"/>
      <c r="DT25" s="425"/>
      <c r="DU25" s="425"/>
      <c r="DV25" s="425"/>
      <c r="DW25" s="425"/>
      <c r="DX25" s="425"/>
      <c r="DY25" s="425"/>
      <c r="DZ25" s="425"/>
      <c r="EA25" s="425"/>
      <c r="EB25" s="112">
        <f>E25*(1/AQ25+1/AQ24)/2</f>
        <v>7.8550314888909654</v>
      </c>
      <c r="EC25" s="112">
        <f>E25*(1/AR25+1/AR24)/2</f>
        <v>258.53217504828035</v>
      </c>
      <c r="ED25" s="112">
        <f>E25*(AS25+AS24)/2</f>
        <v>3.1338219149552177E-2</v>
      </c>
      <c r="EE25" s="238">
        <f>(X25*AD25*AD25+2*W25*AD25*AE25+V25*AE25*AE25)*CH25</f>
        <v>1.580966714949141E-3</v>
      </c>
      <c r="EF25" s="112">
        <f>SQRT(VaveBetax/VaveBetaz*T_Coupling)</f>
        <v>0.30620974792043687</v>
      </c>
      <c r="EG25" s="112">
        <f>IF(EF25&lt;=1,EF25^(0.021-0.044*LN(EF25)),EF25^(-0.021-0.044*LN(EF25)))/(VaveBetax*VaveBetaz)^(1/4)</f>
        <v>0.27048459692260785</v>
      </c>
      <c r="EH25" s="239">
        <f t="shared" ref="EH25:ET25" si="16">$EG25*Vlength/SQRT(1+EH$7*EH$7/EH$8*1000000000/Vlength*$EE25)</f>
        <v>0.72327690689059188</v>
      </c>
      <c r="EI25" s="239" t="e">
        <f t="shared" si="16"/>
        <v>#DIV/0!</v>
      </c>
      <c r="EJ25" s="239" t="e">
        <f t="shared" si="16"/>
        <v>#DIV/0!</v>
      </c>
      <c r="EK25" s="239" t="e">
        <f t="shared" si="16"/>
        <v>#DIV/0!</v>
      </c>
      <c r="EL25" s="239" t="e">
        <f t="shared" si="16"/>
        <v>#DIV/0!</v>
      </c>
      <c r="EM25" s="239" t="e">
        <f t="shared" si="16"/>
        <v>#DIV/0!</v>
      </c>
      <c r="EN25" s="239" t="e">
        <f t="shared" si="16"/>
        <v>#DIV/0!</v>
      </c>
      <c r="EO25" s="239" t="e">
        <f t="shared" si="16"/>
        <v>#DIV/0!</v>
      </c>
      <c r="EP25" s="239" t="e">
        <f t="shared" si="16"/>
        <v>#DIV/0!</v>
      </c>
      <c r="EQ25" s="239" t="e">
        <f t="shared" si="16"/>
        <v>#DIV/0!</v>
      </c>
      <c r="ER25" s="239" t="e">
        <f t="shared" si="16"/>
        <v>#DIV/0!</v>
      </c>
      <c r="ES25" s="239" t="e">
        <f t="shared" si="16"/>
        <v>#DIV/0!</v>
      </c>
      <c r="ET25" s="239" t="e">
        <f t="shared" si="16"/>
        <v>#DIV/0!</v>
      </c>
      <c r="EU25" s="112">
        <f>Vlength*VaveBetaz</f>
        <v>11.461554040402925</v>
      </c>
      <c r="EW25" s="30"/>
      <c r="EX25" s="30"/>
      <c r="EY25" s="30"/>
      <c r="EZ25" s="30"/>
      <c r="FA25" s="30"/>
      <c r="FB25" s="30"/>
    </row>
    <row r="26" spans="1:229" s="129" customFormat="1" ht="15.75" customHeight="1" outlineLevel="1">
      <c r="A26" s="119"/>
      <c r="B26" s="119"/>
      <c r="C26" s="120"/>
      <c r="D26" s="121" t="s">
        <v>729</v>
      </c>
      <c r="E26" s="521"/>
      <c r="F26" s="400"/>
      <c r="G26" s="400"/>
      <c r="H26" s="400"/>
      <c r="I26" s="511"/>
      <c r="J26" s="400"/>
      <c r="K26" s="400"/>
      <c r="L26" s="400"/>
      <c r="M26" s="512"/>
      <c r="N26" s="526"/>
      <c r="O26" s="128"/>
      <c r="P26" s="457"/>
      <c r="Q26" s="457"/>
      <c r="R26" s="122">
        <f t="shared" ref="R26:AE26" si="17">R25</f>
        <v>3.0525600000000002</v>
      </c>
      <c r="S26" s="122">
        <f t="shared" si="17"/>
        <v>0</v>
      </c>
      <c r="T26" s="122">
        <f t="shared" si="17"/>
        <v>3.0525600000000002</v>
      </c>
      <c r="U26" s="122">
        <f t="shared" si="17"/>
        <v>0</v>
      </c>
      <c r="V26" s="123">
        <f t="shared" si="17"/>
        <v>35.382945273842516</v>
      </c>
      <c r="W26" s="123">
        <f t="shared" si="17"/>
        <v>-8.6923923741960174E-2</v>
      </c>
      <c r="X26" s="123">
        <f t="shared" si="17"/>
        <v>2.8475746174345527E-2</v>
      </c>
      <c r="Y26" s="123">
        <f t="shared" si="17"/>
        <v>8.6705985225682472E-2</v>
      </c>
      <c r="Z26" s="123">
        <f t="shared" si="17"/>
        <v>6.2156880846404849</v>
      </c>
      <c r="AA26" s="123">
        <f t="shared" si="17"/>
        <v>-1.2092897581087731</v>
      </c>
      <c r="AB26" s="123">
        <f t="shared" si="17"/>
        <v>0.39615593407132804</v>
      </c>
      <c r="AC26" s="123">
        <f t="shared" si="17"/>
        <v>0.879847995036664</v>
      </c>
      <c r="AD26" s="123">
        <f t="shared" si="17"/>
        <v>0.13486265405961981</v>
      </c>
      <c r="AE26" s="123">
        <f t="shared" si="17"/>
        <v>0</v>
      </c>
      <c r="AF26" s="124">
        <f>AF25</f>
        <v>5.1791503359447169E-4</v>
      </c>
      <c r="AG26" s="123">
        <f t="shared" ref="AG26:AP26" si="18">AG25</f>
        <v>0</v>
      </c>
      <c r="AH26" s="123">
        <f t="shared" si="18"/>
        <v>0</v>
      </c>
      <c r="AI26" s="123">
        <f t="shared" si="18"/>
        <v>0</v>
      </c>
      <c r="AJ26" s="123">
        <f t="shared" si="18"/>
        <v>0</v>
      </c>
      <c r="AK26" s="123">
        <f t="shared" si="18"/>
        <v>0</v>
      </c>
      <c r="AL26" s="123">
        <f t="shared" si="18"/>
        <v>0</v>
      </c>
      <c r="AM26" s="123">
        <f t="shared" si="18"/>
        <v>0</v>
      </c>
      <c r="AN26" s="123">
        <f t="shared" si="18"/>
        <v>0</v>
      </c>
      <c r="AO26" s="123">
        <f t="shared" si="18"/>
        <v>0</v>
      </c>
      <c r="AP26" s="123">
        <f t="shared" si="18"/>
        <v>0</v>
      </c>
      <c r="AQ26" s="122">
        <f t="shared" si="8"/>
        <v>0.38924487893062681</v>
      </c>
      <c r="AR26" s="122">
        <f t="shared" si="9"/>
        <v>1.5167610025513209E-2</v>
      </c>
      <c r="AS26" s="122">
        <f t="shared" si="10"/>
        <v>1.0266209066996939E-2</v>
      </c>
      <c r="AT26" s="122">
        <f t="shared" si="11"/>
        <v>3.8291786652819848E-3</v>
      </c>
      <c r="AU26" s="122">
        <f t="shared" si="12"/>
        <v>3.9830971748735911</v>
      </c>
      <c r="AV26" s="125">
        <f t="shared" si="13"/>
        <v>3.7012216628845733</v>
      </c>
      <c r="AW26" s="125">
        <f t="shared" si="13"/>
        <v>3.7012216628845733E-2</v>
      </c>
      <c r="AX26" s="125">
        <f t="shared" si="13"/>
        <v>1.0629909222129516E-3</v>
      </c>
      <c r="AY26" s="426">
        <f>AD26</f>
        <v>0.13486265405961981</v>
      </c>
      <c r="AZ26" s="426">
        <f>0.5*(AE25+AE26)</f>
        <v>0</v>
      </c>
      <c r="BA26" s="427">
        <f>V26</f>
        <v>35.382945273842516</v>
      </c>
      <c r="BB26" s="426">
        <f t="shared" si="14"/>
        <v>8.6705985225682472E-2</v>
      </c>
      <c r="BC26" s="467"/>
      <c r="BD26" s="467"/>
      <c r="BE26" s="467"/>
      <c r="BF26" s="427">
        <f>Z26</f>
        <v>6.2156880846404849</v>
      </c>
      <c r="BG26" s="467">
        <f t="shared" si="15"/>
        <v>0.879847995036664</v>
      </c>
      <c r="BH26" s="467"/>
      <c r="BI26" s="467"/>
      <c r="BJ26" s="467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2"/>
      <c r="CG26" s="122"/>
      <c r="CH26" s="123"/>
      <c r="CI26" s="126"/>
      <c r="CJ26" s="123"/>
      <c r="CK26" s="127"/>
      <c r="CL26" s="127"/>
      <c r="CM26" s="127"/>
      <c r="CN26" s="127"/>
      <c r="CO26" s="123"/>
      <c r="CP26" s="123"/>
      <c r="CQ26" s="123"/>
      <c r="CR26" s="127"/>
      <c r="CS26" s="127"/>
      <c r="CT26" s="127"/>
      <c r="CU26" s="127"/>
      <c r="CV26" s="123"/>
      <c r="CW26" s="127">
        <f t="shared" ref="CW26:CZ26" si="19">CW25</f>
        <v>1</v>
      </c>
      <c r="CX26" s="127">
        <f t="shared" si="19"/>
        <v>3.0525600000000002</v>
      </c>
      <c r="CY26" s="127">
        <f t="shared" si="19"/>
        <v>0</v>
      </c>
      <c r="CZ26" s="127">
        <f t="shared" si="19"/>
        <v>1</v>
      </c>
      <c r="DA26" s="123"/>
      <c r="DB26" s="127">
        <f t="shared" ref="DB26:DE26" si="20">DB25</f>
        <v>1</v>
      </c>
      <c r="DC26" s="127">
        <f t="shared" si="20"/>
        <v>3.0525600000000002</v>
      </c>
      <c r="DD26" s="127">
        <f t="shared" si="20"/>
        <v>0</v>
      </c>
      <c r="DE26" s="127">
        <f t="shared" si="20"/>
        <v>1</v>
      </c>
      <c r="DF26" s="127"/>
      <c r="DG26" s="123"/>
      <c r="DH26" s="123"/>
      <c r="DI26" s="123"/>
      <c r="DJ26" s="123"/>
      <c r="DK26" s="123"/>
      <c r="DL26" s="128"/>
      <c r="DM26" s="128"/>
      <c r="DN26" s="426"/>
      <c r="DO26" s="426"/>
      <c r="DP26" s="427"/>
      <c r="DQ26" s="427"/>
      <c r="DR26" s="427"/>
      <c r="DS26" s="427"/>
      <c r="DT26" s="427"/>
      <c r="DU26" s="427"/>
      <c r="DV26" s="427"/>
      <c r="DW26" s="427"/>
      <c r="DX26" s="427"/>
      <c r="DY26" s="427"/>
      <c r="DZ26" s="427"/>
      <c r="EA26" s="427"/>
      <c r="EB26" s="123"/>
      <c r="EC26" s="123"/>
      <c r="ED26" s="123"/>
      <c r="EE26" s="124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W26" s="127"/>
      <c r="EX26" s="127"/>
      <c r="EY26" s="127"/>
      <c r="EZ26" s="127"/>
      <c r="FA26" s="127"/>
      <c r="FB26" s="127"/>
    </row>
    <row r="27" spans="1:229" s="7" customFormat="1" ht="15.75" customHeight="1" outlineLevel="1">
      <c r="A27" s="31"/>
      <c r="B27" s="31"/>
      <c r="C27" s="37"/>
      <c r="D27" s="25" t="s">
        <v>567</v>
      </c>
      <c r="E27" s="395">
        <v>9.7975000000000007E-2</v>
      </c>
      <c r="F27" s="396"/>
      <c r="G27" s="396"/>
      <c r="H27" s="396"/>
      <c r="I27" s="540"/>
      <c r="K27" s="396"/>
      <c r="L27" s="396"/>
      <c r="M27" s="396"/>
      <c r="N27" s="525"/>
      <c r="O27" s="36"/>
      <c r="P27" s="458"/>
      <c r="Q27" s="458"/>
      <c r="R27" s="101">
        <f>R26+Vlength</f>
        <v>3.1505350000000001</v>
      </c>
      <c r="S27" s="101">
        <f>S26+U26*Vlength/SQRT(1+(U26)^2)</f>
        <v>0</v>
      </c>
      <c r="T27" s="101">
        <f>T26+Vlength/SQRT(1+(U26)^2)</f>
        <v>3.1505350000000001</v>
      </c>
      <c r="U27" s="101">
        <f>U26</f>
        <v>0</v>
      </c>
      <c r="V27" s="112">
        <f t="shared" ref="V27:V33" si="21">V26*CK27*CK27-2*W26*CK27*CL27+X26*CL27*CL27</f>
        <v>35.400251358252653</v>
      </c>
      <c r="W27" s="112">
        <f t="shared" ref="W27:W33" si="22">-CM27*CK27*V26+(CK27*CN27+CL27*CM27)*W26-X26*CL27*CN27</f>
        <v>-8.9713834973391679E-2</v>
      </c>
      <c r="X27" s="112">
        <f t="shared" ref="X27:X33" si="23">(1+W27^2)/V27</f>
        <v>2.8475746174345524E-2</v>
      </c>
      <c r="Y27" s="112">
        <f t="shared" ref="Y27:Y33" si="24">ATAN2(CN27*V27+CL27*W27,CL27)+Y26</f>
        <v>8.9474301230891173E-2</v>
      </c>
      <c r="Z27" s="112">
        <f t="shared" ref="Z27:Z33" si="25">Z26*CR27*CR27-2*AA26*CR27*CS27+AB26*CS27*CS27</f>
        <v>6.456451153416241</v>
      </c>
      <c r="AA27" s="112">
        <f t="shared" ref="AA27:AA33" si="26">-CT27*CR27*Z26+(CR27*CU27+CS27*CT27)*AA26-AB26*CS27*CU27</f>
        <v>-1.2481031357494115</v>
      </c>
      <c r="AB27" s="112">
        <f t="shared" ref="AB27:AB33" si="27">(1+AA27^2)/Z27</f>
        <v>0.39615593407132799</v>
      </c>
      <c r="AC27" s="112">
        <f t="shared" ref="AC27:AC33" si="28">ATAN2(CU27*Z27+CS27*AA27,CS27)+AC26</f>
        <v>0.89531445942148336</v>
      </c>
      <c r="AD27" s="101">
        <f>AD26+AE26*$CL27</f>
        <v>0.13486265405961981</v>
      </c>
      <c r="AE27" s="112">
        <f>AE26</f>
        <v>0</v>
      </c>
      <c r="AF27" s="238">
        <f>AF26</f>
        <v>5.1791503359447169E-4</v>
      </c>
      <c r="AG27" s="112">
        <f>AG26+AH26*$CL27</f>
        <v>0</v>
      </c>
      <c r="AH27" s="112">
        <f>AH26</f>
        <v>0</v>
      </c>
      <c r="AI27" s="112">
        <f>AI26+AJ26*$CL27</f>
        <v>0</v>
      </c>
      <c r="AJ27" s="112">
        <f>AJ26</f>
        <v>0</v>
      </c>
      <c r="AK27" s="112">
        <f>AK26+AL26*$CL27</f>
        <v>0</v>
      </c>
      <c r="AL27" s="112">
        <f>AL26</f>
        <v>0</v>
      </c>
      <c r="AM27" s="112">
        <f>AM26+AN26*$CS27</f>
        <v>0</v>
      </c>
      <c r="AN27" s="112">
        <f>AN26</f>
        <v>0</v>
      </c>
      <c r="AO27" s="112">
        <f>AO26+AP26*$CS27</f>
        <v>0</v>
      </c>
      <c r="AP27" s="112">
        <f>AP26</f>
        <v>0</v>
      </c>
      <c r="AQ27" s="101">
        <f t="shared" si="8"/>
        <v>0.38932714961615106</v>
      </c>
      <c r="AR27" s="101">
        <f t="shared" si="9"/>
        <v>1.5458575896369071E-2</v>
      </c>
      <c r="AS27" s="101">
        <f t="shared" si="10"/>
        <v>1.0266209066996939E-2</v>
      </c>
      <c r="AT27" s="101">
        <f t="shared" si="11"/>
        <v>3.8291786652819848E-3</v>
      </c>
      <c r="AU27" s="101">
        <f t="shared" si="12"/>
        <v>3.9830971748735911</v>
      </c>
      <c r="AV27" s="239">
        <f t="shared" si="13"/>
        <v>3.7012216628845733</v>
      </c>
      <c r="AW27" s="239">
        <f t="shared" si="13"/>
        <v>3.7012216628845733E-2</v>
      </c>
      <c r="AX27" s="239">
        <f t="shared" si="13"/>
        <v>1.0629909222129516E-3</v>
      </c>
      <c r="AY27" s="434">
        <f>0.5*(AD26+AD27)</f>
        <v>0.13486265405961981</v>
      </c>
      <c r="AZ27" s="356">
        <f>0.5*(AE26+AE27)</f>
        <v>0</v>
      </c>
      <c r="BA27" s="425">
        <f>0.5*(V27+V26)-X26*Vlength*Vlength/6</f>
        <v>35.391552759122099</v>
      </c>
      <c r="BB27" s="356">
        <f t="shared" si="14"/>
        <v>8.8090143228286816E-2</v>
      </c>
      <c r="BC27" s="434"/>
      <c r="BD27" s="434"/>
      <c r="BE27" s="434"/>
      <c r="BF27" s="425">
        <f>0.5*(Z27+Z26)-AB26*Vlength*Vlength/6</f>
        <v>6.3354358289159727</v>
      </c>
      <c r="BG27" s="434">
        <f t="shared" si="15"/>
        <v>0.88758122722907373</v>
      </c>
      <c r="BH27" s="434"/>
      <c r="BI27" s="434"/>
      <c r="BJ27" s="434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39"/>
      <c r="CB27" s="239"/>
      <c r="CC27" s="239"/>
      <c r="CD27" s="239"/>
      <c r="CE27" s="239"/>
      <c r="CF27" s="101"/>
      <c r="CG27" s="101"/>
      <c r="CH27" s="112">
        <f>E27</f>
        <v>9.7975000000000007E-2</v>
      </c>
      <c r="CI27" s="240"/>
      <c r="CJ27" s="112"/>
      <c r="CK27" s="30">
        <v>1</v>
      </c>
      <c r="CL27" s="30">
        <f>E27</f>
        <v>9.7975000000000007E-2</v>
      </c>
      <c r="CM27" s="30">
        <v>0</v>
      </c>
      <c r="CN27" s="30">
        <v>1</v>
      </c>
      <c r="CO27" s="112"/>
      <c r="CP27" s="112"/>
      <c r="CQ27" s="112"/>
      <c r="CR27" s="30">
        <v>1</v>
      </c>
      <c r="CS27" s="30">
        <f>CL27</f>
        <v>9.7975000000000007E-2</v>
      </c>
      <c r="CT27" s="30">
        <v>0</v>
      </c>
      <c r="CU27" s="30">
        <v>1</v>
      </c>
      <c r="CV27" s="112"/>
      <c r="CW27" s="30">
        <f t="shared" ref="CW27:CW33" si="29">CW26*CK27+CY26*CL27</f>
        <v>1</v>
      </c>
      <c r="CX27" s="30">
        <f t="shared" ref="CX27:CX33" si="30">CX26*CK27+CZ26*CL27</f>
        <v>3.1505350000000001</v>
      </c>
      <c r="CY27" s="30">
        <f t="shared" ref="CY27:CY33" si="31">CW26*CM27+CY26*CN27</f>
        <v>0</v>
      </c>
      <c r="CZ27" s="30">
        <f t="shared" ref="CZ27:CZ33" si="32">CX26*CM27+CZ26*CN27</f>
        <v>1</v>
      </c>
      <c r="DA27" s="112"/>
      <c r="DB27" s="30">
        <f t="shared" ref="DB27:DB33" si="33">DB26*CR27+DD26*CS27</f>
        <v>1</v>
      </c>
      <c r="DC27" s="30">
        <f t="shared" ref="DC27:DC33" si="34">DC26*CR27+DE26*CS27</f>
        <v>3.1505350000000001</v>
      </c>
      <c r="DD27" s="30">
        <f t="shared" ref="DD27:DD33" si="35">DB26*CT27+DD26*CU27</f>
        <v>0</v>
      </c>
      <c r="DE27" s="30">
        <f t="shared" ref="DE27:DE33" si="36">DC26*CT27+DE26*CU27</f>
        <v>1</v>
      </c>
      <c r="DF27" s="30">
        <f>AZ27^2*Vlength</f>
        <v>0</v>
      </c>
      <c r="DG27" s="112"/>
      <c r="DH27" s="112"/>
      <c r="DI27" s="112"/>
      <c r="DJ27" s="112"/>
      <c r="DK27" s="112"/>
      <c r="DL27" s="36"/>
      <c r="DM27" s="36"/>
      <c r="DN27" s="356"/>
      <c r="DO27" s="356"/>
      <c r="DP27" s="425"/>
      <c r="DQ27" s="425"/>
      <c r="DR27" s="425"/>
      <c r="DS27" s="425"/>
      <c r="DT27" s="425"/>
      <c r="DU27" s="425"/>
      <c r="DV27" s="425"/>
      <c r="DW27" s="425"/>
      <c r="DX27" s="425"/>
      <c r="DY27" s="425"/>
      <c r="DZ27" s="425"/>
      <c r="EA27" s="425"/>
      <c r="EB27" s="112">
        <f>E27*(1/AQ27+1/AQ26)/2</f>
        <v>0.25167870794651803</v>
      </c>
      <c r="EC27" s="112">
        <f>E27*(1/AR27+1/AR26)/2</f>
        <v>6.3986971366028156</v>
      </c>
      <c r="ED27" s="112">
        <f>E27*(AS27+AS26)/2</f>
        <v>1.0058318333390252E-3</v>
      </c>
      <c r="EE27" s="238">
        <f>(X27*AD27*AD27+2*W27*AD27*AE27+V27*AE27*AE27)*CH27</f>
        <v>5.0742725416418378E-5</v>
      </c>
      <c r="EF27" s="112">
        <f>SQRT(VaveBetax/VaveBetaz*T_Coupling)</f>
        <v>0.23635324016145018</v>
      </c>
      <c r="EG27" s="112">
        <f>IF(EF27&lt;=1,EF27^(0.021-0.044*LN(EF27)),EF27^(-0.021-0.044*LN(EF27)))/(VaveBetax*VaveBetaz)^(1/4)</f>
        <v>0.22877981599003119</v>
      </c>
      <c r="EH27" s="239">
        <f t="shared" ref="EH27:ET29" si="37">$EG27*Vlength/SQRT(1+EH$7*EH$7/EH$8*1000000000/Vlength*$EE27)</f>
        <v>1.963499656913795E-2</v>
      </c>
      <c r="EI27" s="239" t="e">
        <f t="shared" si="37"/>
        <v>#DIV/0!</v>
      </c>
      <c r="EJ27" s="239" t="e">
        <f t="shared" si="37"/>
        <v>#DIV/0!</v>
      </c>
      <c r="EK27" s="239" t="e">
        <f t="shared" si="37"/>
        <v>#DIV/0!</v>
      </c>
      <c r="EL27" s="239" t="e">
        <f t="shared" si="37"/>
        <v>#DIV/0!</v>
      </c>
      <c r="EM27" s="239" t="e">
        <f t="shared" si="37"/>
        <v>#DIV/0!</v>
      </c>
      <c r="EN27" s="239" t="e">
        <f t="shared" si="37"/>
        <v>#DIV/0!</v>
      </c>
      <c r="EO27" s="239" t="e">
        <f t="shared" si="37"/>
        <v>#DIV/0!</v>
      </c>
      <c r="EP27" s="239" t="e">
        <f t="shared" si="37"/>
        <v>#DIV/0!</v>
      </c>
      <c r="EQ27" s="239" t="e">
        <f t="shared" si="37"/>
        <v>#DIV/0!</v>
      </c>
      <c r="ER27" s="239" t="e">
        <f t="shared" si="37"/>
        <v>#DIV/0!</v>
      </c>
      <c r="ES27" s="239" t="e">
        <f t="shared" si="37"/>
        <v>#DIV/0!</v>
      </c>
      <c r="ET27" s="239" t="e">
        <f t="shared" si="37"/>
        <v>#DIV/0!</v>
      </c>
      <c r="EU27" s="112">
        <f>Vlength*VaveBetaz</f>
        <v>0.62071432533804249</v>
      </c>
      <c r="EW27" s="30"/>
      <c r="EX27" s="30"/>
      <c r="EY27" s="30"/>
      <c r="EZ27" s="30"/>
      <c r="FA27" s="30"/>
      <c r="FB27" s="30"/>
    </row>
    <row r="28" spans="1:229" s="42" customFormat="1" ht="15.75" customHeight="1" outlineLevel="1">
      <c r="A28" s="39"/>
      <c r="B28" s="39"/>
      <c r="C28" s="40" t="s">
        <v>568</v>
      </c>
      <c r="D28" s="41" t="s">
        <v>670</v>
      </c>
      <c r="E28" s="392">
        <v>0.43804999999999999</v>
      </c>
      <c r="F28" s="393">
        <v>-0.114</v>
      </c>
      <c r="G28" s="392"/>
      <c r="H28" s="507"/>
      <c r="I28" s="541"/>
      <c r="J28" s="536"/>
      <c r="K28" s="394"/>
      <c r="L28" s="394"/>
      <c r="M28" s="507"/>
      <c r="N28" s="527"/>
      <c r="O28" s="429">
        <f>T_Energy/0.2998*F28</f>
        <v>-2.2967311541027353</v>
      </c>
      <c r="P28" s="459">
        <f>2*T_Energy/0.2998*G28</f>
        <v>0</v>
      </c>
      <c r="Q28" s="459">
        <f>O28*Vlength</f>
        <v>-1.0060830820547031</v>
      </c>
      <c r="R28" s="44">
        <f>R27+Vlength</f>
        <v>3.5885850000000001</v>
      </c>
      <c r="S28" s="44">
        <f>S27+U27*Vlength/SQRT(1+(U27)^2)</f>
        <v>0</v>
      </c>
      <c r="T28" s="44">
        <f>T27+Vlength/SQRT(1+(U27)^2)</f>
        <v>3.5885850000000001</v>
      </c>
      <c r="U28" s="44">
        <f>U27</f>
        <v>0</v>
      </c>
      <c r="V28" s="45">
        <f t="shared" si="21"/>
        <v>36.26555606045617</v>
      </c>
      <c r="W28" s="45">
        <f t="shared" si="22"/>
        <v>-1.9000249931468658</v>
      </c>
      <c r="X28" s="45">
        <f t="shared" si="23"/>
        <v>0.12712048222554562</v>
      </c>
      <c r="Y28" s="45">
        <f t="shared" si="24"/>
        <v>0.10174492011301083</v>
      </c>
      <c r="Z28" s="45">
        <f t="shared" si="25"/>
        <v>7.4692928846458289</v>
      </c>
      <c r="AA28" s="45">
        <f t="shared" si="26"/>
        <v>-1.0471726621841317</v>
      </c>
      <c r="AB28" s="45">
        <f t="shared" si="27"/>
        <v>0.28069197671115487</v>
      </c>
      <c r="AC28" s="45">
        <f t="shared" si="28"/>
        <v>0.95820550271750282</v>
      </c>
      <c r="AD28" s="44">
        <f>AD27*$CK28+AE27*$CL28</f>
        <v>0.13634041938920313</v>
      </c>
      <c r="AE28" s="45">
        <f>AD27*$CM28+AE27*$CN28</f>
        <v>6.7593115707872253E-3</v>
      </c>
      <c r="AF28" s="46">
        <f>AF27</f>
        <v>5.1791503359447169E-4</v>
      </c>
      <c r="AG28" s="45">
        <f>AG27*$CK28+AH27*$CL28</f>
        <v>0</v>
      </c>
      <c r="AH28" s="45">
        <f>AG27*$CM28+AH27*$CN28</f>
        <v>0</v>
      </c>
      <c r="AI28" s="45">
        <f>AI27*$CK28+AJ27*$CL28+0.001*(1-$CK28)*$K28</f>
        <v>0</v>
      </c>
      <c r="AJ28" s="45">
        <f>AI27*$CM28+AJ27*$CN28-0.001*$CM28*$K28</f>
        <v>0</v>
      </c>
      <c r="AK28" s="45">
        <f>AK27*$CK28+AL27*$CL28+0.001*(1-$CK28)*$K28</f>
        <v>0</v>
      </c>
      <c r="AL28" s="45">
        <f>AK27*$CM28+AL27*$CN28-0.001*$CM28*$K28</f>
        <v>0</v>
      </c>
      <c r="AM28" s="45">
        <f>AM27*$CR28+AN27*$CS28+0.001*(1-$CR28)*$L28</f>
        <v>0</v>
      </c>
      <c r="AN28" s="45">
        <f>AM27*$CT28+AN27*$CU28-0.001*$CT28*$L28</f>
        <v>0</v>
      </c>
      <c r="AO28" s="45">
        <f>AO27*$CR28+AP27*$CS28+0.001*(1-$CR28)*$L28</f>
        <v>0</v>
      </c>
      <c r="AP28" s="45">
        <f>AO27*$CT28+AP27*$CU28-0.001*$CT28*$L28</f>
        <v>0</v>
      </c>
      <c r="AQ28" s="44">
        <f t="shared" si="8"/>
        <v>0.39399386919401685</v>
      </c>
      <c r="AR28" s="44">
        <f t="shared" si="9"/>
        <v>1.66269385730148E-2</v>
      </c>
      <c r="AS28" s="44">
        <f t="shared" si="10"/>
        <v>2.2850088741843057E-2</v>
      </c>
      <c r="AT28" s="44">
        <f t="shared" si="11"/>
        <v>3.2232021729969381E-3</v>
      </c>
      <c r="AU28" s="44">
        <f t="shared" si="12"/>
        <v>6.7199084458189589</v>
      </c>
      <c r="AV28" s="47">
        <f t="shared" si="13"/>
        <v>3.7012216628845733</v>
      </c>
      <c r="AW28" s="47">
        <f t="shared" si="13"/>
        <v>3.7012216628845733E-2</v>
      </c>
      <c r="AX28" s="47">
        <f t="shared" si="13"/>
        <v>1.0629909222129516E-3</v>
      </c>
      <c r="AY28" s="43">
        <f>IF(VKl=0,0.5*(AD27+AD28),(AE28-AE27)/CJ28/Vlength)</f>
        <v>0.13535488360071099</v>
      </c>
      <c r="AZ28" s="43">
        <f>IF(VKl=0,AE28,(AD28-AD27)/Vlength)</f>
        <v>3.3735083428451658E-3</v>
      </c>
      <c r="BA28" s="429">
        <f>IF($CJ28=0,0.5*(V28+V27)-X27*Vlength*Vlength/6,-0.5*(($X28-$CJ28*$V28)*Vlength+($W28-$W27))/$CJ28/Vlength)</f>
        <v>35.700928254753585</v>
      </c>
      <c r="BB28" s="428">
        <f t="shared" si="14"/>
        <v>9.5609610671951006E-2</v>
      </c>
      <c r="BC28" s="43">
        <f>IF(CJ28=0,AY28*BA28-(2*W27-X27*Vlength)*AE27*Vlength*Vlength/12,-(2*(X28-CJ28*V28)*AY28+(2*W28*AD28+V28*AE28-2*W27*AD27-V27*AE27)/Vlength)/3/CJ28)</f>
        <v>4.8324078596565734</v>
      </c>
      <c r="BD28" s="43"/>
      <c r="BE28" s="43"/>
      <c r="BF28" s="429">
        <f>IF($CQ28=0,0.5*(Z28+Z27)-AB27*Vlength*Vlength/6,-0.5*(($AB28-$CQ28*$Z28)*Vlength+$AA28-$AA27)/$CQ28/Vlength)</f>
        <v>6.9775630560596422</v>
      </c>
      <c r="BG28" s="43">
        <f t="shared" si="15"/>
        <v>0.92675998106949309</v>
      </c>
      <c r="BH28" s="43">
        <f>IF(CQ28=0,AY28*BF28-(2*AA27-AB27*Vlength)*AE27*Vlength*Vlength/12,-(2*(AB28-CQ28*Z28)*AY28+(2*AA28*AD28+Z28*AE28-2*AA27*AD27-Z27*AE27)/Vlength)/5/CQ28)</f>
        <v>0.94457137547606695</v>
      </c>
      <c r="BI28" s="43"/>
      <c r="BJ28" s="43"/>
      <c r="BK28" s="47"/>
      <c r="BL28" s="47"/>
      <c r="BM28" s="47"/>
      <c r="BN28" s="47"/>
      <c r="BO28" s="47"/>
      <c r="BP28" s="47">
        <f>VaveBetax*BR28</f>
        <v>3.1784551569366903</v>
      </c>
      <c r="BQ28" s="47">
        <f>VaveBetaz*BS28</f>
        <v>0.12141283828317082</v>
      </c>
      <c r="BR28" s="47">
        <f>VaveBetax*VKl^2</f>
        <v>8.9030042419512678E-2</v>
      </c>
      <c r="BS28" s="47">
        <f>VaveBetaz*VKl^2</f>
        <v>1.7400464504255569E-2</v>
      </c>
      <c r="BT28" s="47">
        <f>BS28*AY28^2</f>
        <v>3.1879294471007219E-4</v>
      </c>
      <c r="BU28" s="47">
        <f>(CJ28*(V28-V27))^2</f>
        <v>9.7307839506110983E-3</v>
      </c>
      <c r="BV28" s="47">
        <f>(CQ28*(Z28-Z27))^2</f>
        <v>1.3331925449271854E-2</v>
      </c>
      <c r="BW28" s="47">
        <f>1/VaveBetax*(CJ28*Vlength^3)^2</f>
        <v>2.5720079248939984E-6</v>
      </c>
      <c r="BX28" s="47">
        <f>1/VaveBetaz*(CQ28*Vlength^3)^2</f>
        <v>1.3159762177649519E-5</v>
      </c>
      <c r="BY28" s="47">
        <f>(CJ28*VaveBetax*(Y28-Y27))^2</f>
        <v>2.4940298900959002E-3</v>
      </c>
      <c r="BZ28" s="47">
        <f>(CQ28*VaveBetaz*(AC28-AC27))^2</f>
        <v>2.5026195968260827E-3</v>
      </c>
      <c r="CA28" s="45">
        <f>AY28^2*VaveBetaz*VHl^2</f>
        <v>0</v>
      </c>
      <c r="CB28" s="47">
        <f>VaveBetax*BS28</f>
        <v>0.62121273486581441</v>
      </c>
      <c r="CC28" s="45">
        <f>VaveBetax*VaveBetaz*VHl^2</f>
        <v>0</v>
      </c>
      <c r="CD28" s="45">
        <f>(VaveBetax*VHl)^2</f>
        <v>0</v>
      </c>
      <c r="CE28" s="45">
        <f>(VaveBetaz*VHl)^2</f>
        <v>0</v>
      </c>
      <c r="CF28" s="44">
        <f>$CQ28*Vlength</f>
        <v>-4.9937700000000002E-2</v>
      </c>
      <c r="CG28" s="44">
        <f>$G28*Vlength</f>
        <v>0</v>
      </c>
      <c r="CH28" s="45">
        <f>$E28</f>
        <v>0.43804999999999999</v>
      </c>
      <c r="CI28" s="48"/>
      <c r="CJ28" s="49">
        <f>-$CQ28</f>
        <v>0.114</v>
      </c>
      <c r="CK28" s="49">
        <f>IF(CJ28=0,1,IF(CJ28&gt;0,COSH(Vlength*SQRT(CJ28)),COS(Vlength*SQRT(-CJ28))))</f>
        <v>1.0109575578197507</v>
      </c>
      <c r="CL28" s="49">
        <f>IF(CJ28=0,Vlength,IF(CJ28&gt;0,SINH(Vlength*SQRT(CJ28))/SQRT(CJ28),SIN(Vlength*SQRT(-CJ28))/SQRT(-CJ28)))</f>
        <v>0.4396488203107709</v>
      </c>
      <c r="CM28" s="49">
        <f>CL28*CJ28</f>
        <v>5.0119965515427883E-2</v>
      </c>
      <c r="CN28" s="49">
        <f>CK28</f>
        <v>1.0109575578197507</v>
      </c>
      <c r="CO28" s="45"/>
      <c r="CP28" s="45"/>
      <c r="CQ28" s="49">
        <f>$F28-0.001*$G28*$K28</f>
        <v>-0.114</v>
      </c>
      <c r="CR28" s="49">
        <f>IF(CQ28=0,1,IF(CQ28&gt;0,COSH(Vlength*SQRT(CQ28)),COS(Vlength*SQRT(-CQ28))))</f>
        <v>0.98908231925744217</v>
      </c>
      <c r="CS28" s="49">
        <f>IF(CQ28=0,Vlength,IF(CQ28&gt;0,SINH(Vlength*SQRT(CQ28))/SQRT(CQ28),SIN(Vlength*SQRT(-CQ28))/SQRT(-CQ28)))</f>
        <v>0.4364546733195197</v>
      </c>
      <c r="CT28" s="49">
        <f>CS28*CQ28</f>
        <v>-4.9755832758425246E-2</v>
      </c>
      <c r="CU28" s="49">
        <f>CR28</f>
        <v>0.98908231925744217</v>
      </c>
      <c r="CV28" s="45"/>
      <c r="CW28" s="49">
        <f t="shared" si="29"/>
        <v>1.0109575578197507</v>
      </c>
      <c r="CX28" s="49">
        <f t="shared" si="30"/>
        <v>3.6247059897364191</v>
      </c>
      <c r="CY28" s="49">
        <f t="shared" si="31"/>
        <v>5.0119965515427883E-2</v>
      </c>
      <c r="CZ28" s="49">
        <f t="shared" si="32"/>
        <v>1.1688622633748993</v>
      </c>
      <c r="DA28" s="45"/>
      <c r="DB28" s="49">
        <f t="shared" si="33"/>
        <v>0.98908231925744217</v>
      </c>
      <c r="DC28" s="49">
        <f t="shared" si="34"/>
        <v>3.5525931380212654</v>
      </c>
      <c r="DD28" s="49">
        <f t="shared" si="35"/>
        <v>-4.9755832758425246E-2</v>
      </c>
      <c r="DE28" s="49">
        <f t="shared" si="36"/>
        <v>0.83232482669787689</v>
      </c>
      <c r="DF28" s="49">
        <f>AZ28^2*Vlength</f>
        <v>4.9852536681166826E-6</v>
      </c>
      <c r="DG28" s="45"/>
      <c r="DH28" s="45"/>
      <c r="DI28" s="45"/>
      <c r="DJ28" s="45"/>
      <c r="DK28" s="45"/>
      <c r="DL28" s="50"/>
      <c r="DM28" s="50"/>
      <c r="DN28" s="428">
        <f>-VKl*VaveBetax+2*VHl*$BC28</f>
        <v>1.782822244907408</v>
      </c>
      <c r="DO28" s="428">
        <f>VaveBetaz*VKl-2*VHl*$BH28</f>
        <v>-0.34844345062458959</v>
      </c>
      <c r="DP28" s="43" t="str">
        <f>IMPRODUCT(-1/8*(VaveBetax*VKl-2*$BC28*VHl),COMPLEX(COS(2*VmidMux),SIN(2*VmidMux)))</f>
        <v>0.21879089746951+0.0423545158350544i</v>
      </c>
      <c r="DQ28" s="429" t="str">
        <f>IMPRODUCT(1/8*(VaveBetaz*VKl-2*BH28*VHl),COMPLEX(COS(2*VmidMuz),SIN(2*VmidMuz)))</f>
        <v>0.012150753840052-0.0418262451015269i</v>
      </c>
      <c r="DR28" s="429" t="str">
        <f>IMPRODUCT(-1/2*SQRT(VaveBetax)*(VKl-2*VHl*$AY28)*AY28,COMPLEX(COS(VmidMux),SIN(VmidMux)))</f>
        <v>0.0201013028496042+0.00192775531972838i</v>
      </c>
      <c r="DS28" s="429" t="str">
        <f>IMPRODUCT(-1/8*VHl*VaveBetax^(3/2),COMPLEX(COS(VmidMux),SIN(VmidMux)))</f>
        <v>0</v>
      </c>
      <c r="DT28" s="429" t="str">
        <f>IMPRODUCT(-1/24*VHl*VaveBetax^(3/2),COMPLEX(COS(3*VmidMux),SIN(3*VmidMux)))</f>
        <v>0</v>
      </c>
      <c r="DU28" s="429" t="str">
        <f>IMPRODUCT(1/4*VHl*VaveBetax^(1/2)*VaveBetaz,COMPLEX(COS(VmidMux),SIN(VmidMux)))</f>
        <v>0</v>
      </c>
      <c r="DV28" s="429" t="str">
        <f>IMPRODUCT(1/8*VHl*VaveBetax^(1/2)*VaveBetaz,COMPLEX(COS(VmidMux-2*VmidMuz),SIN(VmidMux-2*VmidMuz)))</f>
        <v>0</v>
      </c>
      <c r="DW28" s="429" t="str">
        <f>IMPRODUCT(1/8*VHl*VaveBetax^(1/2)*VaveBetaz,COMPLEX(COS(VmidMux+2*VmidMuz),SIN(VmidMux+2*VmidMuz)))</f>
        <v>0</v>
      </c>
      <c r="DX28" s="429">
        <f>VaveBetax^2*F28^2*E28/8/PI()/2</f>
        <v>0.14435191462801059</v>
      </c>
      <c r="DY28" s="429">
        <f>2*VaveBetax*VaveBetaz*F28^2*E28/8/PI()</f>
        <v>0.11285136110664234</v>
      </c>
      <c r="DZ28" s="429">
        <f>VaveBetaz^2*F28^2*E28/8/PI()</f>
        <v>1.1028109443889706E-2</v>
      </c>
      <c r="EA28" s="429">
        <f>ABS(F28)</f>
        <v>0.114</v>
      </c>
      <c r="EB28" s="45">
        <f>E28*(1/AQ28+1/AQ27)/2</f>
        <v>1.1184828130023865</v>
      </c>
      <c r="EC28" s="45">
        <f>E28*(1/AR28+1/AR27)/2</f>
        <v>27.341410882152879</v>
      </c>
      <c r="ED28" s="45">
        <f>E28*(AS28+AS27)/2</f>
        <v>7.2532971275811806E-3</v>
      </c>
      <c r="EE28" s="46">
        <f>(X28*AD28*AD28+2*W28*AD28*AE28+V28*AE28*AE28)*CH28</f>
        <v>2.2687268046605832E-4</v>
      </c>
      <c r="EF28" s="45">
        <f>SQRT(VaveBetax/VaveBetaz*T_Coupling)</f>
        <v>0.22619753569445566</v>
      </c>
      <c r="EG28" s="45">
        <f>IF(EF28&lt;=1,EF28^(0.021-0.044*LN(EF28)),EF28^(-0.021-0.044*LN(EF28)))/(VaveBetax*VaveBetaz)^(1/4)</f>
        <v>0.22137695828571857</v>
      </c>
      <c r="EH28" s="47">
        <f t="shared" si="37"/>
        <v>8.4948155202866485E-2</v>
      </c>
      <c r="EI28" s="47" t="e">
        <f t="shared" si="37"/>
        <v>#DIV/0!</v>
      </c>
      <c r="EJ28" s="47" t="e">
        <f t="shared" si="37"/>
        <v>#DIV/0!</v>
      </c>
      <c r="EK28" s="47" t="e">
        <f t="shared" si="37"/>
        <v>#DIV/0!</v>
      </c>
      <c r="EL28" s="47" t="e">
        <f t="shared" si="37"/>
        <v>#DIV/0!</v>
      </c>
      <c r="EM28" s="47" t="e">
        <f t="shared" si="37"/>
        <v>#DIV/0!</v>
      </c>
      <c r="EN28" s="47" t="e">
        <f t="shared" si="37"/>
        <v>#DIV/0!</v>
      </c>
      <c r="EO28" s="47" t="e">
        <f t="shared" si="37"/>
        <v>#DIV/0!</v>
      </c>
      <c r="EP28" s="47" t="e">
        <f t="shared" si="37"/>
        <v>#DIV/0!</v>
      </c>
      <c r="EQ28" s="47" t="e">
        <f t="shared" si="37"/>
        <v>#DIV/0!</v>
      </c>
      <c r="ER28" s="47" t="e">
        <f t="shared" si="37"/>
        <v>#DIV/0!</v>
      </c>
      <c r="ES28" s="47" t="e">
        <f t="shared" si="37"/>
        <v>#DIV/0!</v>
      </c>
      <c r="ET28" s="47" t="e">
        <f t="shared" si="37"/>
        <v>#DIV/0!</v>
      </c>
      <c r="EU28" s="45">
        <f>Vlength*VaveBetaz</f>
        <v>3.0565214967069263</v>
      </c>
      <c r="EW28" s="49" t="str">
        <f>IMPRODUCT(VKl*VaveBetax^(ABS(EW$5)/2)*VaveBetaz^(ABS(EW$6)/2),COMPLEX(COS(EW$5*VmidMux+EW$6*VmidMuz+EW$23*$R28),SIN(EW$5*VmidMux+EW$6*VmidMuz+EW$23*$R28)))</f>
        <v>0.125683645318733-0.32498686063065i</v>
      </c>
      <c r="EX28" s="49" t="str">
        <f>IMPRODUCT(VKl*VaveBetax^(ABS(EX$5)/2)*VaveBetaz^(ABS(EX$6)/2),COMPLEX(COS(EX$5*VmidMux+EX$6*VmidMuz+EX$23*$R28),SIN(EX$5*VmidMux+EX$6*VmidMuz+EX$23*$R28)))</f>
        <v>-1.65579676770069-0.660902580573447i</v>
      </c>
      <c r="EY28" s="49" t="str">
        <f>IMPRODUCT(VHl*VaveBetax^(ABS(EY$5)/2)*VaveBetaz^(ABS(EY$6)/2),COMPLEX(COS(EY$5*VmidMux+EY$6*VmidMuz+EY$23*$R28),SIN(EY$5*VmidMux+EY$6*VmidMuz+EY$23*$R28)))</f>
        <v>0</v>
      </c>
      <c r="EZ28" s="49" t="str">
        <f>IMPRODUCT(VHl*VaveBetax^(ABS(EZ$5)/2)*VaveBetaz^(ABS(EZ$6)/2),COMPLEX(COS(EZ$5*VmidMux+EZ$6*VmidMuz+EZ$23*$R28),SIN(EZ$5*VmidMux+EZ$6*VmidMuz+EZ$23*$R28)))</f>
        <v>0</v>
      </c>
      <c r="FA28" s="49" t="str">
        <f>IMPRODUCT(VHl*VaveBetax^(ABS(FA$5)/2)*VaveBetaz^(ABS(FA$6)/2),COMPLEX(COS(FA$5*VmidMux+FA$6*VmidMuz+FA$23*$R28),SIN(FA$5*VmidMux+FA$6*VmidMuz+FA$23*$R28)))</f>
        <v>0</v>
      </c>
      <c r="FB28" s="49"/>
    </row>
    <row r="29" spans="1:229" s="7" customFormat="1" ht="15.75" customHeight="1" outlineLevel="1">
      <c r="A29" s="31"/>
      <c r="B29" s="31"/>
      <c r="C29" s="37"/>
      <c r="D29" s="25" t="s">
        <v>567</v>
      </c>
      <c r="E29" s="395">
        <v>0.33097500000000002</v>
      </c>
      <c r="F29" s="396"/>
      <c r="G29" s="396"/>
      <c r="H29" s="396"/>
      <c r="I29" s="540"/>
      <c r="K29" s="396"/>
      <c r="L29" s="396"/>
      <c r="M29" s="396"/>
      <c r="N29" s="525"/>
      <c r="O29" s="36"/>
      <c r="P29" s="458"/>
      <c r="Q29" s="458"/>
      <c r="R29" s="101">
        <f>R28+Vlength</f>
        <v>3.9195600000000002</v>
      </c>
      <c r="S29" s="101">
        <f>S28+U28*Vlength/SQRT(1+(U28)^2)</f>
        <v>0</v>
      </c>
      <c r="T29" s="101">
        <f>T28+Vlength/SQRT(1+(U28)^2)</f>
        <v>3.9195600000000002</v>
      </c>
      <c r="U29" s="101">
        <f>U28</f>
        <v>0</v>
      </c>
      <c r="V29" s="112">
        <f t="shared" si="21"/>
        <v>37.537202948058322</v>
      </c>
      <c r="W29" s="112">
        <f t="shared" si="22"/>
        <v>-1.9420986947514658</v>
      </c>
      <c r="X29" s="112">
        <f t="shared" si="23"/>
        <v>0.12712048222554562</v>
      </c>
      <c r="Y29" s="112">
        <f t="shared" si="24"/>
        <v>0.11071554901225088</v>
      </c>
      <c r="Z29" s="112">
        <f t="shared" si="25"/>
        <v>8.1932170767622825</v>
      </c>
      <c r="AA29" s="112">
        <f t="shared" si="26"/>
        <v>-1.1400746891761062</v>
      </c>
      <c r="AB29" s="112">
        <f t="shared" si="27"/>
        <v>0.28069197671115487</v>
      </c>
      <c r="AC29" s="112">
        <f t="shared" si="28"/>
        <v>1.0005266922587206</v>
      </c>
      <c r="AD29" s="101">
        <f>AD28+AE28*$CL29</f>
        <v>0.13857758253634445</v>
      </c>
      <c r="AE29" s="112">
        <f>AE28</f>
        <v>6.7593115707872253E-3</v>
      </c>
      <c r="AF29" s="238">
        <f>AF28</f>
        <v>5.1791503359447169E-4</v>
      </c>
      <c r="AG29" s="112">
        <f>AG28+AH28*$CL29</f>
        <v>0</v>
      </c>
      <c r="AH29" s="112">
        <f>AH28</f>
        <v>0</v>
      </c>
      <c r="AI29" s="112">
        <f>AI28+AJ28*$CL29</f>
        <v>0</v>
      </c>
      <c r="AJ29" s="112">
        <f>AJ28</f>
        <v>0</v>
      </c>
      <c r="AK29" s="112">
        <f>AK28+AL28*$CL29</f>
        <v>0</v>
      </c>
      <c r="AL29" s="112">
        <f>AL28</f>
        <v>0</v>
      </c>
      <c r="AM29" s="112">
        <f>AM28+AN28*$CS29</f>
        <v>0</v>
      </c>
      <c r="AN29" s="112">
        <f>AN28</f>
        <v>0</v>
      </c>
      <c r="AO29" s="112">
        <f>AO28+AP28*$CS29</f>
        <v>0</v>
      </c>
      <c r="AP29" s="112">
        <f>AP28</f>
        <v>0</v>
      </c>
      <c r="AQ29" s="101">
        <f t="shared" si="8"/>
        <v>0.4007901897399842</v>
      </c>
      <c r="AR29" s="101">
        <f t="shared" si="9"/>
        <v>1.7414049653434543E-2</v>
      </c>
      <c r="AS29" s="101">
        <f t="shared" si="10"/>
        <v>2.2850088741843057E-2</v>
      </c>
      <c r="AT29" s="101">
        <f t="shared" si="11"/>
        <v>3.2232021729969381E-3</v>
      </c>
      <c r="AU29" s="101">
        <f t="shared" si="12"/>
        <v>6.8041968187579567</v>
      </c>
      <c r="AV29" s="239">
        <f t="shared" si="13"/>
        <v>3.7012216628845733</v>
      </c>
      <c r="AW29" s="239">
        <f t="shared" si="13"/>
        <v>3.7012216628845733E-2</v>
      </c>
      <c r="AX29" s="239">
        <f t="shared" si="13"/>
        <v>1.0629909222129516E-3</v>
      </c>
      <c r="AY29" s="434">
        <f>0.5*(AD28+AD29)</f>
        <v>0.1374590009627738</v>
      </c>
      <c r="AZ29" s="356">
        <f>0.5*(AE28+AE29)</f>
        <v>6.7593115707872253E-3</v>
      </c>
      <c r="BA29" s="425">
        <f>0.5*(V29+V28)-X28*Vlength*Vlength/6</f>
        <v>36.899058613692489</v>
      </c>
      <c r="BB29" s="356">
        <f t="shared" si="14"/>
        <v>0.10623023456263085</v>
      </c>
      <c r="BC29" s="434"/>
      <c r="BD29" s="434"/>
      <c r="BE29" s="434"/>
      <c r="BF29" s="425">
        <f>0.5*(Z29+Z28)-AB28*Vlength*Vlength/6</f>
        <v>7.8261302726401114</v>
      </c>
      <c r="BG29" s="434">
        <f t="shared" si="15"/>
        <v>0.97936609748811176</v>
      </c>
      <c r="BH29" s="434"/>
      <c r="BI29" s="434"/>
      <c r="BJ29" s="434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39"/>
      <c r="CB29" s="239"/>
      <c r="CC29" s="239"/>
      <c r="CD29" s="239"/>
      <c r="CE29" s="239"/>
      <c r="CF29" s="101"/>
      <c r="CG29" s="101"/>
      <c r="CH29" s="112">
        <f>E29</f>
        <v>0.33097500000000002</v>
      </c>
      <c r="CI29" s="240"/>
      <c r="CJ29" s="112"/>
      <c r="CK29" s="30">
        <v>1</v>
      </c>
      <c r="CL29" s="30">
        <f>E29</f>
        <v>0.33097500000000002</v>
      </c>
      <c r="CM29" s="30">
        <v>0</v>
      </c>
      <c r="CN29" s="30">
        <v>1</v>
      </c>
      <c r="CO29" s="112"/>
      <c r="CP29" s="112"/>
      <c r="CQ29" s="112"/>
      <c r="CR29" s="30">
        <v>1</v>
      </c>
      <c r="CS29" s="30">
        <f>CL29</f>
        <v>0.33097500000000002</v>
      </c>
      <c r="CT29" s="30">
        <v>0</v>
      </c>
      <c r="CU29" s="30">
        <v>1</v>
      </c>
      <c r="CV29" s="112"/>
      <c r="CW29" s="30">
        <f t="shared" si="29"/>
        <v>1.0275460134062195</v>
      </c>
      <c r="CX29" s="30">
        <f t="shared" si="30"/>
        <v>4.0115701773569263</v>
      </c>
      <c r="CY29" s="30">
        <f t="shared" si="31"/>
        <v>5.0119965515427883E-2</v>
      </c>
      <c r="CZ29" s="30">
        <f t="shared" si="32"/>
        <v>1.1688622633748993</v>
      </c>
      <c r="DA29" s="112"/>
      <c r="DB29" s="30">
        <f t="shared" si="33"/>
        <v>0.97261438251022236</v>
      </c>
      <c r="DC29" s="30">
        <f t="shared" si="34"/>
        <v>3.8280718475375952</v>
      </c>
      <c r="DD29" s="30">
        <f t="shared" si="35"/>
        <v>-4.9755832758425246E-2</v>
      </c>
      <c r="DE29" s="30">
        <f t="shared" si="36"/>
        <v>0.83232482669787689</v>
      </c>
      <c r="DF29" s="30">
        <f>AZ29^2*Vlength</f>
        <v>1.5121682746210967E-5</v>
      </c>
      <c r="DG29" s="112"/>
      <c r="DH29" s="112"/>
      <c r="DI29" s="112"/>
      <c r="DJ29" s="112"/>
      <c r="DK29" s="112"/>
      <c r="DL29" s="36"/>
      <c r="DM29" s="36"/>
      <c r="DN29" s="356"/>
      <c r="DO29" s="356"/>
      <c r="DP29" s="425"/>
      <c r="DQ29" s="425"/>
      <c r="DR29" s="425"/>
      <c r="DS29" s="425"/>
      <c r="DT29" s="425"/>
      <c r="DU29" s="425"/>
      <c r="DV29" s="425"/>
      <c r="DW29" s="425"/>
      <c r="DX29" s="425"/>
      <c r="DY29" s="425"/>
      <c r="DZ29" s="425"/>
      <c r="EA29" s="425"/>
      <c r="EB29" s="112">
        <f>E29*(1/AQ29+1/AQ28)/2</f>
        <v>0.83292864188289062</v>
      </c>
      <c r="EC29" s="112">
        <f>E29*(1/AR29+1/AR28)/2</f>
        <v>19.456077331910141</v>
      </c>
      <c r="ED29" s="112">
        <f>E29*(AS29+AS28)/2</f>
        <v>7.5628081213315063E-3</v>
      </c>
      <c r="EE29" s="238">
        <f>(X29*AD29*AD29+2*W29*AD29*AE29+V29*AE29*AE29)*CH29</f>
        <v>1.7141692824393021E-4</v>
      </c>
      <c r="EF29" s="112">
        <f>SQRT(VaveBetax/VaveBetaz*T_Coupling)</f>
        <v>0.21713713675467206</v>
      </c>
      <c r="EG29" s="112">
        <f>IF(EF29&lt;=1,EF29^(0.021-0.044*LN(EF29)),EF29^(-0.021-0.044*LN(EF29)))/(VaveBetax*VaveBetaz)^(1/4)</f>
        <v>0.21201213401805002</v>
      </c>
      <c r="EH29" s="239">
        <f t="shared" si="37"/>
        <v>6.146866195391374E-2</v>
      </c>
      <c r="EI29" s="239" t="e">
        <f t="shared" si="37"/>
        <v>#DIV/0!</v>
      </c>
      <c r="EJ29" s="239" t="e">
        <f t="shared" si="37"/>
        <v>#DIV/0!</v>
      </c>
      <c r="EK29" s="239" t="e">
        <f t="shared" si="37"/>
        <v>#DIV/0!</v>
      </c>
      <c r="EL29" s="239" t="e">
        <f t="shared" si="37"/>
        <v>#DIV/0!</v>
      </c>
      <c r="EM29" s="239" t="e">
        <f t="shared" si="37"/>
        <v>#DIV/0!</v>
      </c>
      <c r="EN29" s="239" t="e">
        <f t="shared" si="37"/>
        <v>#DIV/0!</v>
      </c>
      <c r="EO29" s="239" t="e">
        <f t="shared" si="37"/>
        <v>#DIV/0!</v>
      </c>
      <c r="EP29" s="239" t="e">
        <f t="shared" si="37"/>
        <v>#DIV/0!</v>
      </c>
      <c r="EQ29" s="239" t="e">
        <f t="shared" si="37"/>
        <v>#DIV/0!</v>
      </c>
      <c r="ER29" s="239" t="e">
        <f t="shared" si="37"/>
        <v>#DIV/0!</v>
      </c>
      <c r="ES29" s="239" t="e">
        <f t="shared" si="37"/>
        <v>#DIV/0!</v>
      </c>
      <c r="ET29" s="239" t="e">
        <f t="shared" si="37"/>
        <v>#DIV/0!</v>
      </c>
      <c r="EU29" s="112">
        <f>Vlength*VaveBetaz</f>
        <v>2.5902534669870612</v>
      </c>
      <c r="EW29" s="30"/>
      <c r="EX29" s="30"/>
      <c r="EY29" s="30"/>
      <c r="EZ29" s="30"/>
      <c r="FA29" s="30"/>
      <c r="FB29" s="30"/>
    </row>
    <row r="30" spans="1:229" s="54" customFormat="1" ht="15.75" customHeight="1" outlineLevel="1">
      <c r="A30" s="51"/>
      <c r="B30" s="51"/>
      <c r="C30" s="52" t="s">
        <v>367</v>
      </c>
      <c r="D30" s="53" t="s">
        <v>1125</v>
      </c>
      <c r="E30" s="397">
        <v>1.0326500000000001</v>
      </c>
      <c r="F30" s="54">
        <v>0</v>
      </c>
      <c r="G30" s="399"/>
      <c r="H30" s="399"/>
      <c r="I30" s="548"/>
      <c r="K30" s="398"/>
      <c r="L30" s="398"/>
      <c r="M30" s="509"/>
      <c r="N30" s="528"/>
      <c r="O30" s="430"/>
      <c r="P30" s="465"/>
      <c r="Q30" s="465"/>
      <c r="R30" s="56">
        <f t="shared" ref="R30:U30" si="38">R29</f>
        <v>3.9195600000000002</v>
      </c>
      <c r="S30" s="56">
        <f t="shared" si="38"/>
        <v>0</v>
      </c>
      <c r="T30" s="56">
        <f t="shared" si="38"/>
        <v>3.9195600000000002</v>
      </c>
      <c r="U30" s="56">
        <f t="shared" si="38"/>
        <v>0</v>
      </c>
      <c r="V30" s="57">
        <f t="shared" si="21"/>
        <v>37.537202948058322</v>
      </c>
      <c r="W30" s="57">
        <f t="shared" si="22"/>
        <v>-1.9420986947514658</v>
      </c>
      <c r="X30" s="57">
        <f t="shared" si="23"/>
        <v>0.12712048222554562</v>
      </c>
      <c r="Y30" s="57">
        <f t="shared" si="24"/>
        <v>0.11071554901225088</v>
      </c>
      <c r="Z30" s="57">
        <f t="shared" si="25"/>
        <v>8.1932170767622825</v>
      </c>
      <c r="AA30" s="57">
        <f t="shared" si="26"/>
        <v>-1.1400746891761062</v>
      </c>
      <c r="AB30" s="57">
        <f t="shared" si="27"/>
        <v>0.28069197671115487</v>
      </c>
      <c r="AC30" s="57">
        <f t="shared" si="28"/>
        <v>1.0005266922587206</v>
      </c>
      <c r="AD30" s="56">
        <f>AD29</f>
        <v>0.13857758253634445</v>
      </c>
      <c r="AE30" s="57">
        <f>AD29*$CM30+AE29</f>
        <v>6.7593115707872253E-3</v>
      </c>
      <c r="AF30" s="58">
        <f t="shared" ref="AF30:AG30" si="39">AF29</f>
        <v>5.1791503359447169E-4</v>
      </c>
      <c r="AG30" s="57">
        <f t="shared" si="39"/>
        <v>0</v>
      </c>
      <c r="AH30" s="57">
        <f>AG29*$CM30+AH29</f>
        <v>0</v>
      </c>
      <c r="AI30" s="57">
        <f>AI29*$CK30+AJ29*$CL30+0.001*(1-$CK30)*$K30</f>
        <v>0</v>
      </c>
      <c r="AJ30" s="57">
        <f>AI29*$CM30+AJ29*$CN30-0.001*$CM30*$K30</f>
        <v>0</v>
      </c>
      <c r="AK30" s="57">
        <f>AK29*$CK30+AL29*$CL30+0.001*(1-$CK30)*$K30</f>
        <v>0</v>
      </c>
      <c r="AL30" s="57">
        <f>AK29*$CM30+AL29*$CN30-0.001*$CM30*$K30</f>
        <v>0</v>
      </c>
      <c r="AM30" s="57">
        <f>AM29*$CR30+AN29*$CS30+0.001*(1-$CR30)*$L30</f>
        <v>0</v>
      </c>
      <c r="AN30" s="57">
        <f>AM29*$CT30+AN29*$CU30-0.001*$CT30*$L30</f>
        <v>0</v>
      </c>
      <c r="AO30" s="57">
        <f>AO29*$CR30+AP29*$CS30+0.001*(1-$CR30)*$L30</f>
        <v>0</v>
      </c>
      <c r="AP30" s="57">
        <f>AO29*$CT30+AP29*$CU30-0.001*$CT30*$L30</f>
        <v>0</v>
      </c>
      <c r="AQ30" s="56">
        <f t="shared" si="8"/>
        <v>0.4007901897399842</v>
      </c>
      <c r="AR30" s="56">
        <f t="shared" si="9"/>
        <v>1.7414049653434543E-2</v>
      </c>
      <c r="AS30" s="56">
        <f t="shared" si="10"/>
        <v>2.2850088741843057E-2</v>
      </c>
      <c r="AT30" s="56">
        <f t="shared" si="11"/>
        <v>3.2232021729969381E-3</v>
      </c>
      <c r="AU30" s="56">
        <f t="shared" si="12"/>
        <v>6.8041968187579567</v>
      </c>
      <c r="AV30" s="59">
        <f t="shared" si="13"/>
        <v>3.7012216628845733</v>
      </c>
      <c r="AW30" s="59">
        <f t="shared" si="13"/>
        <v>3.7012216628845733E-2</v>
      </c>
      <c r="AX30" s="59">
        <f t="shared" si="13"/>
        <v>1.0629909222129516E-3</v>
      </c>
      <c r="AY30" s="55">
        <f>AD30</f>
        <v>0.13857758253634445</v>
      </c>
      <c r="AZ30" s="55">
        <f>0.5*(AE29+AE30)</f>
        <v>6.7593115707872253E-3</v>
      </c>
      <c r="BA30" s="430">
        <f>V30</f>
        <v>37.537202948058322</v>
      </c>
      <c r="BB30" s="55">
        <f t="shared" si="14"/>
        <v>0.11071554901225088</v>
      </c>
      <c r="BC30" s="442">
        <f>VaveBetax*AY30</f>
        <v>5.2018148397180646</v>
      </c>
      <c r="BD30" s="442"/>
      <c r="BE30" s="442"/>
      <c r="BF30" s="430">
        <f>Z30</f>
        <v>8.1932170767622825</v>
      </c>
      <c r="BG30" s="442">
        <f t="shared" si="15"/>
        <v>1.0005266922587206</v>
      </c>
      <c r="BH30" s="442">
        <f>VaveBetaz*AY30</f>
        <v>1.135396215693212</v>
      </c>
      <c r="BI30" s="442"/>
      <c r="BJ30" s="442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>
        <f>AY30^2*VaveBetaz*VHl^2</f>
        <v>0.16778252348547223</v>
      </c>
      <c r="CB30" s="57"/>
      <c r="CC30" s="57">
        <f>VaveBetax*VaveBetaz*VKl^2</f>
        <v>0</v>
      </c>
      <c r="CD30" s="57">
        <f>(VaveBetax*VKl)^2</f>
        <v>0</v>
      </c>
      <c r="CE30" s="57">
        <f>(VaveBetaz*VKl)^2</f>
        <v>0</v>
      </c>
      <c r="CF30" s="56">
        <f>-0.001*$E30*$K30</f>
        <v>0</v>
      </c>
      <c r="CG30" s="56">
        <f>$E30</f>
        <v>1.0326500000000001</v>
      </c>
      <c r="CH30" s="57"/>
      <c r="CI30" s="60"/>
      <c r="CJ30" s="57"/>
      <c r="CK30" s="61">
        <v>1</v>
      </c>
      <c r="CL30" s="61">
        <v>0</v>
      </c>
      <c r="CM30" s="56">
        <f>-VKl</f>
        <v>0</v>
      </c>
      <c r="CN30" s="61">
        <v>1</v>
      </c>
      <c r="CO30" s="57"/>
      <c r="CP30" s="57"/>
      <c r="CQ30" s="57"/>
      <c r="CR30" s="61">
        <v>1</v>
      </c>
      <c r="CS30" s="61">
        <v>0</v>
      </c>
      <c r="CT30" s="61">
        <f>VKl</f>
        <v>0</v>
      </c>
      <c r="CU30" s="61">
        <v>1</v>
      </c>
      <c r="CV30" s="57"/>
      <c r="CW30" s="61">
        <f t="shared" si="29"/>
        <v>1.0275460134062195</v>
      </c>
      <c r="CX30" s="61">
        <f t="shared" si="30"/>
        <v>4.0115701773569263</v>
      </c>
      <c r="CY30" s="61">
        <f t="shared" si="31"/>
        <v>5.0119965515427883E-2</v>
      </c>
      <c r="CZ30" s="61">
        <f t="shared" si="32"/>
        <v>1.1688622633748993</v>
      </c>
      <c r="DA30" s="57"/>
      <c r="DB30" s="61">
        <f t="shared" si="33"/>
        <v>0.97261438251022236</v>
      </c>
      <c r="DC30" s="61">
        <f t="shared" si="34"/>
        <v>3.8280718475375952</v>
      </c>
      <c r="DD30" s="61">
        <f t="shared" si="35"/>
        <v>-4.9755832758425246E-2</v>
      </c>
      <c r="DE30" s="61">
        <f t="shared" si="36"/>
        <v>0.83232482669787689</v>
      </c>
      <c r="DF30" s="61"/>
      <c r="DG30" s="57"/>
      <c r="DH30" s="57"/>
      <c r="DI30" s="57"/>
      <c r="DJ30" s="57"/>
      <c r="DK30" s="57"/>
      <c r="DL30" s="62"/>
      <c r="DM30" s="62"/>
      <c r="DN30" s="55">
        <f>-VaveBetax*VKl+2*VHl*$BC30</f>
        <v>10.743308188469719</v>
      </c>
      <c r="DO30" s="55">
        <f>VaveBetaz*VKl-2*VHl*$BH30</f>
        <v>-2.3449338042711911</v>
      </c>
      <c r="DP30" s="430" t="str">
        <f>IMPRODUCT(1/8*V30*(-CM30+2*VHl*AD30),COMPLEX(COS(2*VmidMux),SIN(2*VmidMux)))</f>
        <v>1.31012513781651+0.294938730956352i</v>
      </c>
      <c r="DQ30" s="430" t="str">
        <f>IMPRODUCT(-1/8*Z30*(-CM30+2*VHl*AD30),COMPLEX(COS(2*VmidMuz),SIN(2*VmidMuz)))</f>
        <v>0.122260289217534-0.266401645017744i</v>
      </c>
      <c r="DR30" s="430" t="str">
        <f>IMPRODUCT(1/2*SQRT(V30)*AD30*(-CM30+2*VHl*AD30),COMPLEX(COS(Y30),SIN(Y30)))</f>
        <v>0.120754363534078+0.0134242818458294i</v>
      </c>
      <c r="DS30" s="430" t="str">
        <f>IMPRODUCT(-1/8*VHl*V30^(3/2),COMPLEX(COS(Y30),SIN(Y30)))</f>
        <v>-29.5045362553663-3.28002399938742i</v>
      </c>
      <c r="DT30" s="430" t="str">
        <f>IMPRODUCT(-1/24*VHl*V30^(3/2),COMPLEX(COS(3*Y30),SIN(3*Y30)))</f>
        <v>-9.35459304235204-3.22663426616986i</v>
      </c>
      <c r="DU30" s="430" t="str">
        <f>IMPRODUCT(1/4*VHl*V30^(1/2)*Z30,COMPLEX(COS(Y30),SIN(Y30)))</f>
        <v>12.8798659092378+1.43185674655395i</v>
      </c>
      <c r="DV30" s="430" t="str">
        <f>IMPRODUCT(1/8*VHl*V30^(1/2)*Z30,COMPLEX(COS(Y30-2*AC30),SIN(Y30-2*AC30)))</f>
        <v>-2.03544703268178-6.15160509727313i</v>
      </c>
      <c r="DW30" s="430" t="str">
        <f>IMPRODUCT(1/8*VHl*V30^(1/2)*Z30,COMPLEX(COS(Y30+2*AC30),SIN(Y30+2*AC30)))</f>
        <v>-3.33680229317378+5.55437128322549i</v>
      </c>
      <c r="DX30" s="430"/>
      <c r="DY30" s="430"/>
      <c r="DZ30" s="430"/>
      <c r="EA30" s="430"/>
      <c r="EB30" s="57"/>
      <c r="EC30" s="57"/>
      <c r="ED30" s="57"/>
      <c r="EE30" s="58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W30" s="61" t="str">
        <f>IMPRODUCT(VKl*VaveBetax^(ABS(EW$5)/2)*VaveBetaz^(ABS(EW$6)/2),COMPLEX(COS(EW$5*VmidMux+EW$6*VmidMuz+EW$23*$R30),SIN(EW$5*VmidMux+EW$6*VmidMuz+EW$23*$R30)))</f>
        <v>0</v>
      </c>
      <c r="EX30" s="61" t="str">
        <f>IMPRODUCT(VKl*VaveBetax^(ABS(EX$5)/2)*VaveBetaz^(ABS(EX$6)/2),COMPLEX(COS(EX$5*VmidMux+EX$6*VmidMuz+EX$23*$R30),SIN(EX$5*VmidMux+EX$6*VmidMuz+EX$23*$R30)))</f>
        <v>0</v>
      </c>
      <c r="EY30" s="61" t="str">
        <f t="shared" ref="EY30:FA30" si="40">IMPRODUCT(VHl*VaveBetax^(ABS(EY$5)/2)*VaveBetaz^(ABS(EY$6)/2),COMPLEX(COS(EY$5*VmidMux+EY$6*VmidMuz+EY$23*$R30),SIN(EY$5*VmidMux+EY$6*VmidMuz+EY$23*$R30)))</f>
        <v>-204.58169108344-120.61512992411i</v>
      </c>
      <c r="EZ30" s="61" t="str">
        <f t="shared" si="40"/>
        <v>-43.919319168792-27.5345593222657i</v>
      </c>
      <c r="FA30" s="61" t="str">
        <f t="shared" si="40"/>
        <v>8.42232071848257-51.1480504715146i</v>
      </c>
      <c r="FB30" s="61"/>
    </row>
    <row r="31" spans="1:229" s="7" customFormat="1" ht="15.75" customHeight="1" outlineLevel="1">
      <c r="A31" s="31"/>
      <c r="B31" s="31"/>
      <c r="C31" s="37"/>
      <c r="D31" s="25" t="s">
        <v>567</v>
      </c>
      <c r="E31" s="395">
        <v>0.328295</v>
      </c>
      <c r="F31" s="396"/>
      <c r="G31" s="396"/>
      <c r="H31" s="396"/>
      <c r="I31" s="540"/>
      <c r="K31" s="396"/>
      <c r="L31" s="396"/>
      <c r="M31" s="396"/>
      <c r="N31" s="525"/>
      <c r="O31" s="36"/>
      <c r="P31" s="458"/>
      <c r="Q31" s="458"/>
      <c r="R31" s="101">
        <f>R30+Vlength</f>
        <v>4.2478550000000004</v>
      </c>
      <c r="S31" s="101">
        <f>S30+U30*Vlength/SQRT(1+(U30)^2)</f>
        <v>0</v>
      </c>
      <c r="T31" s="101">
        <f>T30+Vlength/SQRT(1+(U30)^2)</f>
        <v>4.2478550000000004</v>
      </c>
      <c r="U31" s="101">
        <f>U30</f>
        <v>0</v>
      </c>
      <c r="V31" s="112">
        <f t="shared" si="21"/>
        <v>38.826066271423315</v>
      </c>
      <c r="W31" s="112">
        <f t="shared" si="22"/>
        <v>-1.9838317134637014</v>
      </c>
      <c r="X31" s="112">
        <f t="shared" si="23"/>
        <v>0.12712048222554567</v>
      </c>
      <c r="Y31" s="112">
        <f t="shared" si="24"/>
        <v>0.11931512367228973</v>
      </c>
      <c r="Z31" s="112">
        <f t="shared" si="25"/>
        <v>8.9720310264894678</v>
      </c>
      <c r="AA31" s="112">
        <f t="shared" si="26"/>
        <v>-1.2322244616704947</v>
      </c>
      <c r="AB31" s="112">
        <f t="shared" si="27"/>
        <v>0.28069197671115487</v>
      </c>
      <c r="AC31" s="112">
        <f t="shared" si="28"/>
        <v>1.0388266095422165</v>
      </c>
      <c r="AD31" s="101">
        <f>AD30+AE30*$CL31</f>
        <v>0.14079663072847604</v>
      </c>
      <c r="AE31" s="112">
        <f>AE30</f>
        <v>6.7593115707872253E-3</v>
      </c>
      <c r="AF31" s="238">
        <f>AF30</f>
        <v>5.1791503359447169E-4</v>
      </c>
      <c r="AG31" s="112">
        <f>AG30+AH30*$CL31</f>
        <v>0</v>
      </c>
      <c r="AH31" s="112">
        <f>AH30</f>
        <v>0</v>
      </c>
      <c r="AI31" s="112">
        <f>AI30+AJ30*$CL31</f>
        <v>0</v>
      </c>
      <c r="AJ31" s="112">
        <f>AJ30</f>
        <v>0</v>
      </c>
      <c r="AK31" s="112">
        <f>AK30+AL30*$CL31</f>
        <v>0</v>
      </c>
      <c r="AL31" s="112">
        <f>AL30</f>
        <v>0</v>
      </c>
      <c r="AM31" s="112">
        <f>AM30+AN30*$CS31</f>
        <v>0</v>
      </c>
      <c r="AN31" s="112">
        <f>AN30</f>
        <v>0</v>
      </c>
      <c r="AO31" s="112">
        <f>AO30+AP30*$CS31</f>
        <v>0</v>
      </c>
      <c r="AP31" s="112">
        <f>AP30</f>
        <v>0</v>
      </c>
      <c r="AQ31" s="101">
        <f t="shared" si="8"/>
        <v>0.40755815724189381</v>
      </c>
      <c r="AR31" s="101">
        <f t="shared" si="9"/>
        <v>1.8222918425794297E-2</v>
      </c>
      <c r="AS31" s="101">
        <f t="shared" si="10"/>
        <v>2.285008874184306E-2</v>
      </c>
      <c r="AT31" s="101">
        <f t="shared" si="11"/>
        <v>3.2232021729969381E-3</v>
      </c>
      <c r="AU31" s="101">
        <f t="shared" si="12"/>
        <v>6.8883102113509569</v>
      </c>
      <c r="AV31" s="239">
        <f t="shared" si="13"/>
        <v>3.7012216628845733</v>
      </c>
      <c r="AW31" s="239">
        <f t="shared" si="13"/>
        <v>3.7012216628845733E-2</v>
      </c>
      <c r="AX31" s="239">
        <f t="shared" si="13"/>
        <v>1.0629909222129516E-3</v>
      </c>
      <c r="AY31" s="434">
        <f>0.5*(AD30+AD31)</f>
        <v>0.13968710663241024</v>
      </c>
      <c r="AZ31" s="356">
        <f>0.5*(AE30+AE31)</f>
        <v>6.7593115707872253E-3</v>
      </c>
      <c r="BA31" s="425">
        <f>0.5*(V31+V30)-X30*Vlength*Vlength/6</f>
        <v>38.179351152844461</v>
      </c>
      <c r="BB31" s="356">
        <f t="shared" si="14"/>
        <v>0.11501533634227031</v>
      </c>
      <c r="BC31" s="434"/>
      <c r="BD31" s="434"/>
      <c r="BE31" s="434"/>
      <c r="BF31" s="425">
        <f>0.5*(Z31+Z30)-AB30*Vlength*Vlength/6</f>
        <v>8.5775820000323666</v>
      </c>
      <c r="BG31" s="434">
        <f t="shared" si="15"/>
        <v>1.0196766509004687</v>
      </c>
      <c r="BH31" s="434"/>
      <c r="BI31" s="434"/>
      <c r="BJ31" s="434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39"/>
      <c r="CB31" s="239"/>
      <c r="CC31" s="239"/>
      <c r="CD31" s="239"/>
      <c r="CE31" s="239"/>
      <c r="CF31" s="101"/>
      <c r="CG31" s="101"/>
      <c r="CH31" s="112">
        <f>E31</f>
        <v>0.328295</v>
      </c>
      <c r="CI31" s="240"/>
      <c r="CJ31" s="112"/>
      <c r="CK31" s="30">
        <v>1</v>
      </c>
      <c r="CL31" s="30">
        <f>E31</f>
        <v>0.328295</v>
      </c>
      <c r="CM31" s="30">
        <v>0</v>
      </c>
      <c r="CN31" s="30">
        <v>1</v>
      </c>
      <c r="CO31" s="112"/>
      <c r="CP31" s="112"/>
      <c r="CQ31" s="112"/>
      <c r="CR31" s="30">
        <v>1</v>
      </c>
      <c r="CS31" s="30">
        <f>CL31</f>
        <v>0.328295</v>
      </c>
      <c r="CT31" s="30">
        <v>0</v>
      </c>
      <c r="CU31" s="30">
        <v>1</v>
      </c>
      <c r="CV31" s="112"/>
      <c r="CW31" s="30">
        <f t="shared" si="29"/>
        <v>1.0440001474851068</v>
      </c>
      <c r="CX31" s="30">
        <f t="shared" si="30"/>
        <v>4.3953018141115887</v>
      </c>
      <c r="CY31" s="30">
        <f t="shared" si="31"/>
        <v>5.0119965515427883E-2</v>
      </c>
      <c r="CZ31" s="30">
        <f t="shared" si="32"/>
        <v>1.1688622633748993</v>
      </c>
      <c r="DA31" s="112"/>
      <c r="DB31" s="30">
        <f t="shared" si="33"/>
        <v>0.95627979139479513</v>
      </c>
      <c r="DC31" s="30">
        <f t="shared" si="34"/>
        <v>4.1013199265183751</v>
      </c>
      <c r="DD31" s="30">
        <f t="shared" si="35"/>
        <v>-4.9755832758425246E-2</v>
      </c>
      <c r="DE31" s="30">
        <f t="shared" si="36"/>
        <v>0.83232482669787689</v>
      </c>
      <c r="DF31" s="30">
        <f>AZ31^2*Vlength</f>
        <v>1.4999238121209545E-5</v>
      </c>
      <c r="DG31" s="112"/>
      <c r="DH31" s="112"/>
      <c r="DI31" s="112"/>
      <c r="DJ31" s="112"/>
      <c r="DK31" s="112"/>
      <c r="DL31" s="36"/>
      <c r="DM31" s="36"/>
      <c r="DN31" s="356"/>
      <c r="DO31" s="356"/>
      <c r="DP31" s="425"/>
      <c r="DQ31" s="425"/>
      <c r="DR31" s="425"/>
      <c r="DS31" s="425"/>
      <c r="DT31" s="425"/>
      <c r="DU31" s="425"/>
      <c r="DV31" s="425"/>
      <c r="DW31" s="425"/>
      <c r="DX31" s="425"/>
      <c r="DY31" s="425"/>
      <c r="DZ31" s="425"/>
      <c r="EA31" s="425"/>
      <c r="EB31" s="112">
        <f>E31*(1/AQ31+1/AQ30)/2</f>
        <v>0.81231814574251948</v>
      </c>
      <c r="EC31" s="112">
        <f>E31*(1/AR31+1/AR30)/2</f>
        <v>18.433903567153568</v>
      </c>
      <c r="ED31" s="112">
        <f>E31*(AS31+AS30)/2</f>
        <v>7.5015698835033664E-3</v>
      </c>
      <c r="EE31" s="238">
        <f>(X31*AD31*AD31+2*W31*AD31*AE31+V31*AE31*AE31)*CH31</f>
        <v>1.7002891595389722E-4</v>
      </c>
      <c r="EF31" s="112">
        <f>SQRT(VaveBetax/VaveBetaz*T_Coupling)</f>
        <v>0.2109754065505311</v>
      </c>
      <c r="EG31" s="112">
        <f>IF(EF31&lt;=1,EF31^(0.021-0.044*LN(EF31)),EF31^(-0.021-0.044*LN(EF31)))/(VaveBetax*VaveBetaz)^(1/4)</f>
        <v>0.2045240167928114</v>
      </c>
      <c r="EH31" s="239">
        <f t="shared" ref="EH31:ET33" si="41">$EG31*Vlength/SQRT(1+EH$7*EH$7/EH$8*1000000000/Vlength*$EE31)</f>
        <v>5.8817482665785688E-2</v>
      </c>
      <c r="EI31" s="239" t="e">
        <f t="shared" si="41"/>
        <v>#DIV/0!</v>
      </c>
      <c r="EJ31" s="239" t="e">
        <f t="shared" si="41"/>
        <v>#DIV/0!</v>
      </c>
      <c r="EK31" s="239" t="e">
        <f t="shared" si="41"/>
        <v>#DIV/0!</v>
      </c>
      <c r="EL31" s="239" t="e">
        <f t="shared" si="41"/>
        <v>#DIV/0!</v>
      </c>
      <c r="EM31" s="239" t="e">
        <f t="shared" si="41"/>
        <v>#DIV/0!</v>
      </c>
      <c r="EN31" s="239" t="e">
        <f t="shared" si="41"/>
        <v>#DIV/0!</v>
      </c>
      <c r="EO31" s="239" t="e">
        <f t="shared" si="41"/>
        <v>#DIV/0!</v>
      </c>
      <c r="EP31" s="239" t="e">
        <f t="shared" si="41"/>
        <v>#DIV/0!</v>
      </c>
      <c r="EQ31" s="239" t="e">
        <f t="shared" si="41"/>
        <v>#DIV/0!</v>
      </c>
      <c r="ER31" s="239" t="e">
        <f t="shared" si="41"/>
        <v>#DIV/0!</v>
      </c>
      <c r="ES31" s="239" t="e">
        <f t="shared" si="41"/>
        <v>#DIV/0!</v>
      </c>
      <c r="ET31" s="239" t="e">
        <f t="shared" si="41"/>
        <v>#DIV/0!</v>
      </c>
      <c r="EU31" s="112">
        <f>Vlength*VaveBetaz</f>
        <v>2.8159772827006258</v>
      </c>
      <c r="EW31" s="30"/>
      <c r="EX31" s="30"/>
      <c r="EY31" s="30"/>
      <c r="EZ31" s="30"/>
      <c r="FA31" s="30"/>
      <c r="FB31" s="30"/>
    </row>
    <row r="32" spans="1:229" s="42" customFormat="1" ht="15.75" customHeight="1" outlineLevel="1">
      <c r="A32" s="39"/>
      <c r="B32" s="39"/>
      <c r="C32" s="40" t="s">
        <v>191</v>
      </c>
      <c r="D32" s="41" t="s">
        <v>670</v>
      </c>
      <c r="E32" s="392">
        <v>0.94340999999999997</v>
      </c>
      <c r="F32" s="393">
        <v>0.450488</v>
      </c>
      <c r="G32" s="392"/>
      <c r="H32" s="507"/>
      <c r="I32" s="541"/>
      <c r="J32" s="536"/>
      <c r="K32" s="394"/>
      <c r="L32" s="394"/>
      <c r="M32" s="507"/>
      <c r="N32" s="527"/>
      <c r="O32" s="429">
        <f>T_Energy/0.2998*F32</f>
        <v>9.0758756504336215</v>
      </c>
      <c r="P32" s="459">
        <f>2*T_Energy/0.2998*G32</f>
        <v>0</v>
      </c>
      <c r="Q32" s="459">
        <f>O32*Vlength</f>
        <v>8.5622718473755821</v>
      </c>
      <c r="R32" s="44">
        <f>R31+Vlength</f>
        <v>5.1912650000000005</v>
      </c>
      <c r="S32" s="44">
        <f>S31+U31*Vlength/SQRT(1+(U31)^2)</f>
        <v>0</v>
      </c>
      <c r="T32" s="44">
        <f>T31+Vlength/SQRT(1+(U31)^2)</f>
        <v>5.1912650000000005</v>
      </c>
      <c r="U32" s="44">
        <f>U31</f>
        <v>0</v>
      </c>
      <c r="V32" s="45">
        <f t="shared" si="21"/>
        <v>28.150038421763924</v>
      </c>
      <c r="W32" s="45">
        <f t="shared" si="22"/>
        <v>11.745802346399005</v>
      </c>
      <c r="X32" s="45">
        <f t="shared" si="23"/>
        <v>4.9365429161629075</v>
      </c>
      <c r="Y32" s="45">
        <f t="shared" si="24"/>
        <v>0.14598563863640274</v>
      </c>
      <c r="Z32" s="45">
        <f t="shared" si="25"/>
        <v>16.359811686084296</v>
      </c>
      <c r="AA32" s="45">
        <f t="shared" si="26"/>
        <v>-7.618350480560049</v>
      </c>
      <c r="AB32" s="45">
        <f t="shared" si="27"/>
        <v>3.6087985104907108</v>
      </c>
      <c r="AC32" s="45">
        <f t="shared" si="28"/>
        <v>1.1221009206196213</v>
      </c>
      <c r="AD32" s="44">
        <f>AD31*$CK32+AE31*$CL32</f>
        <v>0.11946052606218201</v>
      </c>
      <c r="AE32" s="45">
        <f>AD31*$CM32+AE31*$CN32</f>
        <v>-5.046970742177289E-2</v>
      </c>
      <c r="AF32" s="46">
        <f>AF31</f>
        <v>5.1791503359447169E-4</v>
      </c>
      <c r="AG32" s="45">
        <f>AG31*$CK32+AH31*$CL32</f>
        <v>0</v>
      </c>
      <c r="AH32" s="45">
        <f>AG31*$CM32+AH31*$CN32</f>
        <v>0</v>
      </c>
      <c r="AI32" s="45">
        <f>AI31*$CK32+AJ31*$CL32+0.001*(1-$CK32)*$K32</f>
        <v>0</v>
      </c>
      <c r="AJ32" s="45">
        <f>AI31*$CM32+AJ31*$CN32-0.001*$CM32*$K32</f>
        <v>0</v>
      </c>
      <c r="AK32" s="45">
        <f>AK31*$CK32+AL31*$CL32+0.001*(1-$CK32)*$K32</f>
        <v>0</v>
      </c>
      <c r="AL32" s="45">
        <f>AK31*$CM32+AL31*$CN32-0.001*$CM32*$K32</f>
        <v>0</v>
      </c>
      <c r="AM32" s="45">
        <f>AM31*$CR32+AN31*$CS32+0.001*(1-$CR32)*$L32</f>
        <v>0</v>
      </c>
      <c r="AN32" s="45">
        <f>AM31*$CT32+AN31*$CU32-0.001*$CT32*$L32</f>
        <v>0</v>
      </c>
      <c r="AO32" s="45">
        <f>AO31*$CR32+AP31*$CS32+0.001*(1-$CR32)*$L32</f>
        <v>0</v>
      </c>
      <c r="AP32" s="45">
        <f>AO31*$CT32+AP31*$CU32-0.001*$CT32*$L32</f>
        <v>0</v>
      </c>
      <c r="AQ32" s="44">
        <f t="shared" si="8"/>
        <v>0.34686429297351701</v>
      </c>
      <c r="AR32" s="44">
        <f t="shared" si="9"/>
        <v>2.4607171599606362E-2</v>
      </c>
      <c r="AS32" s="44">
        <f t="shared" si="10"/>
        <v>0.1454284624965741</v>
      </c>
      <c r="AT32" s="44">
        <f t="shared" si="11"/>
        <v>1.1557232897200696E-2</v>
      </c>
      <c r="AU32" s="44">
        <f t="shared" si="12"/>
        <v>34.648923501657073</v>
      </c>
      <c r="AV32" s="47">
        <f t="shared" si="13"/>
        <v>3.7012216628845733</v>
      </c>
      <c r="AW32" s="47">
        <f t="shared" si="13"/>
        <v>3.7012216628845733E-2</v>
      </c>
      <c r="AX32" s="47">
        <f t="shared" si="13"/>
        <v>1.0629909222129516E-3</v>
      </c>
      <c r="AY32" s="43">
        <f>IF(VKl=0,0.5*(AD31+AD32),(AE32-AE31)/CJ32/Vlength)</f>
        <v>0.13465813621838202</v>
      </c>
      <c r="AZ32" s="43">
        <f>IF(VKl=0,AE32,(AD32-AD31)/Vlength)</f>
        <v>-2.2615940753536668E-2</v>
      </c>
      <c r="BA32" s="429">
        <f>IF($CJ32=0,0.5*(V32+V31)-X31*Vlength*Vlength/6,-0.5*(($X32-$CJ32*$V32)*Vlength+($W32-$W31))/$CJ32/Vlength)</f>
        <v>35.706830205739571</v>
      </c>
      <c r="BB32" s="428">
        <f t="shared" si="14"/>
        <v>0.13265038115434624</v>
      </c>
      <c r="BC32" s="43">
        <f>IF(CJ32=0,AY32*BA32-(2*W31-X31*Vlength)*AE31*Vlength*Vlength/12,-(2*(X32-CJ32*V32)*AY32+(2*W32*AD32+V32*AE32-2*W31*AD31-V31*AE31)/Vlength)/3/CJ32)</f>
        <v>4.8298973585754972</v>
      </c>
      <c r="BD32" s="43"/>
      <c r="BE32" s="43"/>
      <c r="BF32" s="429">
        <f>IF($CQ32=0,0.5*(Z32+Z31)-AB31*Vlength*Vlength/6,-0.5*(($AB32-$CQ32*$Z32)*Vlength+$AA32-$AA31)/$CQ32/Vlength)</f>
        <v>11.687653262827881</v>
      </c>
      <c r="BG32" s="43">
        <f t="shared" si="15"/>
        <v>1.080463765080919</v>
      </c>
      <c r="BH32" s="43">
        <f>IF(CQ32=0,AY32*BF32-(2*AA31-AB31*Vlength)*AE31*Vlength*Vlength/12,-(2*(AB32-CQ32*Z32)*AY32+(2*AA32*AD32+Z32*AE32-2*AA31*AD31-Z31*AE31)/Vlength)/5/CQ32)</f>
        <v>1.5600761615502443</v>
      </c>
      <c r="BI32" s="43"/>
      <c r="BJ32" s="43"/>
      <c r="BK32" s="47"/>
      <c r="BL32" s="47"/>
      <c r="BM32" s="47"/>
      <c r="BN32" s="47"/>
      <c r="BO32" s="47"/>
      <c r="BP32" s="47">
        <f>VaveBetax*BR32</f>
        <v>230.28730703050155</v>
      </c>
      <c r="BQ32" s="47">
        <f>VaveBetaz*BS32</f>
        <v>24.673004745538559</v>
      </c>
      <c r="BR32" s="47">
        <f>VaveBetax*VKl^2</f>
        <v>6.4493909345524827</v>
      </c>
      <c r="BS32" s="47">
        <f>VaveBetaz*VKl^2</f>
        <v>2.1110315467699641</v>
      </c>
      <c r="BT32" s="47">
        <f>BS32*AY32^2</f>
        <v>3.8278941646446386E-2</v>
      </c>
      <c r="BU32" s="47">
        <f>(CJ32*(V32-V31))^2</f>
        <v>23.130544148059954</v>
      </c>
      <c r="BV32" s="47">
        <f>(CQ32*(Z32-Z31))^2</f>
        <v>11.076293100186163</v>
      </c>
      <c r="BW32" s="47">
        <f>1/VaveBetax*(CJ32*Vlength^3)^2</f>
        <v>4.0069876843140118E-3</v>
      </c>
      <c r="BX32" s="47">
        <f>1/VaveBetaz*(CQ32*Vlength^3)^2</f>
        <v>1.2241707181315876E-2</v>
      </c>
      <c r="BY32" s="47">
        <f>(CJ32*VaveBetax*(Y32-Y31))^2</f>
        <v>0.18404831807102098</v>
      </c>
      <c r="BZ32" s="47">
        <f>(CQ32*VaveBetaz*(AC32-AC31))^2</f>
        <v>0.19223974799106724</v>
      </c>
      <c r="CA32" s="45">
        <f>AY32^2*VaveBetaz*VHl^2</f>
        <v>0</v>
      </c>
      <c r="CB32" s="47">
        <f>VaveBetax*BS32</f>
        <v>75.378244999474887</v>
      </c>
      <c r="CC32" s="45">
        <f>VaveBetax*VaveBetaz*VHl^2</f>
        <v>0</v>
      </c>
      <c r="CD32" s="45">
        <f>(VaveBetax*VHl)^2</f>
        <v>0</v>
      </c>
      <c r="CE32" s="45">
        <f>(VaveBetaz*VHl)^2</f>
        <v>0</v>
      </c>
      <c r="CF32" s="44">
        <f>$CQ32*Vlength</f>
        <v>0.42499488407999997</v>
      </c>
      <c r="CG32" s="44">
        <f>$G32*Vlength</f>
        <v>0</v>
      </c>
      <c r="CH32" s="45">
        <f>$E32</f>
        <v>0.94340999999999997</v>
      </c>
      <c r="CI32" s="48"/>
      <c r="CJ32" s="49">
        <f>-$CQ32</f>
        <v>-0.450488</v>
      </c>
      <c r="CK32" s="49">
        <f>IF(CJ32=0,1,IF(CJ32&gt;0,COSH(Vlength*SQRT(CJ32)),COS(Vlength*SQRT(-CJ32))))</f>
        <v>0.80613709092125097</v>
      </c>
      <c r="CL32" s="49">
        <f>IF(CJ32=0,Vlength,IF(CJ32&gt;0,SINH(Vlength*SQRT(CJ32))/SQRT(CJ32),SIN(Vlength*SQRT(-CJ32))/SQRT(-CJ32)))</f>
        <v>0.88161933250262836</v>
      </c>
      <c r="CM32" s="49">
        <f>CL32*CJ32</f>
        <v>-0.39715892986044404</v>
      </c>
      <c r="CN32" s="49">
        <f>CK32</f>
        <v>0.80613709092125097</v>
      </c>
      <c r="CO32" s="45"/>
      <c r="CP32" s="45"/>
      <c r="CQ32" s="49">
        <f>$F32-0.001*$G32*$K32</f>
        <v>0.450488</v>
      </c>
      <c r="CR32" s="49">
        <f>IF(CQ32=0,1,IF(CQ32&gt;0,COSH(Vlength*SQRT(CQ32)),COS(Vlength*SQRT(-CQ32))))</f>
        <v>1.2072605602065729</v>
      </c>
      <c r="CS32" s="49">
        <f>IF(CQ32=0,Vlength,IF(CQ32&gt;0,SINH(Vlength*SQRT(CQ32))/SQRT(CQ32),SIN(Vlength*SQRT(-CQ32))/SQRT(-CQ32)))</f>
        <v>1.0077284556090043</v>
      </c>
      <c r="CT32" s="49">
        <f>CS32*CQ32</f>
        <v>0.45396957651038911</v>
      </c>
      <c r="CU32" s="49">
        <f>CR32</f>
        <v>1.2072605602065729</v>
      </c>
      <c r="CV32" s="45"/>
      <c r="CW32" s="49">
        <f t="shared" si="29"/>
        <v>0.88579397235776725</v>
      </c>
      <c r="CX32" s="49">
        <f t="shared" si="30"/>
        <v>4.5737073865729032</v>
      </c>
      <c r="CY32" s="49">
        <f t="shared" si="31"/>
        <v>-0.37423041815165031</v>
      </c>
      <c r="CZ32" s="49">
        <f t="shared" si="32"/>
        <v>-0.80337014022155662</v>
      </c>
      <c r="DA32" s="45"/>
      <c r="DB32" s="49">
        <f t="shared" si="33"/>
        <v>1.1043385081703172</v>
      </c>
      <c r="DC32" s="49">
        <f t="shared" si="34"/>
        <v>5.7901192042482368</v>
      </c>
      <c r="DD32" s="49">
        <f t="shared" si="35"/>
        <v>0.37405367739545736</v>
      </c>
      <c r="DE32" s="49">
        <f t="shared" si="36"/>
        <v>2.8667074067282843</v>
      </c>
      <c r="DF32" s="49">
        <f>AZ32^2*Vlength</f>
        <v>4.8253607904416291E-4</v>
      </c>
      <c r="DG32" s="45"/>
      <c r="DH32" s="45"/>
      <c r="DI32" s="45"/>
      <c r="DJ32" s="45"/>
      <c r="DK32" s="45"/>
      <c r="DL32" s="50"/>
      <c r="DM32" s="50"/>
      <c r="DN32" s="428">
        <f>-VKl*VaveBetax+2*VHl*$BC32</f>
        <v>-15.175220164152531</v>
      </c>
      <c r="DO32" s="428">
        <f>VaveBetaz*VKl-2*VHl*$BH32</f>
        <v>4.9671928436027688</v>
      </c>
      <c r="DP32" s="43" t="str">
        <f>IMPRODUCT(-1/8*(VaveBetax*VKl-2*$BC32*VHl),COMPLEX(COS(2*VmidMux),SIN(2*VmidMux)))</f>
        <v>-1.83053689102532-0.497366929888728i</v>
      </c>
      <c r="DQ32" s="429" t="str">
        <f>IMPRODUCT(1/8*(VaveBetaz*VKl-2*BH32*VHl),COMPLEX(COS(2*VmidMuz),SIN(2*VmidMuz)))</f>
        <v>-0.34551175025616+0.515884996471079i</v>
      </c>
      <c r="DR32" s="429" t="str">
        <f>IMPRODUCT(-1/2*SQRT(VaveBetax)*(VKl-2*VHl*$AY32)*AY32,COMPLEX(COS(VmidMux),SIN(VmidMux)))</f>
        <v>-0.169484406428652-0.0226149722590676i</v>
      </c>
      <c r="DS32" s="429" t="str">
        <f>IMPRODUCT(-1/8*VHl*VaveBetax^(3/2),COMPLEX(COS(VmidMux),SIN(VmidMux)))</f>
        <v>0</v>
      </c>
      <c r="DT32" s="429" t="str">
        <f>IMPRODUCT(-1/24*VHl*VaveBetax^(3/2),COMPLEX(COS(3*VmidMux),SIN(3*VmidMux)))</f>
        <v>0</v>
      </c>
      <c r="DU32" s="429" t="str">
        <f>IMPRODUCT(1/4*VHl*VaveBetax^(1/2)*VaveBetaz,COMPLEX(COS(VmidMux),SIN(VmidMux)))</f>
        <v>0</v>
      </c>
      <c r="DV32" s="429" t="str">
        <f>IMPRODUCT(1/8*VHl*VaveBetax^(1/2)*VaveBetaz,COMPLEX(COS(VmidMux-2*VmidMuz),SIN(VmidMux-2*VmidMuz)))</f>
        <v>0</v>
      </c>
      <c r="DW32" s="429" t="str">
        <f>IMPRODUCT(1/8*VHl*VaveBetax^(1/2)*VaveBetaz,COMPLEX(COS(VmidMux+2*VmidMuz),SIN(VmidMux+2*VmidMuz)))</f>
        <v>0</v>
      </c>
      <c r="DX32" s="429">
        <f>VaveBetax^2*F32^2*E32/8/PI()/2</f>
        <v>4.8562347289653109</v>
      </c>
      <c r="DY32" s="429">
        <f>2*VaveBetax*VaveBetaz*F32^2*E32/8/PI()</f>
        <v>6.3582219253868262</v>
      </c>
      <c r="DZ32" s="429">
        <f>VaveBetaz^2*F32^2*E32/8/PI()</f>
        <v>1.0405949338522629</v>
      </c>
      <c r="EA32" s="429">
        <f>ABS(F32)</f>
        <v>0.450488</v>
      </c>
      <c r="EB32" s="45">
        <f>E32*(1/AQ32+1/AQ31)/2</f>
        <v>2.5173053491764805</v>
      </c>
      <c r="EC32" s="45">
        <f>E32*(1/AR32+1/AR31)/2</f>
        <v>45.054672591480454</v>
      </c>
      <c r="ED32" s="45">
        <f>E32*(AS32+AS31)/2</f>
        <v>7.9377834011917558E-2</v>
      </c>
      <c r="EE32" s="46">
        <f>(X32*AD32*AD32+2*W32*AD32*AE32+V32*AE32*AE32)*CH32</f>
        <v>4.8860622184337032E-4</v>
      </c>
      <c r="EF32" s="45">
        <f>SQRT(VaveBetax/VaveBetaz*T_Coupling)</f>
        <v>0.17478815161703942</v>
      </c>
      <c r="EG32" s="45">
        <f>IF(EF32&lt;=1,EF32^(0.021-0.044*LN(EF32)),EF32^(-0.021-0.044*LN(EF32)))/(VaveBetax*VaveBetaz)^(1/4)</f>
        <v>0.18656942720210848</v>
      </c>
      <c r="EH32" s="47">
        <f t="shared" si="41"/>
        <v>0.15418382120968957</v>
      </c>
      <c r="EI32" s="47" t="e">
        <f t="shared" si="41"/>
        <v>#DIV/0!</v>
      </c>
      <c r="EJ32" s="47" t="e">
        <f t="shared" si="41"/>
        <v>#DIV/0!</v>
      </c>
      <c r="EK32" s="47" t="e">
        <f t="shared" si="41"/>
        <v>#DIV/0!</v>
      </c>
      <c r="EL32" s="47" t="e">
        <f t="shared" si="41"/>
        <v>#DIV/0!</v>
      </c>
      <c r="EM32" s="47" t="e">
        <f t="shared" si="41"/>
        <v>#DIV/0!</v>
      </c>
      <c r="EN32" s="47" t="e">
        <f t="shared" si="41"/>
        <v>#DIV/0!</v>
      </c>
      <c r="EO32" s="47" t="e">
        <f t="shared" si="41"/>
        <v>#DIV/0!</v>
      </c>
      <c r="EP32" s="47" t="e">
        <f t="shared" si="41"/>
        <v>#DIV/0!</v>
      </c>
      <c r="EQ32" s="47" t="e">
        <f t="shared" si="41"/>
        <v>#DIV/0!</v>
      </c>
      <c r="ER32" s="47" t="e">
        <f t="shared" si="41"/>
        <v>#DIV/0!</v>
      </c>
      <c r="ES32" s="47" t="e">
        <f t="shared" si="41"/>
        <v>#DIV/0!</v>
      </c>
      <c r="ET32" s="47" t="e">
        <f t="shared" si="41"/>
        <v>#DIV/0!</v>
      </c>
      <c r="EU32" s="45">
        <f>Vlength*VaveBetaz</f>
        <v>11.02624896468445</v>
      </c>
      <c r="EW32" s="49" t="str">
        <f>IMPRODUCT(VKl*VaveBetax^(ABS(EW$5)/2)*VaveBetaz^(ABS(EW$6)/2),COMPLEX(COS(EW$5*VmidMux+EW$6*VmidMuz+EW$23*$R32),SIN(EW$5*VmidMux+EW$6*VmidMuz+EW$23*$R32)))</f>
        <v>-3.25645032014275+3.75080472138724i</v>
      </c>
      <c r="EX32" s="49" t="str">
        <f>IMPRODUCT(VKl*VaveBetax^(ABS(EX$5)/2)*VaveBetaz^(ABS(EX$6)/2),COMPLEX(COS(EX$5*VmidMux+EX$6*VmidMuz+EX$23*$R32),SIN(EX$5*VmidMux+EX$6*VmidMuz+EX$23*$R32)))</f>
        <v>13.0310481351037+7.77683042962314i</v>
      </c>
      <c r="EY32" s="49" t="str">
        <f>IMPRODUCT(VHl*VaveBetax^(ABS(EY$5)/2)*VaveBetaz^(ABS(EY$6)/2),COMPLEX(COS(EY$5*VmidMux+EY$6*VmidMuz+EY$23*$R32),SIN(EY$5*VmidMux+EY$6*VmidMuz+EY$23*$R32)))</f>
        <v>0</v>
      </c>
      <c r="EZ32" s="49" t="str">
        <f>IMPRODUCT(VHl*VaveBetax^(ABS(EZ$5)/2)*VaveBetaz^(ABS(EZ$6)/2),COMPLEX(COS(EZ$5*VmidMux+EZ$6*VmidMuz+EZ$23*$R32),SIN(EZ$5*VmidMux+EZ$6*VmidMuz+EZ$23*$R32)))</f>
        <v>0</v>
      </c>
      <c r="FA32" s="49" t="str">
        <f>IMPRODUCT(VHl*VaveBetax^(ABS(FA$5)/2)*VaveBetaz^(ABS(FA$6)/2),COMPLEX(COS(FA$5*VmidMux+FA$6*VmidMuz+FA$23*$R32),SIN(FA$5*VmidMux+FA$6*VmidMuz+FA$23*$R32)))</f>
        <v>0</v>
      </c>
      <c r="FB32" s="49"/>
    </row>
    <row r="33" spans="1:158" s="7" customFormat="1" ht="15.75" customHeight="1" outlineLevel="1">
      <c r="A33" s="31"/>
      <c r="B33" s="31"/>
      <c r="C33" s="37"/>
      <c r="D33" s="25" t="s">
        <v>567</v>
      </c>
      <c r="E33" s="395">
        <v>9.5295000000000005E-2</v>
      </c>
      <c r="F33" s="396"/>
      <c r="G33" s="396"/>
      <c r="H33" s="396"/>
      <c r="I33" s="540"/>
      <c r="K33" s="396"/>
      <c r="L33" s="396"/>
      <c r="M33" s="396"/>
      <c r="N33" s="525"/>
      <c r="O33" s="36"/>
      <c r="P33" s="458"/>
      <c r="Q33" s="458"/>
      <c r="R33" s="101">
        <f>R32+Vlength</f>
        <v>5.2865600000000006</v>
      </c>
      <c r="S33" s="101">
        <f>S32+U32*Vlength/SQRT(1+(U32)^2)</f>
        <v>0</v>
      </c>
      <c r="T33" s="101">
        <f>T32+Vlength/SQRT(1+(U32)^2)</f>
        <v>5.2865600000000006</v>
      </c>
      <c r="U33" s="101">
        <f>U32</f>
        <v>0</v>
      </c>
      <c r="V33" s="112">
        <f t="shared" si="21"/>
        <v>25.956235375215204</v>
      </c>
      <c r="W33" s="112">
        <f t="shared" si="22"/>
        <v>11.27537448920326</v>
      </c>
      <c r="X33" s="112">
        <f t="shared" si="23"/>
        <v>4.9365429161629075</v>
      </c>
      <c r="Y33" s="112">
        <f t="shared" si="24"/>
        <v>0.14951105703056039</v>
      </c>
      <c r="Z33" s="112">
        <f t="shared" si="25"/>
        <v>17.844565097943619</v>
      </c>
      <c r="AA33" s="112">
        <f t="shared" si="26"/>
        <v>-7.962250934617261</v>
      </c>
      <c r="AB33" s="112">
        <f t="shared" si="27"/>
        <v>3.6087985104907103</v>
      </c>
      <c r="AC33" s="112">
        <f t="shared" si="28"/>
        <v>1.1276783005796021</v>
      </c>
      <c r="AD33" s="101">
        <f>AD32+AE32*$CL33</f>
        <v>0.11465101529342415</v>
      </c>
      <c r="AE33" s="112">
        <f>AE32</f>
        <v>-5.046970742177289E-2</v>
      </c>
      <c r="AF33" s="238">
        <f>AF32</f>
        <v>5.1791503359447169E-4</v>
      </c>
      <c r="AG33" s="112">
        <f>AG32+AH32*$CL33</f>
        <v>0</v>
      </c>
      <c r="AH33" s="112">
        <f>AH32</f>
        <v>0</v>
      </c>
      <c r="AI33" s="112">
        <f>AI32+AJ32*$CL33</f>
        <v>0</v>
      </c>
      <c r="AJ33" s="112">
        <f>AJ32</f>
        <v>0</v>
      </c>
      <c r="AK33" s="112">
        <f>AK32+AL32*$CL33</f>
        <v>0</v>
      </c>
      <c r="AL33" s="112">
        <f>AL32</f>
        <v>0</v>
      </c>
      <c r="AM33" s="112">
        <f>AM32+AN32*$CS33</f>
        <v>0</v>
      </c>
      <c r="AN33" s="112">
        <f>AN32</f>
        <v>0</v>
      </c>
      <c r="AO33" s="112">
        <f>AO32+AP32*$CS33</f>
        <v>0</v>
      </c>
      <c r="AP33" s="112">
        <f>AP32</f>
        <v>0</v>
      </c>
      <c r="AQ33" s="101">
        <f t="shared" si="8"/>
        <v>0.33305075585949262</v>
      </c>
      <c r="AR33" s="101">
        <f t="shared" si="9"/>
        <v>2.5699550755852309E-2</v>
      </c>
      <c r="AS33" s="101">
        <f t="shared" si="10"/>
        <v>0.1454284624965741</v>
      </c>
      <c r="AT33" s="101">
        <f t="shared" si="11"/>
        <v>1.1557232897200696E-2</v>
      </c>
      <c r="AU33" s="101">
        <f t="shared" si="12"/>
        <v>33.276344653782445</v>
      </c>
      <c r="AV33" s="239">
        <f t="shared" si="13"/>
        <v>3.7012216628845733</v>
      </c>
      <c r="AW33" s="239">
        <f t="shared" si="13"/>
        <v>3.7012216628845733E-2</v>
      </c>
      <c r="AX33" s="239">
        <f t="shared" si="13"/>
        <v>1.0629909222129516E-3</v>
      </c>
      <c r="AY33" s="434">
        <f>0.5*(AD32+AD33)</f>
        <v>0.11705577067780308</v>
      </c>
      <c r="AZ33" s="356">
        <f>0.5*(AE32+AE33)</f>
        <v>-5.046970742177289E-2</v>
      </c>
      <c r="BA33" s="425">
        <f>0.5*(V33+V32)-X32*Vlength*Vlength/6</f>
        <v>27.045665328047651</v>
      </c>
      <c r="BB33" s="356">
        <f t="shared" si="14"/>
        <v>0.14774834783348156</v>
      </c>
      <c r="BC33" s="434"/>
      <c r="BD33" s="434"/>
      <c r="BE33" s="434"/>
      <c r="BF33" s="425">
        <f>0.5*(Z33+Z32)-AB32*Vlength*Vlength/6</f>
        <v>17.096726393052393</v>
      </c>
      <c r="BG33" s="434">
        <f t="shared" si="15"/>
        <v>1.1248896105996118</v>
      </c>
      <c r="BH33" s="434"/>
      <c r="BI33" s="434"/>
      <c r="BJ33" s="434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101"/>
      <c r="CG33" s="101"/>
      <c r="CH33" s="112">
        <f>E33</f>
        <v>9.5295000000000005E-2</v>
      </c>
      <c r="CI33" s="240"/>
      <c r="CJ33" s="112"/>
      <c r="CK33" s="30">
        <v>1</v>
      </c>
      <c r="CL33" s="30">
        <f>E33</f>
        <v>9.5295000000000005E-2</v>
      </c>
      <c r="CM33" s="30">
        <v>0</v>
      </c>
      <c r="CN33" s="30">
        <v>1</v>
      </c>
      <c r="CO33" s="112"/>
      <c r="CP33" s="112"/>
      <c r="CQ33" s="112"/>
      <c r="CR33" s="30">
        <v>1</v>
      </c>
      <c r="CS33" s="30">
        <f>CL33</f>
        <v>9.5295000000000005E-2</v>
      </c>
      <c r="CT33" s="30">
        <v>0</v>
      </c>
      <c r="CU33" s="30">
        <v>1</v>
      </c>
      <c r="CV33" s="112"/>
      <c r="CW33" s="30">
        <f t="shared" si="29"/>
        <v>0.85013168466000577</v>
      </c>
      <c r="CX33" s="30">
        <f t="shared" si="30"/>
        <v>4.4971502290604901</v>
      </c>
      <c r="CY33" s="30">
        <f t="shared" si="31"/>
        <v>-0.37423041815165031</v>
      </c>
      <c r="CZ33" s="30">
        <f t="shared" si="32"/>
        <v>-0.80337014022155662</v>
      </c>
      <c r="DA33" s="112"/>
      <c r="DB33" s="30">
        <f t="shared" si="33"/>
        <v>1.1399839533577174</v>
      </c>
      <c r="DC33" s="30">
        <f t="shared" si="34"/>
        <v>6.063302086572409</v>
      </c>
      <c r="DD33" s="30">
        <f t="shared" si="35"/>
        <v>0.37405367739545736</v>
      </c>
      <c r="DE33" s="30">
        <f t="shared" si="36"/>
        <v>2.8667074067282843</v>
      </c>
      <c r="DF33" s="30">
        <f>AZ33^2*Vlength</f>
        <v>2.427346013410746E-4</v>
      </c>
      <c r="DG33" s="112"/>
      <c r="DH33" s="112"/>
      <c r="DI33" s="112"/>
      <c r="DJ33" s="112"/>
      <c r="DK33" s="112"/>
      <c r="DL33" s="36"/>
      <c r="DM33" s="36"/>
      <c r="DN33" s="356"/>
      <c r="DO33" s="356"/>
      <c r="DP33" s="425"/>
      <c r="DQ33" s="425"/>
      <c r="DR33" s="425"/>
      <c r="DS33" s="425"/>
      <c r="DT33" s="425"/>
      <c r="DU33" s="425"/>
      <c r="DV33" s="425"/>
      <c r="DW33" s="425"/>
      <c r="DX33" s="425"/>
      <c r="DY33" s="425"/>
      <c r="DZ33" s="425"/>
      <c r="EA33" s="425"/>
      <c r="EB33" s="112">
        <f>E33*(1/AQ33+1/AQ32)/2</f>
        <v>0.28043018206958681</v>
      </c>
      <c r="EC33" s="112">
        <f>E33*(1/AR33+1/AR32)/2</f>
        <v>3.7903464855971247</v>
      </c>
      <c r="ED33" s="112">
        <f>E33*(AS33+AS32)/2</f>
        <v>1.3858605333611029E-2</v>
      </c>
      <c r="EE33" s="238">
        <f>(X33*AD33*AD33+2*W33*AD33*AE33+V33*AE33*AE33)*CH33</f>
        <v>4.9354713126386171E-5</v>
      </c>
      <c r="EF33" s="112">
        <f>SQRT(VaveBetax/VaveBetaz*T_Coupling)</f>
        <v>0.12577442890993601</v>
      </c>
      <c r="EG33" s="112">
        <f>IF(EF33&lt;=1,EF33^(0.021-0.044*LN(EF33)),EF33^(-0.021-0.044*LN(EF33)))/(VaveBetax*VaveBetaz)^(1/4)</f>
        <v>0.1708835634592582</v>
      </c>
      <c r="EH33" s="239">
        <f t="shared" si="41"/>
        <v>1.4264884429395788E-2</v>
      </c>
      <c r="EI33" s="239" t="e">
        <f t="shared" si="41"/>
        <v>#DIV/0!</v>
      </c>
      <c r="EJ33" s="239" t="e">
        <f t="shared" si="41"/>
        <v>#DIV/0!</v>
      </c>
      <c r="EK33" s="239" t="e">
        <f t="shared" si="41"/>
        <v>#DIV/0!</v>
      </c>
      <c r="EL33" s="239" t="e">
        <f t="shared" si="41"/>
        <v>#DIV/0!</v>
      </c>
      <c r="EM33" s="239" t="e">
        <f t="shared" si="41"/>
        <v>#DIV/0!</v>
      </c>
      <c r="EN33" s="239" t="e">
        <f t="shared" si="41"/>
        <v>#DIV/0!</v>
      </c>
      <c r="EO33" s="239" t="e">
        <f t="shared" si="41"/>
        <v>#DIV/0!</v>
      </c>
      <c r="EP33" s="239" t="e">
        <f t="shared" si="41"/>
        <v>#DIV/0!</v>
      </c>
      <c r="EQ33" s="239" t="e">
        <f t="shared" si="41"/>
        <v>#DIV/0!</v>
      </c>
      <c r="ER33" s="239" t="e">
        <f t="shared" si="41"/>
        <v>#DIV/0!</v>
      </c>
      <c r="ES33" s="239" t="e">
        <f t="shared" si="41"/>
        <v>#DIV/0!</v>
      </c>
      <c r="ET33" s="239" t="e">
        <f t="shared" si="41"/>
        <v>#DIV/0!</v>
      </c>
      <c r="EU33" s="112">
        <f>Vlength*VaveBetaz</f>
        <v>1.6292325416259279</v>
      </c>
      <c r="EW33" s="30"/>
      <c r="EX33" s="30"/>
      <c r="EY33" s="30"/>
      <c r="EZ33" s="30"/>
      <c r="FA33" s="30"/>
      <c r="FB33" s="30"/>
    </row>
    <row r="34" spans="1:158" s="129" customFormat="1" ht="15.75" customHeight="1" outlineLevel="1">
      <c r="A34" s="119"/>
      <c r="B34" s="119"/>
      <c r="C34" s="120"/>
      <c r="D34" s="121" t="s">
        <v>729</v>
      </c>
      <c r="E34" s="521"/>
      <c r="F34" s="400"/>
      <c r="G34" s="400"/>
      <c r="H34" s="400"/>
      <c r="I34" s="511"/>
      <c r="J34" s="400"/>
      <c r="K34" s="400"/>
      <c r="L34" s="400"/>
      <c r="M34" s="512"/>
      <c r="N34" s="526"/>
      <c r="O34" s="128"/>
      <c r="P34" s="457"/>
      <c r="Q34" s="457"/>
      <c r="R34" s="122">
        <f t="shared" ref="R34:AE34" si="42">R33</f>
        <v>5.2865600000000006</v>
      </c>
      <c r="S34" s="122">
        <f t="shared" si="42"/>
        <v>0</v>
      </c>
      <c r="T34" s="122">
        <f t="shared" si="42"/>
        <v>5.2865600000000006</v>
      </c>
      <c r="U34" s="122">
        <f t="shared" si="42"/>
        <v>0</v>
      </c>
      <c r="V34" s="123">
        <f t="shared" si="42"/>
        <v>25.956235375215204</v>
      </c>
      <c r="W34" s="123">
        <f t="shared" si="42"/>
        <v>11.27537448920326</v>
      </c>
      <c r="X34" s="123">
        <f t="shared" si="42"/>
        <v>4.9365429161629075</v>
      </c>
      <c r="Y34" s="123">
        <f t="shared" si="42"/>
        <v>0.14951105703056039</v>
      </c>
      <c r="Z34" s="123">
        <f t="shared" si="42"/>
        <v>17.844565097943619</v>
      </c>
      <c r="AA34" s="123">
        <f t="shared" si="42"/>
        <v>-7.962250934617261</v>
      </c>
      <c r="AB34" s="123">
        <f t="shared" si="42"/>
        <v>3.6087985104907103</v>
      </c>
      <c r="AC34" s="123">
        <f t="shared" si="42"/>
        <v>1.1276783005796021</v>
      </c>
      <c r="AD34" s="123">
        <f t="shared" si="42"/>
        <v>0.11465101529342415</v>
      </c>
      <c r="AE34" s="123">
        <f t="shared" si="42"/>
        <v>-5.046970742177289E-2</v>
      </c>
      <c r="AF34" s="124">
        <f>AF33</f>
        <v>5.1791503359447169E-4</v>
      </c>
      <c r="AG34" s="123">
        <f t="shared" ref="AG34:AP34" si="43">AG33</f>
        <v>0</v>
      </c>
      <c r="AH34" s="123">
        <f t="shared" si="43"/>
        <v>0</v>
      </c>
      <c r="AI34" s="123">
        <f t="shared" si="43"/>
        <v>0</v>
      </c>
      <c r="AJ34" s="123">
        <f t="shared" si="43"/>
        <v>0</v>
      </c>
      <c r="AK34" s="123">
        <f t="shared" si="43"/>
        <v>0</v>
      </c>
      <c r="AL34" s="123">
        <f t="shared" si="43"/>
        <v>0</v>
      </c>
      <c r="AM34" s="123">
        <f t="shared" si="43"/>
        <v>0</v>
      </c>
      <c r="AN34" s="123">
        <f t="shared" si="43"/>
        <v>0</v>
      </c>
      <c r="AO34" s="123">
        <f t="shared" si="43"/>
        <v>0</v>
      </c>
      <c r="AP34" s="123">
        <f t="shared" si="43"/>
        <v>0</v>
      </c>
      <c r="AQ34" s="122">
        <f t="shared" si="8"/>
        <v>0.33305075585949262</v>
      </c>
      <c r="AR34" s="122">
        <f t="shared" si="9"/>
        <v>2.5699550755852309E-2</v>
      </c>
      <c r="AS34" s="122">
        <f t="shared" si="10"/>
        <v>0.1454284624965741</v>
      </c>
      <c r="AT34" s="122">
        <f t="shared" si="11"/>
        <v>1.1557232897200696E-2</v>
      </c>
      <c r="AU34" s="122">
        <f t="shared" si="12"/>
        <v>33.276344653782445</v>
      </c>
      <c r="AV34" s="125">
        <f t="shared" si="13"/>
        <v>3.7012216628845733</v>
      </c>
      <c r="AW34" s="125">
        <f t="shared" si="13"/>
        <v>3.7012216628845733E-2</v>
      </c>
      <c r="AX34" s="125">
        <f t="shared" si="13"/>
        <v>1.0629909222129516E-3</v>
      </c>
      <c r="AY34" s="426">
        <f>AD34</f>
        <v>0.11465101529342415</v>
      </c>
      <c r="AZ34" s="426">
        <f>0.5*(AE33+AE34)</f>
        <v>-5.046970742177289E-2</v>
      </c>
      <c r="BA34" s="427">
        <f>V34</f>
        <v>25.956235375215204</v>
      </c>
      <c r="BB34" s="426">
        <f t="shared" si="14"/>
        <v>0.14951105703056039</v>
      </c>
      <c r="BC34" s="467"/>
      <c r="BD34" s="467"/>
      <c r="BE34" s="467"/>
      <c r="BF34" s="427">
        <f>Z34</f>
        <v>17.844565097943619</v>
      </c>
      <c r="BG34" s="467">
        <f t="shared" si="15"/>
        <v>1.1276783005796021</v>
      </c>
      <c r="BH34" s="467"/>
      <c r="BI34" s="467"/>
      <c r="BJ34" s="467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2"/>
      <c r="CG34" s="122"/>
      <c r="CH34" s="123"/>
      <c r="CI34" s="126"/>
      <c r="CJ34" s="123"/>
      <c r="CK34" s="127"/>
      <c r="CL34" s="127"/>
      <c r="CM34" s="127"/>
      <c r="CN34" s="127"/>
      <c r="CO34" s="123"/>
      <c r="CP34" s="123"/>
      <c r="CQ34" s="123"/>
      <c r="CR34" s="127"/>
      <c r="CS34" s="127"/>
      <c r="CT34" s="127"/>
      <c r="CU34" s="127"/>
      <c r="CV34" s="123"/>
      <c r="CW34" s="127">
        <f t="shared" ref="CW34:CZ34" si="44">CW33</f>
        <v>0.85013168466000577</v>
      </c>
      <c r="CX34" s="127">
        <f t="shared" si="44"/>
        <v>4.4971502290604901</v>
      </c>
      <c r="CY34" s="127">
        <f t="shared" si="44"/>
        <v>-0.37423041815165031</v>
      </c>
      <c r="CZ34" s="127">
        <f t="shared" si="44"/>
        <v>-0.80337014022155662</v>
      </c>
      <c r="DA34" s="123"/>
      <c r="DB34" s="127">
        <f t="shared" ref="DB34:DE34" si="45">DB33</f>
        <v>1.1399839533577174</v>
      </c>
      <c r="DC34" s="127">
        <f t="shared" si="45"/>
        <v>6.063302086572409</v>
      </c>
      <c r="DD34" s="127">
        <f t="shared" si="45"/>
        <v>0.37405367739545736</v>
      </c>
      <c r="DE34" s="127">
        <f t="shared" si="45"/>
        <v>2.8667074067282843</v>
      </c>
      <c r="DF34" s="127"/>
      <c r="DG34" s="123"/>
      <c r="DH34" s="123"/>
      <c r="DI34" s="123"/>
      <c r="DJ34" s="123"/>
      <c r="DK34" s="123"/>
      <c r="DL34" s="128"/>
      <c r="DM34" s="128"/>
      <c r="DN34" s="426"/>
      <c r="DO34" s="426"/>
      <c r="DP34" s="427"/>
      <c r="DQ34" s="427"/>
      <c r="DR34" s="427"/>
      <c r="DS34" s="427"/>
      <c r="DT34" s="427"/>
      <c r="DU34" s="427"/>
      <c r="DV34" s="427"/>
      <c r="DW34" s="427"/>
      <c r="DX34" s="427"/>
      <c r="DY34" s="427"/>
      <c r="DZ34" s="427"/>
      <c r="EA34" s="427"/>
      <c r="EB34" s="123"/>
      <c r="EC34" s="123"/>
      <c r="ED34" s="123"/>
      <c r="EE34" s="124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W34" s="127"/>
      <c r="EX34" s="127"/>
      <c r="EY34" s="127"/>
      <c r="EZ34" s="127"/>
      <c r="FA34" s="127"/>
      <c r="FB34" s="127"/>
    </row>
    <row r="35" spans="1:158" s="7" customFormat="1" ht="15.75" customHeight="1" outlineLevel="1">
      <c r="A35" s="31"/>
      <c r="B35" s="31"/>
      <c r="C35" s="37"/>
      <c r="D35" s="25" t="s">
        <v>567</v>
      </c>
      <c r="E35" s="395">
        <v>0.28299999999999997</v>
      </c>
      <c r="F35" s="396"/>
      <c r="G35" s="396"/>
      <c r="H35" s="396"/>
      <c r="I35" s="540"/>
      <c r="K35" s="396"/>
      <c r="L35" s="396"/>
      <c r="M35" s="396"/>
      <c r="N35" s="525"/>
      <c r="O35" s="36"/>
      <c r="P35" s="458"/>
      <c r="Q35" s="458"/>
      <c r="R35" s="101">
        <f>R34+Vlength</f>
        <v>5.569560000000001</v>
      </c>
      <c r="S35" s="101">
        <f>S34+U34*Vlength/SQRT(1+(U34)^2)</f>
        <v>0</v>
      </c>
      <c r="T35" s="101">
        <f>T34+Vlength/SQRT(1+(U34)^2)</f>
        <v>5.569560000000001</v>
      </c>
      <c r="U35" s="101">
        <f>U34</f>
        <v>0</v>
      </c>
      <c r="V35" s="112">
        <f>V34*CK35*CK35-2*W34*CK35*CL35+X34*CL35*CL35</f>
        <v>19.969736199938733</v>
      </c>
      <c r="W35" s="112">
        <f>-CM35*CK35*V34+(CK35*CN35+CL35*CM35)*W34-X34*CL35*CN35</f>
        <v>9.878332843929158</v>
      </c>
      <c r="X35" s="112">
        <f>(1+W35^2)/V35</f>
        <v>4.9365429161629075</v>
      </c>
      <c r="Y35" s="112">
        <f>ATAN2(CN35*V35+CL35*W35,CL35)+Y34</f>
        <v>0.1619416144557162</v>
      </c>
      <c r="Z35" s="112">
        <f>Z34*CR35*CR35-2*AA34*CR35*CS35+AB34*CS35*CS35</f>
        <v>22.640224190843682</v>
      </c>
      <c r="AA35" s="112">
        <f>-CT35*CR35*Z34+(CR35*CU35+CS35*CT35)*AA34-AB34*CS35*CU35</f>
        <v>-8.9835409130861326</v>
      </c>
      <c r="AB35" s="112">
        <f>(1+AA35^2)/Z35</f>
        <v>3.6087985104907099</v>
      </c>
      <c r="AC35" s="112">
        <f>ATAN2(CU35*Z35+CS35*AA35,CS35)+AC34</f>
        <v>1.1417584557180287</v>
      </c>
      <c r="AD35" s="101">
        <f>AD34+AE34*$CL35</f>
        <v>0.10036808809306243</v>
      </c>
      <c r="AE35" s="112">
        <f>AE34</f>
        <v>-5.046970742177289E-2</v>
      </c>
      <c r="AF35" s="238">
        <f>AF34</f>
        <v>5.1791503359447169E-4</v>
      </c>
      <c r="AG35" s="112">
        <f>AG34+AH34*$CL35</f>
        <v>0</v>
      </c>
      <c r="AH35" s="112">
        <f>AH34</f>
        <v>0</v>
      </c>
      <c r="AI35" s="112">
        <f>AI34+AJ34*$CL35</f>
        <v>0</v>
      </c>
      <c r="AJ35" s="112">
        <f>AJ34</f>
        <v>0</v>
      </c>
      <c r="AK35" s="112">
        <f>AK34+AL34*$CL35</f>
        <v>0</v>
      </c>
      <c r="AL35" s="112">
        <f>AL34</f>
        <v>0</v>
      </c>
      <c r="AM35" s="112">
        <f>AM34+AN34*$CS35</f>
        <v>0</v>
      </c>
      <c r="AN35" s="112">
        <f>AN34</f>
        <v>0</v>
      </c>
      <c r="AO35" s="112">
        <f>AO34+AP34*$CS35</f>
        <v>0</v>
      </c>
      <c r="AP35" s="112">
        <f>AP34</f>
        <v>0</v>
      </c>
      <c r="AQ35" s="101">
        <f t="shared" si="8"/>
        <v>0.29205351313427452</v>
      </c>
      <c r="AR35" s="101">
        <f t="shared" si="9"/>
        <v>2.8947623085102167E-2</v>
      </c>
      <c r="AS35" s="101">
        <f t="shared" si="10"/>
        <v>0.1454284624965741</v>
      </c>
      <c r="AT35" s="101">
        <f t="shared" si="11"/>
        <v>1.1557232897200695E-2</v>
      </c>
      <c r="AU35" s="101">
        <f t="shared" si="12"/>
        <v>29.205464974062174</v>
      </c>
      <c r="AV35" s="239">
        <f t="shared" si="13"/>
        <v>3.7012216628845733</v>
      </c>
      <c r="AW35" s="239">
        <f t="shared" si="13"/>
        <v>3.7012216628845733E-2</v>
      </c>
      <c r="AX35" s="239">
        <f t="shared" si="13"/>
        <v>1.0629909222129516E-3</v>
      </c>
      <c r="AY35" s="434">
        <f>0.5*(AD34+AD35)</f>
        <v>0.10750955169324329</v>
      </c>
      <c r="AZ35" s="356">
        <f>0.5*(AE34+AE35)</f>
        <v>-5.046970742177289E-2</v>
      </c>
      <c r="BA35" s="425">
        <f>0.5*(V35+V34)-X34*Vlength*Vlength/6</f>
        <v>22.897091989974875</v>
      </c>
      <c r="BB35" s="356">
        <f t="shared" si="14"/>
        <v>0.15572633574313829</v>
      </c>
      <c r="BC35" s="434"/>
      <c r="BD35" s="434"/>
      <c r="BE35" s="434"/>
      <c r="BF35" s="425">
        <f>0.5*(Z35+Z34)-AB34*Vlength*Vlength/6</f>
        <v>20.194223800409201</v>
      </c>
      <c r="BG35" s="434">
        <f t="shared" si="15"/>
        <v>1.1347183781488153</v>
      </c>
      <c r="BH35" s="434"/>
      <c r="BI35" s="434"/>
      <c r="BJ35" s="434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39"/>
      <c r="CB35" s="239"/>
      <c r="CC35" s="239"/>
      <c r="CD35" s="239"/>
      <c r="CE35" s="239"/>
      <c r="CF35" s="101"/>
      <c r="CG35" s="101"/>
      <c r="CH35" s="112">
        <f>E35</f>
        <v>0.28299999999999997</v>
      </c>
      <c r="CI35" s="240"/>
      <c r="CJ35" s="112"/>
      <c r="CK35" s="30">
        <v>1</v>
      </c>
      <c r="CL35" s="30">
        <f>E35</f>
        <v>0.28299999999999997</v>
      </c>
      <c r="CM35" s="30">
        <v>0</v>
      </c>
      <c r="CN35" s="30">
        <v>1</v>
      </c>
      <c r="CO35" s="112"/>
      <c r="CP35" s="112"/>
      <c r="CQ35" s="112"/>
      <c r="CR35" s="30">
        <v>1</v>
      </c>
      <c r="CS35" s="30">
        <f>CL35</f>
        <v>0.28299999999999997</v>
      </c>
      <c r="CT35" s="30">
        <v>0</v>
      </c>
      <c r="CU35" s="30">
        <v>1</v>
      </c>
      <c r="CV35" s="112"/>
      <c r="CW35" s="30">
        <f>CW34*CK35+CY34*CL35</f>
        <v>0.74422447632308875</v>
      </c>
      <c r="CX35" s="30">
        <f>CX34*CK35+CZ34*CL35</f>
        <v>4.2697964793777894</v>
      </c>
      <c r="CY35" s="30">
        <f>CW34*CM35+CY34*CN35</f>
        <v>-0.37423041815165031</v>
      </c>
      <c r="CZ35" s="30">
        <f>CX34*CM35+CZ34*CN35</f>
        <v>-0.80337014022155662</v>
      </c>
      <c r="DA35" s="112"/>
      <c r="DB35" s="30">
        <f>DB34*CR35+DD34*CS35</f>
        <v>1.2458411440606318</v>
      </c>
      <c r="DC35" s="30">
        <f>DC34*CR35+DE34*CS35</f>
        <v>6.8745802826765132</v>
      </c>
      <c r="DD35" s="30">
        <f>DB34*CT35+DD34*CU35</f>
        <v>0.37405367739545736</v>
      </c>
      <c r="DE35" s="30">
        <f>DC34*CT35+DE34*CU35</f>
        <v>2.8667074067282843</v>
      </c>
      <c r="DF35" s="30">
        <f>AZ35^2*Vlength</f>
        <v>7.2085515692873819E-4</v>
      </c>
      <c r="DG35" s="112"/>
      <c r="DH35" s="112"/>
      <c r="DI35" s="112"/>
      <c r="DJ35" s="112"/>
      <c r="DK35" s="112"/>
      <c r="DL35" s="36"/>
      <c r="DM35" s="36"/>
      <c r="DN35" s="356"/>
      <c r="DO35" s="356"/>
      <c r="DP35" s="425"/>
      <c r="DQ35" s="425"/>
      <c r="DR35" s="425"/>
      <c r="DS35" s="425"/>
      <c r="DT35" s="425"/>
      <c r="DU35" s="425"/>
      <c r="DV35" s="425"/>
      <c r="DW35" s="425"/>
      <c r="DX35" s="425"/>
      <c r="DY35" s="425"/>
      <c r="DZ35" s="425"/>
      <c r="EA35" s="425"/>
      <c r="EB35" s="112">
        <f>E35*(1/AQ35+1/AQ34)/2</f>
        <v>0.90936041730417849</v>
      </c>
      <c r="EC35" s="112">
        <f>E35*(1/AR35+1/AR34)/2</f>
        <v>10.394071636178969</v>
      </c>
      <c r="ED35" s="112">
        <f>E35*(AS35+AS34)/2</f>
        <v>4.1156254886530463E-2</v>
      </c>
      <c r="EE35" s="238">
        <f>(X35*AD35*AD35+2*W35*AD35*AE35+V35*AE35*AE35)*CH35</f>
        <v>1.4656995450723645E-4</v>
      </c>
      <c r="EF35" s="112">
        <f>SQRT(VaveBetax/VaveBetaz*T_Coupling)</f>
        <v>0.10648209373261919</v>
      </c>
      <c r="EG35" s="112">
        <f>IF(EF35&lt;=1,EF35^(0.021-0.044*LN(EF35)),EF35^(-0.021-0.044*LN(EF35)))/(VaveBetax*VaveBetaz)^(1/4)</f>
        <v>0.1649904463008795</v>
      </c>
      <c r="EH35" s="239">
        <f t="shared" ref="EH35:ET35" si="46">$EG35*Vlength/SQRT(1+EH$7*EH$7/EH$8*1000000000/Vlength*$EE35)</f>
        <v>4.0901862466305769E-2</v>
      </c>
      <c r="EI35" s="239" t="e">
        <f t="shared" si="46"/>
        <v>#DIV/0!</v>
      </c>
      <c r="EJ35" s="239" t="e">
        <f t="shared" si="46"/>
        <v>#DIV/0!</v>
      </c>
      <c r="EK35" s="239" t="e">
        <f t="shared" si="46"/>
        <v>#DIV/0!</v>
      </c>
      <c r="EL35" s="239" t="e">
        <f t="shared" si="46"/>
        <v>#DIV/0!</v>
      </c>
      <c r="EM35" s="239" t="e">
        <f t="shared" si="46"/>
        <v>#DIV/0!</v>
      </c>
      <c r="EN35" s="239" t="e">
        <f t="shared" si="46"/>
        <v>#DIV/0!</v>
      </c>
      <c r="EO35" s="239" t="e">
        <f t="shared" si="46"/>
        <v>#DIV/0!</v>
      </c>
      <c r="EP35" s="239" t="e">
        <f t="shared" si="46"/>
        <v>#DIV/0!</v>
      </c>
      <c r="EQ35" s="239" t="e">
        <f t="shared" si="46"/>
        <v>#DIV/0!</v>
      </c>
      <c r="ER35" s="239" t="e">
        <f t="shared" si="46"/>
        <v>#DIV/0!</v>
      </c>
      <c r="ES35" s="239" t="e">
        <f t="shared" si="46"/>
        <v>#DIV/0!</v>
      </c>
      <c r="ET35" s="239" t="e">
        <f t="shared" si="46"/>
        <v>#DIV/0!</v>
      </c>
      <c r="EU35" s="112">
        <f>Vlength*VaveBetaz</f>
        <v>5.714965335515803</v>
      </c>
      <c r="EW35" s="30"/>
      <c r="EX35" s="30"/>
      <c r="EY35" s="30"/>
      <c r="EZ35" s="30"/>
      <c r="FA35" s="30"/>
      <c r="FB35" s="30"/>
    </row>
    <row r="36" spans="1:158" s="54" customFormat="1" ht="15.75" customHeight="1" outlineLevel="1">
      <c r="A36" s="51"/>
      <c r="B36" s="51"/>
      <c r="C36" s="52" t="s">
        <v>493</v>
      </c>
      <c r="D36" s="53" t="s">
        <v>1125</v>
      </c>
      <c r="E36" s="397">
        <v>-1.1666300000000001</v>
      </c>
      <c r="F36" s="54">
        <v>0</v>
      </c>
      <c r="G36" s="399"/>
      <c r="H36" s="399"/>
      <c r="I36" s="548"/>
      <c r="K36" s="398"/>
      <c r="L36" s="398"/>
      <c r="M36" s="509"/>
      <c r="N36" s="528"/>
      <c r="O36" s="430"/>
      <c r="P36" s="465"/>
      <c r="Q36" s="465"/>
      <c r="R36" s="56">
        <f t="shared" ref="R36:AG37" si="47">R35</f>
        <v>5.569560000000001</v>
      </c>
      <c r="S36" s="56">
        <f t="shared" si="47"/>
        <v>0</v>
      </c>
      <c r="T36" s="56">
        <f t="shared" si="47"/>
        <v>5.569560000000001</v>
      </c>
      <c r="U36" s="56">
        <f t="shared" si="47"/>
        <v>0</v>
      </c>
      <c r="V36" s="57">
        <f>V35*CK36*CK36-2*W35*CK36*CL36+X35*CL36*CL36</f>
        <v>19.969736199938733</v>
      </c>
      <c r="W36" s="57">
        <f>-CM36*CK36*V35+(CK36*CN36+CL36*CM36)*W35-X35*CL36*CN36</f>
        <v>9.878332843929158</v>
      </c>
      <c r="X36" s="57">
        <f>(1+W36^2)/V36</f>
        <v>4.9365429161629075</v>
      </c>
      <c r="Y36" s="57">
        <f>ATAN2(CN36*V36+CL36*W36,CL36)+Y35</f>
        <v>0.1619416144557162</v>
      </c>
      <c r="Z36" s="57">
        <f>Z35*CR36*CR36-2*AA35*CR36*CS36+AB35*CS36*CS36</f>
        <v>22.640224190843682</v>
      </c>
      <c r="AA36" s="57">
        <f>-CT36*CR36*Z35+(CR36*CU36+CS36*CT36)*AA35-AB35*CS36*CU36</f>
        <v>-8.9835409130861326</v>
      </c>
      <c r="AB36" s="57">
        <f>(1+AA36^2)/Z36</f>
        <v>3.6087985104907099</v>
      </c>
      <c r="AC36" s="57">
        <f>ATAN2(CU36*Z36+CS36*AA36,CS36)+AC35</f>
        <v>1.1417584557180287</v>
      </c>
      <c r="AD36" s="56">
        <f>AD35</f>
        <v>0.10036808809306243</v>
      </c>
      <c r="AE36" s="57">
        <f>AD35*$CM36+AE35</f>
        <v>-5.046970742177289E-2</v>
      </c>
      <c r="AF36" s="58">
        <f t="shared" ref="AF36:AG36" si="48">AF35</f>
        <v>5.1791503359447169E-4</v>
      </c>
      <c r="AG36" s="57">
        <f t="shared" si="48"/>
        <v>0</v>
      </c>
      <c r="AH36" s="57">
        <f>AG35*$CM36+AH35</f>
        <v>0</v>
      </c>
      <c r="AI36" s="57">
        <f>AI35*$CK36+AJ35*$CL36+0.001*(1-$CK36)*$K36</f>
        <v>0</v>
      </c>
      <c r="AJ36" s="57">
        <f>AI35*$CM36+AJ35*$CN36-0.001*$CM36*$K36</f>
        <v>0</v>
      </c>
      <c r="AK36" s="57">
        <f>AK35*$CK36+AL35*$CL36+0.001*(1-$CK36)*$K36</f>
        <v>0</v>
      </c>
      <c r="AL36" s="57">
        <f>AK35*$CM36+AL35*$CN36-0.001*$CM36*$K36</f>
        <v>0</v>
      </c>
      <c r="AM36" s="57">
        <f>AM35*$CR36+AN35*$CS36+0.001*(1-$CR36)*$L36</f>
        <v>0</v>
      </c>
      <c r="AN36" s="57">
        <f>AM35*$CT36+AN35*$CU36-0.001*$CT36*$L36</f>
        <v>0</v>
      </c>
      <c r="AO36" s="57">
        <f>AO35*$CR36+AP35*$CS36+0.001*(1-$CR36)*$L36</f>
        <v>0</v>
      </c>
      <c r="AP36" s="57">
        <f>AO35*$CT36+AP35*$CU36-0.001*$CT36*$L36</f>
        <v>0</v>
      </c>
      <c r="AQ36" s="56">
        <f t="shared" si="8"/>
        <v>0.29205351313427452</v>
      </c>
      <c r="AR36" s="56">
        <f t="shared" si="9"/>
        <v>2.8947623085102167E-2</v>
      </c>
      <c r="AS36" s="56">
        <f t="shared" si="10"/>
        <v>0.1454284624965741</v>
      </c>
      <c r="AT36" s="56">
        <f t="shared" si="11"/>
        <v>1.1557232897200695E-2</v>
      </c>
      <c r="AU36" s="56">
        <f t="shared" si="12"/>
        <v>29.205464974062174</v>
      </c>
      <c r="AV36" s="59">
        <f t="shared" si="13"/>
        <v>3.7012216628845733</v>
      </c>
      <c r="AW36" s="59">
        <f t="shared" si="13"/>
        <v>3.7012216628845733E-2</v>
      </c>
      <c r="AX36" s="59">
        <f t="shared" si="13"/>
        <v>1.0629909222129516E-3</v>
      </c>
      <c r="AY36" s="55">
        <f>AD36</f>
        <v>0.10036808809306243</v>
      </c>
      <c r="AZ36" s="55">
        <f>0.5*(AE35+AE36)</f>
        <v>-5.046970742177289E-2</v>
      </c>
      <c r="BA36" s="430">
        <f>V36</f>
        <v>19.969736199938733</v>
      </c>
      <c r="BB36" s="55">
        <f t="shared" si="14"/>
        <v>0.1619416144557162</v>
      </c>
      <c r="BC36" s="442">
        <f>VaveBetax*AY36</f>
        <v>2.0043242421106684</v>
      </c>
      <c r="BD36" s="442"/>
      <c r="BE36" s="442"/>
      <c r="BF36" s="430">
        <f>Z36</f>
        <v>22.640224190843682</v>
      </c>
      <c r="BG36" s="442">
        <f t="shared" si="15"/>
        <v>1.1417584557180287</v>
      </c>
      <c r="BH36" s="442">
        <f>VaveBetaz*AY36</f>
        <v>2.2723560160332816</v>
      </c>
      <c r="BI36" s="442"/>
      <c r="BJ36" s="442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>
        <f>AY36^2*VaveBetaz*VHl^2</f>
        <v>0.31041186000542792</v>
      </c>
      <c r="CB36" s="57"/>
      <c r="CC36" s="57">
        <f>VaveBetax*VaveBetaz*VKl^2</f>
        <v>0</v>
      </c>
      <c r="CD36" s="57">
        <f>(VaveBetax*VKl)^2</f>
        <v>0</v>
      </c>
      <c r="CE36" s="57">
        <f>(VaveBetaz*VKl)^2</f>
        <v>0</v>
      </c>
      <c r="CF36" s="56">
        <f>-0.001*$E36*$K36</f>
        <v>0</v>
      </c>
      <c r="CG36" s="56">
        <f>$E36</f>
        <v>-1.1666300000000001</v>
      </c>
      <c r="CH36" s="57"/>
      <c r="CI36" s="60"/>
      <c r="CJ36" s="57"/>
      <c r="CK36" s="61">
        <v>1</v>
      </c>
      <c r="CL36" s="61">
        <v>0</v>
      </c>
      <c r="CM36" s="56">
        <f>-VKl</f>
        <v>0</v>
      </c>
      <c r="CN36" s="61">
        <v>1</v>
      </c>
      <c r="CO36" s="57"/>
      <c r="CP36" s="57"/>
      <c r="CQ36" s="57"/>
      <c r="CR36" s="61">
        <v>1</v>
      </c>
      <c r="CS36" s="61">
        <v>0</v>
      </c>
      <c r="CT36" s="61">
        <f>VKl</f>
        <v>0</v>
      </c>
      <c r="CU36" s="61">
        <v>1</v>
      </c>
      <c r="CV36" s="57"/>
      <c r="CW36" s="61">
        <f>CW35*CK36+CY35*CL36</f>
        <v>0.74422447632308875</v>
      </c>
      <c r="CX36" s="61">
        <f>CX35*CK36+CZ35*CL36</f>
        <v>4.2697964793777894</v>
      </c>
      <c r="CY36" s="61">
        <f>CW35*CM36+CY35*CN36</f>
        <v>-0.37423041815165031</v>
      </c>
      <c r="CZ36" s="61">
        <f>CX35*CM36+CZ35*CN36</f>
        <v>-0.80337014022155662</v>
      </c>
      <c r="DA36" s="57"/>
      <c r="DB36" s="61">
        <f>DB35*CR36+DD35*CS36</f>
        <v>1.2458411440606318</v>
      </c>
      <c r="DC36" s="61">
        <f>DC35*CR36+DE35*CS36</f>
        <v>6.8745802826765132</v>
      </c>
      <c r="DD36" s="61">
        <f>DB35*CT36+DD35*CU36</f>
        <v>0.37405367739545736</v>
      </c>
      <c r="DE36" s="61">
        <f>DC35*CT36+DE35*CU36</f>
        <v>2.8667074067282843</v>
      </c>
      <c r="DF36" s="61"/>
      <c r="DG36" s="57"/>
      <c r="DH36" s="57"/>
      <c r="DI36" s="57"/>
      <c r="DJ36" s="57"/>
      <c r="DK36" s="57"/>
      <c r="DL36" s="62"/>
      <c r="DM36" s="62"/>
      <c r="DN36" s="55">
        <f>-VaveBetax*VKl+2*VHl*$BC36</f>
        <v>-4.6766095811471384</v>
      </c>
      <c r="DO36" s="55">
        <f>VaveBetaz*VKl-2*VHl*$BH36</f>
        <v>5.3019973979698154</v>
      </c>
      <c r="DP36" s="430" t="str">
        <f>IMPRODUCT(1/8*V36*(-CM36+2*VHl*AD36),COMPLEX(COS(2*VmidMux),SIN(2*VmidMux)))</f>
        <v>-0.554182169690432-0.186041537427562i</v>
      </c>
      <c r="DQ36" s="430" t="str">
        <f>IMPRODUCT(-1/8*Z36*(-CM36+2*VHl*AD36),COMPLEX(COS(2*VmidMuz),SIN(2*VmidMuz)))</f>
        <v>-0.433368396254911+0.501426928379077i</v>
      </c>
      <c r="DR36" s="430" t="str">
        <f>IMPRODUCT(1/2*SQRT(V36)*AD36*(-CM36+2*VHl*AD36),COMPLEX(COS(Y36),SIN(Y36)))</f>
        <v>-0.0518311488891846-0.00846777235855343i</v>
      </c>
      <c r="DS36" s="430" t="str">
        <f>IMPRODUCT(-1/8*VHl*V36^(3/2),COMPLEX(COS(Y36),SIN(Y36)))</f>
        <v>12.8434551553904+2.09826440053751i</v>
      </c>
      <c r="DT36" s="430" t="str">
        <f>IMPRODUCT(-1/24*VHl*V36^(3/2),COMPLEX(COS(3*Y36),SIN(3*Y36)))</f>
        <v>3.83596956590098+2.02553398250163i</v>
      </c>
      <c r="DU36" s="430" t="str">
        <f>IMPRODUCT(1/4*VHl*V36^(1/2)*Z36,COMPLEX(COS(Y36),SIN(Y36)))</f>
        <v>-29.1219374349049-4.75771697374563i</v>
      </c>
      <c r="DV36" s="430" t="str">
        <f>IMPRODUCT(1/8*VHl*V36^(1/2)*Z36,COMPLEX(COS(Y36-2*AC36),SIN(Y36-2*AC36)))</f>
        <v>7.72152767760873+12.5721433341781i</v>
      </c>
      <c r="DW36" s="430" t="str">
        <f>IMPRODUCT(1/8*VHl*V36^(1/2)*Z36,COMPLEX(COS(Y36+2*AC36),SIN(Y36+2*AC36)))</f>
        <v>11.3211483174163-9.46109816386336i</v>
      </c>
      <c r="DX36" s="430"/>
      <c r="DY36" s="430"/>
      <c r="DZ36" s="430"/>
      <c r="EA36" s="430"/>
      <c r="EB36" s="57"/>
      <c r="EC36" s="57"/>
      <c r="ED36" s="57"/>
      <c r="EE36" s="58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W36" s="61" t="str">
        <f>IMPRODUCT(VKl*VaveBetax^(ABS(EW$5)/2)*VaveBetaz^(ABS(EW$6)/2),COMPLEX(COS(EW$5*VmidMux+EW$6*VmidMuz+EW$23*$R36),SIN(EW$5*VmidMux+EW$6*VmidMuz+EW$23*$R36)))</f>
        <v>0</v>
      </c>
      <c r="EX36" s="61" t="str">
        <f>IMPRODUCT(VKl*VaveBetax^(ABS(EX$5)/2)*VaveBetaz^(ABS(EX$6)/2),COMPLEX(COS(EX$5*VmidMux+EX$6*VmidMuz+EX$23*$R36),SIN(EX$5*VmidMux+EX$6*VmidMuz+EX$23*$R36)))</f>
        <v>0</v>
      </c>
      <c r="EY36" s="61" t="str">
        <f t="shared" ref="EY36:FA36" si="49">IMPRODUCT(VHl*VaveBetax^(ABS(EY$5)/2)*VaveBetaz^(ABS(EY$6)/2),COMPLEX(COS(EY$5*VmidMux+EY$6*VmidMuz+EY$23*$R36),SIN(EY$5*VmidMux+EY$6*VmidMuz+EY$23*$R36)))</f>
        <v>-51.9586326148877+90.2172485806827i</v>
      </c>
      <c r="EZ36" s="61" t="str">
        <f t="shared" si="49"/>
        <v>117.947965040301+4.45503255749696i</v>
      </c>
      <c r="FA36" s="61" t="str">
        <f t="shared" si="49"/>
        <v>-117.558936695954-10.5577542665669i</v>
      </c>
      <c r="FB36" s="61"/>
    </row>
    <row r="37" spans="1:158" s="140" customFormat="1" ht="15.75" customHeight="1" outlineLevel="1">
      <c r="A37" s="130"/>
      <c r="B37" s="130"/>
      <c r="C37" s="131" t="s">
        <v>1025</v>
      </c>
      <c r="D37" s="132" t="s">
        <v>698</v>
      </c>
      <c r="E37" s="406">
        <v>0</v>
      </c>
      <c r="F37" s="406">
        <v>0</v>
      </c>
      <c r="G37" s="407"/>
      <c r="H37" s="407"/>
      <c r="I37" s="545"/>
      <c r="K37" s="407"/>
      <c r="L37" s="407"/>
      <c r="M37" s="407"/>
      <c r="N37" s="529"/>
      <c r="O37" s="134"/>
      <c r="P37" s="460"/>
      <c r="Q37" s="460"/>
      <c r="R37" s="133">
        <f t="shared" si="47"/>
        <v>5.569560000000001</v>
      </c>
      <c r="S37" s="133">
        <f t="shared" si="47"/>
        <v>0</v>
      </c>
      <c r="T37" s="133">
        <f t="shared" si="47"/>
        <v>5.569560000000001</v>
      </c>
      <c r="U37" s="133">
        <f t="shared" si="47"/>
        <v>0</v>
      </c>
      <c r="V37" s="134">
        <f t="shared" si="47"/>
        <v>19.969736199938733</v>
      </c>
      <c r="W37" s="134">
        <f t="shared" si="47"/>
        <v>9.878332843929158</v>
      </c>
      <c r="X37" s="134">
        <f t="shared" si="47"/>
        <v>4.9365429161629075</v>
      </c>
      <c r="Y37" s="134">
        <f t="shared" si="47"/>
        <v>0.1619416144557162</v>
      </c>
      <c r="Z37" s="134">
        <f t="shared" si="47"/>
        <v>22.640224190843682</v>
      </c>
      <c r="AA37" s="134">
        <f t="shared" si="47"/>
        <v>-8.9835409130861326</v>
      </c>
      <c r="AB37" s="134">
        <f t="shared" si="47"/>
        <v>3.6087985104907099</v>
      </c>
      <c r="AC37" s="134">
        <f t="shared" si="47"/>
        <v>1.1417584557180287</v>
      </c>
      <c r="AD37" s="134">
        <f t="shared" si="47"/>
        <v>0.10036808809306243</v>
      </c>
      <c r="AE37" s="134">
        <f t="shared" si="47"/>
        <v>-5.046970742177289E-2</v>
      </c>
      <c r="AF37" s="135">
        <f t="shared" si="47"/>
        <v>5.1791503359447169E-4</v>
      </c>
      <c r="AG37" s="134">
        <f t="shared" si="47"/>
        <v>0</v>
      </c>
      <c r="AH37" s="134">
        <f t="shared" ref="AH37:AI37" si="50">AH36</f>
        <v>0</v>
      </c>
      <c r="AI37" s="134">
        <f t="shared" si="50"/>
        <v>0</v>
      </c>
      <c r="AJ37" s="134">
        <f>AJ36+$E37</f>
        <v>0</v>
      </c>
      <c r="AK37" s="134">
        <f>AK36</f>
        <v>0</v>
      </c>
      <c r="AL37" s="134">
        <f>AL36+$E37</f>
        <v>0</v>
      </c>
      <c r="AM37" s="134">
        <f>AM36</f>
        <v>0</v>
      </c>
      <c r="AN37" s="134">
        <f>AN36+$F37</f>
        <v>0</v>
      </c>
      <c r="AO37" s="134">
        <f>AO36</f>
        <v>0</v>
      </c>
      <c r="AP37" s="134">
        <f>AP36+$F37</f>
        <v>0</v>
      </c>
      <c r="AQ37" s="133">
        <f t="shared" si="8"/>
        <v>0.29205351313427452</v>
      </c>
      <c r="AR37" s="133">
        <f t="shared" si="9"/>
        <v>2.8947623085102167E-2</v>
      </c>
      <c r="AS37" s="133">
        <f t="shared" si="10"/>
        <v>0.1454284624965741</v>
      </c>
      <c r="AT37" s="133">
        <f t="shared" si="11"/>
        <v>1.1557232897200695E-2</v>
      </c>
      <c r="AU37" s="133">
        <f t="shared" si="12"/>
        <v>29.205464974062174</v>
      </c>
      <c r="AV37" s="136">
        <f t="shared" si="13"/>
        <v>3.7012216628845733</v>
      </c>
      <c r="AW37" s="136">
        <f t="shared" si="13"/>
        <v>3.7012216628845733E-2</v>
      </c>
      <c r="AX37" s="136">
        <f t="shared" si="13"/>
        <v>1.0629909222129516E-3</v>
      </c>
      <c r="AY37" s="431">
        <f>AD37</f>
        <v>0.10036808809306243</v>
      </c>
      <c r="AZ37" s="431">
        <f>(AE37+AE36)/2</f>
        <v>-5.046970742177289E-2</v>
      </c>
      <c r="BA37" s="432">
        <f>V37</f>
        <v>19.969736199938733</v>
      </c>
      <c r="BB37" s="431">
        <f t="shared" si="14"/>
        <v>0.1619416144557162</v>
      </c>
      <c r="BC37" s="501"/>
      <c r="BD37" s="502"/>
      <c r="BE37" s="502"/>
      <c r="BF37" s="432">
        <f>Z37</f>
        <v>22.640224190843682</v>
      </c>
      <c r="BG37" s="502">
        <f t="shared" si="15"/>
        <v>1.1417584557180287</v>
      </c>
      <c r="BH37" s="502"/>
      <c r="BI37" s="502"/>
      <c r="BJ37" s="502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4"/>
      <c r="CF37" s="133"/>
      <c r="CG37" s="133"/>
      <c r="CH37" s="134"/>
      <c r="CI37" s="137"/>
      <c r="CJ37" s="134"/>
      <c r="CK37" s="138"/>
      <c r="CL37" s="138"/>
      <c r="CM37" s="138"/>
      <c r="CN37" s="138"/>
      <c r="CO37" s="134"/>
      <c r="CP37" s="134"/>
      <c r="CQ37" s="134"/>
      <c r="CR37" s="138"/>
      <c r="CS37" s="138"/>
      <c r="CT37" s="138"/>
      <c r="CU37" s="138"/>
      <c r="CV37" s="134"/>
      <c r="CW37" s="127">
        <f>CW36</f>
        <v>0.74422447632308875</v>
      </c>
      <c r="CX37" s="127">
        <f>CX36</f>
        <v>4.2697964793777894</v>
      </c>
      <c r="CY37" s="127">
        <f>CY36</f>
        <v>-0.37423041815165031</v>
      </c>
      <c r="CZ37" s="127">
        <f>CZ36</f>
        <v>-0.80337014022155662</v>
      </c>
      <c r="DA37" s="134"/>
      <c r="DB37" s="127">
        <f>DB36</f>
        <v>1.2458411440606318</v>
      </c>
      <c r="DC37" s="127">
        <f>DC36</f>
        <v>6.8745802826765132</v>
      </c>
      <c r="DD37" s="127">
        <f>DD36</f>
        <v>0.37405367739545736</v>
      </c>
      <c r="DE37" s="127">
        <f>DE36</f>
        <v>2.8667074067282843</v>
      </c>
      <c r="DF37" s="138"/>
      <c r="DG37" s="134"/>
      <c r="DH37" s="134"/>
      <c r="DI37" s="134"/>
      <c r="DJ37" s="134"/>
      <c r="DK37" s="134"/>
      <c r="DL37" s="139"/>
      <c r="DM37" s="139"/>
      <c r="DN37" s="431"/>
      <c r="DO37" s="431"/>
      <c r="DP37" s="432"/>
      <c r="DQ37" s="432"/>
      <c r="DR37" s="432"/>
      <c r="DS37" s="432"/>
      <c r="DT37" s="432"/>
      <c r="DU37" s="432"/>
      <c r="DV37" s="432"/>
      <c r="DW37" s="432"/>
      <c r="DX37" s="432"/>
      <c r="DY37" s="432"/>
      <c r="DZ37" s="432"/>
      <c r="EA37" s="432"/>
      <c r="EB37" s="134"/>
      <c r="EC37" s="134"/>
      <c r="ED37" s="134"/>
      <c r="EE37" s="135"/>
      <c r="EF37" s="135"/>
      <c r="EG37" s="135"/>
      <c r="EH37" s="134"/>
      <c r="EI37" s="134"/>
      <c r="EJ37" s="134"/>
      <c r="EK37" s="134"/>
      <c r="EL37" s="134"/>
      <c r="EM37" s="134"/>
      <c r="EN37" s="134"/>
      <c r="EO37" s="134"/>
      <c r="EP37" s="134"/>
      <c r="EQ37" s="134"/>
      <c r="ER37" s="134"/>
      <c r="ES37" s="134"/>
      <c r="ET37" s="134"/>
      <c r="EU37" s="134"/>
      <c r="EW37" s="138"/>
      <c r="EX37" s="138"/>
      <c r="EY37" s="138"/>
      <c r="EZ37" s="138"/>
      <c r="FA37" s="138"/>
      <c r="FB37" s="138"/>
    </row>
    <row r="38" spans="1:158" s="7" customFormat="1" ht="15.75" customHeight="1" outlineLevel="1">
      <c r="A38" s="31"/>
      <c r="B38" s="31"/>
      <c r="C38" s="37"/>
      <c r="D38" s="25" t="s">
        <v>567</v>
      </c>
      <c r="E38" s="395">
        <v>0.33316499999999999</v>
      </c>
      <c r="F38" s="396"/>
      <c r="G38" s="396"/>
      <c r="H38" s="396"/>
      <c r="I38" s="540"/>
      <c r="K38" s="396"/>
      <c r="L38" s="396"/>
      <c r="M38" s="396"/>
      <c r="N38" s="525"/>
      <c r="O38" s="36"/>
      <c r="P38" s="458"/>
      <c r="Q38" s="458"/>
      <c r="R38" s="101">
        <f>R37+Vlength</f>
        <v>5.9027250000000011</v>
      </c>
      <c r="S38" s="101">
        <f>S37+U37*Vlength/SQRT(1+(U37)^2)</f>
        <v>0</v>
      </c>
      <c r="T38" s="101">
        <f>T37+Vlength/SQRT(1+(U37)^2)</f>
        <v>5.9027250000000011</v>
      </c>
      <c r="U38" s="101">
        <f>U37</f>
        <v>0</v>
      </c>
      <c r="V38" s="112">
        <f t="shared" ref="V38:V48" si="51">V37*CK38*CK38-2*W37*CK38*CL38+X37*CL38*CL38</f>
        <v>13.935457594572245</v>
      </c>
      <c r="W38" s="112">
        <f t="shared" ref="W38:W48" si="52">-CM38*CK38*V37+(CK38*CN38+CL38*CM38)*W37-X37*CL38*CN38</f>
        <v>8.2336495232657434</v>
      </c>
      <c r="X38" s="112">
        <f t="shared" ref="X38:X48" si="53">(1+W38^2)/V38</f>
        <v>4.9365429161629075</v>
      </c>
      <c r="Y38" s="112">
        <f t="shared" ref="Y38:Y48" si="54">ATAN2(CN38*V38+CL38*W38,CL38)+Y37</f>
        <v>0.18191452998074681</v>
      </c>
      <c r="Z38" s="112">
        <f t="shared" ref="Z38:Z48" si="55">Z37*CR38*CR38-2*AA37*CR38*CS38+AB37*CS38*CS38</f>
        <v>29.026799734608026</v>
      </c>
      <c r="AA38" s="112">
        <f t="shared" ref="AA38:AA48" si="56">-CT38*CR38*Z37+(CR38*CU38+CS38*CT38)*AA37-AB37*CS38*CU38</f>
        <v>-10.18586626883377</v>
      </c>
      <c r="AB38" s="112">
        <f t="shared" ref="AB38:AB48" si="57">(1+AA38^2)/Z38</f>
        <v>3.6087985104907103</v>
      </c>
      <c r="AC38" s="112">
        <f t="shared" ref="AC38:AC48" si="58">ATAN2(CU38*Z38+CS38*AA38,CS38)+AC37</f>
        <v>1.1547551127269768</v>
      </c>
      <c r="AD38" s="101">
        <f>AD37+AE37*$CL38</f>
        <v>8.3553348019887466E-2</v>
      </c>
      <c r="AE38" s="112">
        <f>AE37</f>
        <v>-5.046970742177289E-2</v>
      </c>
      <c r="AF38" s="238">
        <f>AF37</f>
        <v>5.1791503359447169E-4</v>
      </c>
      <c r="AG38" s="112">
        <f>AG37+AH37*$CL38</f>
        <v>0</v>
      </c>
      <c r="AH38" s="112">
        <f>AH37</f>
        <v>0</v>
      </c>
      <c r="AI38" s="112">
        <f>AI37+AJ37*$CL38</f>
        <v>0</v>
      </c>
      <c r="AJ38" s="112">
        <f>AJ37</f>
        <v>0</v>
      </c>
      <c r="AK38" s="112">
        <f>AK37+AL37*$CL38</f>
        <v>0</v>
      </c>
      <c r="AL38" s="112">
        <f>AL37</f>
        <v>0</v>
      </c>
      <c r="AM38" s="112">
        <f>AM37+AN37*$CS38</f>
        <v>0</v>
      </c>
      <c r="AN38" s="112">
        <f>AN37</f>
        <v>0</v>
      </c>
      <c r="AO38" s="112">
        <f>AO37+AP37*$CS38</f>
        <v>0</v>
      </c>
      <c r="AP38" s="112">
        <f>AP37</f>
        <v>0</v>
      </c>
      <c r="AQ38" s="101">
        <f t="shared" si="8"/>
        <v>0.24385770318887939</v>
      </c>
      <c r="AR38" s="101">
        <f t="shared" si="9"/>
        <v>3.2777220745808112E-2</v>
      </c>
      <c r="AS38" s="101">
        <f t="shared" si="10"/>
        <v>0.1454284624965741</v>
      </c>
      <c r="AT38" s="101">
        <f t="shared" si="11"/>
        <v>1.1557232897200696E-2</v>
      </c>
      <c r="AU38" s="101">
        <f t="shared" si="12"/>
        <v>24.427402187871184</v>
      </c>
      <c r="AV38" s="239">
        <f t="shared" si="13"/>
        <v>3.7012216628845733</v>
      </c>
      <c r="AW38" s="239">
        <f t="shared" si="13"/>
        <v>3.7012216628845733E-2</v>
      </c>
      <c r="AX38" s="239">
        <f t="shared" si="13"/>
        <v>1.0629909222129516E-3</v>
      </c>
      <c r="AY38" s="434">
        <f>0.5*(AD37+AD38)</f>
        <v>9.1960718056474947E-2</v>
      </c>
      <c r="AZ38" s="356">
        <f>0.5*(AE37+AE38)</f>
        <v>-5.046970742177289E-2</v>
      </c>
      <c r="BA38" s="425">
        <f>0.5*(V38+V37)-X37*Vlength*Vlength/6</f>
        <v>16.86127174416735</v>
      </c>
      <c r="BB38" s="356">
        <f t="shared" si="14"/>
        <v>0.1719280722182315</v>
      </c>
      <c r="BC38" s="434"/>
      <c r="BD38" s="434"/>
      <c r="BE38" s="434"/>
      <c r="BF38" s="425">
        <f>0.5*(Z38+Z37)-AB37*Vlength*Vlength/6</f>
        <v>25.766749841534576</v>
      </c>
      <c r="BG38" s="434">
        <f t="shared" si="15"/>
        <v>1.1482567842225029</v>
      </c>
      <c r="BH38" s="434"/>
      <c r="BI38" s="434"/>
      <c r="BJ38" s="434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39"/>
      <c r="CB38" s="239"/>
      <c r="CC38" s="239"/>
      <c r="CD38" s="239"/>
      <c r="CE38" s="239"/>
      <c r="CF38" s="101"/>
      <c r="CG38" s="101"/>
      <c r="CH38" s="112">
        <f>E38</f>
        <v>0.33316499999999999</v>
      </c>
      <c r="CI38" s="240"/>
      <c r="CJ38" s="112"/>
      <c r="CK38" s="30">
        <v>1</v>
      </c>
      <c r="CL38" s="30">
        <f>E38</f>
        <v>0.33316499999999999</v>
      </c>
      <c r="CM38" s="30">
        <v>0</v>
      </c>
      <c r="CN38" s="30">
        <v>1</v>
      </c>
      <c r="CO38" s="112"/>
      <c r="CP38" s="112"/>
      <c r="CQ38" s="112"/>
      <c r="CR38" s="30">
        <v>1</v>
      </c>
      <c r="CS38" s="30">
        <f>CL38</f>
        <v>0.33316499999999999</v>
      </c>
      <c r="CT38" s="30">
        <v>0</v>
      </c>
      <c r="CU38" s="30">
        <v>1</v>
      </c>
      <c r="CV38" s="112"/>
      <c r="CW38" s="30">
        <f t="shared" ref="CW38:CW48" si="59">CW37*CK38+CY37*CL38</f>
        <v>0.61954399905959412</v>
      </c>
      <c r="CX38" s="30">
        <f t="shared" ref="CX38:CX48" si="60">CX37*CK38+CZ37*CL38</f>
        <v>4.0021416666108749</v>
      </c>
      <c r="CY38" s="30">
        <f t="shared" ref="CY38:CY48" si="61">CW37*CM38+CY37*CN38</f>
        <v>-0.37423041815165031</v>
      </c>
      <c r="CZ38" s="30">
        <f t="shared" ref="CZ38:CZ48" si="62">CX37*CM38+CZ37*CN38</f>
        <v>-0.80337014022155662</v>
      </c>
      <c r="DA38" s="112"/>
      <c r="DB38" s="30">
        <f t="shared" ref="DB38:DB48" si="63">DB37*CR38+DD37*CS38</f>
        <v>1.3704627374900893</v>
      </c>
      <c r="DC38" s="30">
        <f t="shared" ref="DC38:DC48" si="64">DC37*CR38+DE37*CS38</f>
        <v>7.8296668558391422</v>
      </c>
      <c r="DD38" s="30">
        <f t="shared" ref="DD38:DD48" si="65">DB37*CT38+DD37*CU38</f>
        <v>0.37405367739545736</v>
      </c>
      <c r="DE38" s="30">
        <f t="shared" ref="DE38:DE48" si="66">DC37*CT38+DE37*CU38</f>
        <v>2.8667074067282843</v>
      </c>
      <c r="DF38" s="30">
        <f>AZ38^2*Vlength</f>
        <v>8.4863501186630062E-4</v>
      </c>
      <c r="DG38" s="112"/>
      <c r="DH38" s="112"/>
      <c r="DI38" s="112"/>
      <c r="DJ38" s="112"/>
      <c r="DK38" s="112"/>
      <c r="DL38" s="36"/>
      <c r="DM38" s="36"/>
      <c r="DN38" s="356"/>
      <c r="DO38" s="356"/>
      <c r="DP38" s="425"/>
      <c r="DQ38" s="425"/>
      <c r="DR38" s="425"/>
      <c r="DS38" s="425"/>
      <c r="DT38" s="425"/>
      <c r="DU38" s="425"/>
      <c r="DV38" s="425"/>
      <c r="DW38" s="425"/>
      <c r="DX38" s="425"/>
      <c r="DY38" s="425"/>
      <c r="DZ38" s="425"/>
      <c r="EA38" s="425"/>
      <c r="EB38" s="112">
        <f>E38*(1/AQ38+1/AQ37)/2</f>
        <v>1.2534970274358179</v>
      </c>
      <c r="EC38" s="112">
        <f>E38*(1/AR38+1/AR37)/2</f>
        <v>10.836881890750883</v>
      </c>
      <c r="ED38" s="112">
        <f>E38*(AS38+AS37)/2</f>
        <v>4.845167370767111E-2</v>
      </c>
      <c r="EE38" s="238">
        <f>(X38*AD38*AD38+2*W38*AD38*AE38+V38*AE38*AE38)*CH38</f>
        <v>1.7255116216750562E-4</v>
      </c>
      <c r="EF38" s="112">
        <f>SQRT(VaveBetax/VaveBetaz*T_Coupling)</f>
        <v>8.0893819812599119E-2</v>
      </c>
      <c r="EG38" s="112">
        <f>IF(EF38&lt;=1,EF38^(0.021-0.044*LN(EF38)),EF38^(-0.021-0.044*LN(EF38)))/(VaveBetax*VaveBetaz)^(1/4)</f>
        <v>0.15730662189006719</v>
      </c>
      <c r="EH38" s="239">
        <f t="shared" ref="EH38:ET40" si="67">$EG38*Vlength/SQRT(1+EH$7*EH$7/EH$8*1000000000/Vlength*$EE38)</f>
        <v>4.5909675936393009E-2</v>
      </c>
      <c r="EI38" s="239" t="e">
        <f t="shared" si="67"/>
        <v>#DIV/0!</v>
      </c>
      <c r="EJ38" s="239" t="e">
        <f t="shared" si="67"/>
        <v>#DIV/0!</v>
      </c>
      <c r="EK38" s="239" t="e">
        <f t="shared" si="67"/>
        <v>#DIV/0!</v>
      </c>
      <c r="EL38" s="239" t="e">
        <f t="shared" si="67"/>
        <v>#DIV/0!</v>
      </c>
      <c r="EM38" s="239" t="e">
        <f t="shared" si="67"/>
        <v>#DIV/0!</v>
      </c>
      <c r="EN38" s="239" t="e">
        <f t="shared" si="67"/>
        <v>#DIV/0!</v>
      </c>
      <c r="EO38" s="239" t="e">
        <f t="shared" si="67"/>
        <v>#DIV/0!</v>
      </c>
      <c r="EP38" s="239" t="e">
        <f t="shared" si="67"/>
        <v>#DIV/0!</v>
      </c>
      <c r="EQ38" s="239" t="e">
        <f t="shared" si="67"/>
        <v>#DIV/0!</v>
      </c>
      <c r="ER38" s="239" t="e">
        <f t="shared" si="67"/>
        <v>#DIV/0!</v>
      </c>
      <c r="ES38" s="239" t="e">
        <f t="shared" si="67"/>
        <v>#DIV/0!</v>
      </c>
      <c r="ET38" s="239" t="e">
        <f t="shared" si="67"/>
        <v>#DIV/0!</v>
      </c>
      <c r="EU38" s="112">
        <f>Vlength*VaveBetaz</f>
        <v>8.5845792109548675</v>
      </c>
      <c r="EW38" s="30"/>
      <c r="EX38" s="30"/>
      <c r="EY38" s="30"/>
      <c r="EZ38" s="30"/>
      <c r="FA38" s="30"/>
      <c r="FB38" s="30"/>
    </row>
    <row r="39" spans="1:158" s="42" customFormat="1" ht="15.75" customHeight="1" outlineLevel="1">
      <c r="A39" s="39"/>
      <c r="B39" s="39"/>
      <c r="C39" s="40" t="s">
        <v>157</v>
      </c>
      <c r="D39" s="41" t="s">
        <v>670</v>
      </c>
      <c r="E39" s="392">
        <v>0.53366999999999998</v>
      </c>
      <c r="F39" s="393">
        <v>-0.61749799999999999</v>
      </c>
      <c r="G39" s="392"/>
      <c r="H39" s="507"/>
      <c r="I39" s="541"/>
      <c r="J39" s="536"/>
      <c r="K39" s="394"/>
      <c r="L39" s="394"/>
      <c r="M39" s="507"/>
      <c r="N39" s="527"/>
      <c r="O39" s="429">
        <f>T_Energy/0.2998*F39</f>
        <v>-12.440586791194129</v>
      </c>
      <c r="P39" s="459">
        <f>2*T_Energy/0.2998*G39</f>
        <v>0</v>
      </c>
      <c r="Q39" s="459">
        <f>O39*Vlength</f>
        <v>-6.6391679528565701</v>
      </c>
      <c r="R39" s="44">
        <f>R38+Vlength</f>
        <v>6.436395000000001</v>
      </c>
      <c r="S39" s="44">
        <f>S38+U38*Vlength/SQRT(1+(U38)^2)</f>
        <v>0</v>
      </c>
      <c r="T39" s="44">
        <f>T38+Vlength/SQRT(1+(U38)^2)</f>
        <v>6.436395000000001</v>
      </c>
      <c r="U39" s="44">
        <f>U38</f>
        <v>0</v>
      </c>
      <c r="V39" s="45">
        <f t="shared" si="51"/>
        <v>8.1683208643882512</v>
      </c>
      <c r="W39" s="45">
        <f t="shared" si="52"/>
        <v>3.1991061001014804</v>
      </c>
      <c r="X39" s="45">
        <f t="shared" si="53"/>
        <v>1.3753475195477487</v>
      </c>
      <c r="Y39" s="45">
        <f t="shared" si="54"/>
        <v>0.23343664930907196</v>
      </c>
      <c r="Z39" s="45">
        <f t="shared" si="55"/>
        <v>34.824471822370818</v>
      </c>
      <c r="AA39" s="45">
        <f t="shared" si="56"/>
        <v>-3.3461845068582408E-2</v>
      </c>
      <c r="AB39" s="45">
        <f t="shared" si="57"/>
        <v>2.8747591641355107E-2</v>
      </c>
      <c r="AC39" s="45">
        <f t="shared" si="58"/>
        <v>1.1710535182337103</v>
      </c>
      <c r="AD39" s="44">
        <f>AD38*$CK39+AE38*$CL39</f>
        <v>6.3278134112872447E-2</v>
      </c>
      <c r="AE39" s="45">
        <f>AD38*$CM39+AE38*$CN39</f>
        <v>-2.6624712229508081E-2</v>
      </c>
      <c r="AF39" s="46">
        <f>AF38</f>
        <v>5.1791503359447169E-4</v>
      </c>
      <c r="AG39" s="45">
        <f>AG38*$CK39+AH38*$CL39</f>
        <v>0</v>
      </c>
      <c r="AH39" s="45">
        <f>AG38*$CM39+AH38*$CN39</f>
        <v>0</v>
      </c>
      <c r="AI39" s="45">
        <f>AI38*$CK39+AJ38*$CL39+0.001*(1-$CK39)*$K39</f>
        <v>0</v>
      </c>
      <c r="AJ39" s="45">
        <f>AI38*$CM39+AJ38*$CN39-0.001*$CM39*$K39</f>
        <v>0</v>
      </c>
      <c r="AK39" s="45">
        <f>AK38*$CK39+AL38*$CL39+0.001*(1-$CK39)*$K39</f>
        <v>0</v>
      </c>
      <c r="AL39" s="45">
        <f>AK38*$CM39+AL38*$CN39-0.001*$CM39*$K39</f>
        <v>0</v>
      </c>
      <c r="AM39" s="45">
        <f>AM38*$CR39+AN38*$CS39+0.001*(1-$CR39)*$L39</f>
        <v>0</v>
      </c>
      <c r="AN39" s="45">
        <f>AM38*$CT39+AN38*$CU39-0.001*$CT39*$L39</f>
        <v>0</v>
      </c>
      <c r="AO39" s="45">
        <f>AO38*$CR39+AP38*$CS39+0.001*(1-$CR39)*$L39</f>
        <v>0</v>
      </c>
      <c r="AP39" s="45">
        <f>AO38*$CT39+AP38*$CU39-0.001*$CT39*$L39</f>
        <v>0</v>
      </c>
      <c r="AQ39" s="44">
        <f t="shared" si="8"/>
        <v>0.18643289108507471</v>
      </c>
      <c r="AR39" s="44">
        <f t="shared" si="9"/>
        <v>3.5901683735929751E-2</v>
      </c>
      <c r="AS39" s="44">
        <f t="shared" si="10"/>
        <v>7.6755843216604461E-2</v>
      </c>
      <c r="AT39" s="44">
        <f t="shared" si="11"/>
        <v>1.0315096167207701E-3</v>
      </c>
      <c r="AU39" s="44">
        <f t="shared" si="12"/>
        <v>10.297023920455828</v>
      </c>
      <c r="AV39" s="47">
        <f t="shared" si="13"/>
        <v>3.7012216628845733</v>
      </c>
      <c r="AW39" s="47">
        <f t="shared" si="13"/>
        <v>3.7012216628845733E-2</v>
      </c>
      <c r="AX39" s="47">
        <f t="shared" si="13"/>
        <v>1.0629909222129516E-3</v>
      </c>
      <c r="AY39" s="43">
        <f>IF(VKl=0,0.5*(AD38+AD39),(AE39-AE38)/CJ39/Vlength)</f>
        <v>7.2358389828976966E-2</v>
      </c>
      <c r="AZ39" s="43">
        <f>IF(VKl=0,AE39,(AD39-AD38)/Vlength)</f>
        <v>-3.7992043598131839E-2</v>
      </c>
      <c r="BA39" s="429">
        <f>IF($CJ39=0,0.5*(V39+V38)-X38*Vlength*Vlength/6,-0.5*(($X39-$CJ39*$V39)*Vlength+($W39-$W38))/$CJ39/Vlength)</f>
        <v>10.609255496396106</v>
      </c>
      <c r="BB39" s="428">
        <f t="shared" si="14"/>
        <v>0.2076755896449094</v>
      </c>
      <c r="BC39" s="43">
        <f>IF(CJ39=0,AY39*BA39-(2*W38-X38*Vlength)*AE38*Vlength*Vlength/12,-(2*(X39-CJ39*V39)*AY39+(2*W39*AD39+V39*AE39-2*W38*AD38-V38*AE38)/Vlength)/3/CJ39)</f>
        <v>0.77736548887832557</v>
      </c>
      <c r="BD39" s="43"/>
      <c r="BE39" s="43"/>
      <c r="BF39" s="429">
        <f>IF($CQ39=0,0.5*(Z39+Z38)-AB38*Vlength*Vlength/6,-0.5*(($AB39-$CQ39*$Z39)*Vlength+$AA39-$AA38)/$CQ39/Vlength)</f>
        <v>32.839409071500071</v>
      </c>
      <c r="BG39" s="43">
        <f t="shared" si="15"/>
        <v>1.1629043154803436</v>
      </c>
      <c r="BH39" s="43">
        <f>IF(CQ39=0,AY39*BF39-(2*AA38-AB38*Vlength)*AE38*Vlength*Vlength/12,-(2*(AB39-CQ39*Z39)*AY39+(2*AA39*AD39+Z39*AE39-2*AA38*AD38-Z38*AE38)/Vlength)/5/CQ39)</f>
        <v>2.3661293123284253</v>
      </c>
      <c r="BI39" s="43"/>
      <c r="BJ39" s="43"/>
      <c r="BK39" s="47"/>
      <c r="BL39" s="47"/>
      <c r="BM39" s="47"/>
      <c r="BN39" s="47"/>
      <c r="BO39" s="47"/>
      <c r="BP39" s="47">
        <f>VaveBetax*BR39</f>
        <v>12.22324472761232</v>
      </c>
      <c r="BQ39" s="47">
        <f>VaveBetaz*BS39</f>
        <v>117.11360711337539</v>
      </c>
      <c r="BR39" s="47">
        <f>VaveBetax*VKl^2</f>
        <v>1.1521303009211603</v>
      </c>
      <c r="BS39" s="47">
        <f>VaveBetaz*VKl^2</f>
        <v>3.5662519644731767</v>
      </c>
      <c r="BT39" s="47">
        <f>BS39*AY39^2</f>
        <v>1.8671955859046803E-2</v>
      </c>
      <c r="BU39" s="47">
        <f>(CJ39*(V39-V38))^2</f>
        <v>12.682112652872977</v>
      </c>
      <c r="BV39" s="47">
        <f>(CQ39*(Z39-Z38))^2</f>
        <v>12.816764581554061</v>
      </c>
      <c r="BW39" s="47">
        <f>1/VaveBetax*(CJ39*Vlength^3)^2</f>
        <v>8.3027687344394295E-4</v>
      </c>
      <c r="BX39" s="47">
        <f>1/VaveBetaz*(CQ39*Vlength^3)^2</f>
        <v>2.6823319091817498E-4</v>
      </c>
      <c r="BY39" s="47">
        <f>(CJ39*VaveBetax*(Y39-Y38))^2</f>
        <v>0.11392744707522486</v>
      </c>
      <c r="BZ39" s="47">
        <f>(CQ39*VaveBetaz*(AC39-AC38))^2</f>
        <v>0.1092325357685508</v>
      </c>
      <c r="CA39" s="45">
        <f>AY39^2*VaveBetaz*VHl^2</f>
        <v>0</v>
      </c>
      <c r="CB39" s="47">
        <f>VaveBetax*BS39</f>
        <v>37.835278255620459</v>
      </c>
      <c r="CC39" s="45">
        <f>VaveBetax*VaveBetaz*VHl^2</f>
        <v>0</v>
      </c>
      <c r="CD39" s="45">
        <f>(VaveBetax*VHl)^2</f>
        <v>0</v>
      </c>
      <c r="CE39" s="45">
        <f>(VaveBetaz*VHl)^2</f>
        <v>0</v>
      </c>
      <c r="CF39" s="44">
        <f>$CQ39*Vlength</f>
        <v>-0.32954015766</v>
      </c>
      <c r="CG39" s="44">
        <f>$G39*Vlength</f>
        <v>0</v>
      </c>
      <c r="CH39" s="45">
        <f>$E39</f>
        <v>0.53366999999999998</v>
      </c>
      <c r="CI39" s="48"/>
      <c r="CJ39" s="49">
        <f>-$CQ39</f>
        <v>0.61749799999999999</v>
      </c>
      <c r="CK39" s="49">
        <f>IF(CJ39=0,1,IF(CJ39&gt;0,COSH(Vlength*SQRT(CJ39)),COS(Vlength*SQRT(-CJ39))))</f>
        <v>1.0892291239559944</v>
      </c>
      <c r="CL39" s="49">
        <f>IF(CJ39=0,Vlength,IF(CJ39&gt;0,SINH(Vlength*SQRT(CJ39))/SQRT(CJ39),SIN(Vlength*SQRT(-CJ39))/SQRT(-CJ39)))</f>
        <v>0.54945049953780334</v>
      </c>
      <c r="CM39" s="49">
        <f>CL39*CJ39</f>
        <v>0.3392845845635945</v>
      </c>
      <c r="CN39" s="49">
        <f>CK39</f>
        <v>1.0892291239559944</v>
      </c>
      <c r="CO39" s="45"/>
      <c r="CP39" s="45"/>
      <c r="CQ39" s="49">
        <f>$F39-0.001*$G39*$K39</f>
        <v>-0.61749799999999999</v>
      </c>
      <c r="CR39" s="49">
        <f>IF(CQ39=0,1,IF(CQ39&gt;0,COSH(Vlength*SQRT(CQ39)),COS(Vlength*SQRT(-CQ39))))</f>
        <v>0.91334831874454669</v>
      </c>
      <c r="CS39" s="49">
        <f>IF(CQ39=0,Vlength,IF(CQ39&gt;0,SINH(Vlength*SQRT(CQ39))/SQRT(CQ39),SIN(Vlength*SQRT(-CQ39))/SQRT(-CQ39)))</f>
        <v>0.51816459898049805</v>
      </c>
      <c r="CT39" s="49">
        <f>CS39*CQ39</f>
        <v>-0.31996560354125958</v>
      </c>
      <c r="CU39" s="49">
        <f>CR39</f>
        <v>0.91334831874454669</v>
      </c>
      <c r="CV39" s="45"/>
      <c r="CW39" s="49">
        <f t="shared" si="59"/>
        <v>0.4692042771522098</v>
      </c>
      <c r="CX39" s="49">
        <f t="shared" si="60"/>
        <v>3.9178371366118574</v>
      </c>
      <c r="CY39" s="49">
        <f t="shared" si="61"/>
        <v>-0.19742094218120515</v>
      </c>
      <c r="CZ39" s="49">
        <f t="shared" si="62"/>
        <v>0.48281081867479192</v>
      </c>
      <c r="DA39" s="45"/>
      <c r="DB39" s="49">
        <f t="shared" si="63"/>
        <v>1.44553121093342</v>
      </c>
      <c r="DC39" s="49">
        <f t="shared" si="64"/>
        <v>8.6366393529123666</v>
      </c>
      <c r="DD39" s="49">
        <f t="shared" si="65"/>
        <v>-9.6859639562467181E-2</v>
      </c>
      <c r="DE39" s="49">
        <f t="shared" si="66"/>
        <v>0.1130783092122507</v>
      </c>
      <c r="DF39" s="49">
        <f>AZ39^2*Vlength</f>
        <v>7.7029681071676354E-4</v>
      </c>
      <c r="DG39" s="45"/>
      <c r="DH39" s="45"/>
      <c r="DI39" s="45"/>
      <c r="DJ39" s="45"/>
      <c r="DK39" s="45"/>
      <c r="DL39" s="50"/>
      <c r="DM39" s="50"/>
      <c r="DN39" s="428">
        <f>-VKl*VaveBetax+2*VHl*$BC39</f>
        <v>3.4961757289375943</v>
      </c>
      <c r="DO39" s="428">
        <f>VaveBetaz*VKl-2*VHl*$BH39</f>
        <v>-10.821904042883368</v>
      </c>
      <c r="DP39" s="43" t="str">
        <f>IMPRODUCT(-1/8*(VaveBetax*VKl-2*$BC39*VHl),COMPLEX(COS(2*VmidMux),SIN(2*VmidMux)))</f>
        <v>0.399864030155094+0.176343290932966i</v>
      </c>
      <c r="DQ39" s="429" t="str">
        <f>IMPRODUCT(1/8*(VaveBetaz*VKl-2*BH39*VHl),COMPLEX(COS(2*VmidMuz),SIN(2*VmidMuz)))</f>
        <v>0.9270281482449-0.985149188452249i</v>
      </c>
      <c r="DR39" s="429" t="str">
        <f>IMPRODUCT(-1/2*SQRT(VaveBetax)*(VKl-2*VHl*$AY39)*AY39,COMPLEX(COS(VmidMux),SIN(VmidMux)))</f>
        <v>0.037999354305443+0.00800698209958976i</v>
      </c>
      <c r="DS39" s="429" t="str">
        <f>IMPRODUCT(-1/8*VHl*VaveBetax^(3/2),COMPLEX(COS(VmidMux),SIN(VmidMux)))</f>
        <v>0</v>
      </c>
      <c r="DT39" s="429" t="str">
        <f>IMPRODUCT(-1/24*VHl*VaveBetax^(3/2),COMPLEX(COS(3*VmidMux),SIN(3*VmidMux)))</f>
        <v>0</v>
      </c>
      <c r="DU39" s="429" t="str">
        <f>IMPRODUCT(1/4*VHl*VaveBetax^(1/2)*VaveBetaz,COMPLEX(COS(VmidMux),SIN(VmidMux)))</f>
        <v>0</v>
      </c>
      <c r="DV39" s="429" t="str">
        <f>IMPRODUCT(1/8*VHl*VaveBetax^(1/2)*VaveBetaz,COMPLEX(COS(VmidMux-2*VmidMuz),SIN(VmidMux-2*VmidMuz)))</f>
        <v>0</v>
      </c>
      <c r="DW39" s="429" t="str">
        <f>IMPRODUCT(1/8*VHl*VaveBetax^(1/2)*VaveBetaz,COMPLEX(COS(VmidMux+2*VmidMuz),SIN(VmidMux+2*VmidMuz)))</f>
        <v>0</v>
      </c>
      <c r="DX39" s="429">
        <f>VaveBetax^2*F39^2*E39/8/PI()/2</f>
        <v>0.45566310150032985</v>
      </c>
      <c r="DY39" s="429">
        <f>2*VaveBetax*VaveBetaz*F39^2*E39/8/PI()</f>
        <v>5.6417557269841847</v>
      </c>
      <c r="DZ39" s="429">
        <f>VaveBetaz^2*F39^2*E39/8/PI()</f>
        <v>8.7316176079861361</v>
      </c>
      <c r="EA39" s="429">
        <f>ABS(F39)</f>
        <v>0.61749799999999999</v>
      </c>
      <c r="EB39" s="45">
        <f>E39*(1/AQ39+1/AQ38)/2</f>
        <v>2.5254898865696158</v>
      </c>
      <c r="EC39" s="45">
        <f>E39*(1/AR39+1/AR38)/2</f>
        <v>15.573248382015324</v>
      </c>
      <c r="ED39" s="45">
        <f>E39*(AS39+AS38)/2</f>
        <v>5.9286549214975996E-2</v>
      </c>
      <c r="EE39" s="46">
        <f>(X39*AD39*AD39+2*W39*AD39*AE39+V39*AE39*AE39)*CH39</f>
        <v>2.7639571597836218E-4</v>
      </c>
      <c r="EF39" s="45">
        <f>SQRT(VaveBetax/VaveBetaz*T_Coupling)</f>
        <v>5.6838785212519956E-2</v>
      </c>
      <c r="EG39" s="45">
        <f>IF(EF39&lt;=1,EF39^(0.021-0.044*LN(EF39)),EF39^(-0.021-0.044*LN(EF39)))/(VaveBetax*VaveBetaz)^(1/4)</f>
        <v>0.15177457350209511</v>
      </c>
      <c r="EH39" s="47">
        <f t="shared" si="67"/>
        <v>7.0952820188685456E-2</v>
      </c>
      <c r="EI39" s="47" t="e">
        <f t="shared" si="67"/>
        <v>#DIV/0!</v>
      </c>
      <c r="EJ39" s="47" t="e">
        <f t="shared" si="67"/>
        <v>#DIV/0!</v>
      </c>
      <c r="EK39" s="47" t="e">
        <f t="shared" si="67"/>
        <v>#DIV/0!</v>
      </c>
      <c r="EL39" s="47" t="e">
        <f t="shared" si="67"/>
        <v>#DIV/0!</v>
      </c>
      <c r="EM39" s="47" t="e">
        <f t="shared" si="67"/>
        <v>#DIV/0!</v>
      </c>
      <c r="EN39" s="47" t="e">
        <f t="shared" si="67"/>
        <v>#DIV/0!</v>
      </c>
      <c r="EO39" s="47" t="e">
        <f t="shared" si="67"/>
        <v>#DIV/0!</v>
      </c>
      <c r="EP39" s="47" t="e">
        <f t="shared" si="67"/>
        <v>#DIV/0!</v>
      </c>
      <c r="EQ39" s="47" t="e">
        <f t="shared" si="67"/>
        <v>#DIV/0!</v>
      </c>
      <c r="ER39" s="47" t="e">
        <f t="shared" si="67"/>
        <v>#DIV/0!</v>
      </c>
      <c r="ES39" s="47" t="e">
        <f t="shared" si="67"/>
        <v>#DIV/0!</v>
      </c>
      <c r="ET39" s="47" t="e">
        <f t="shared" si="67"/>
        <v>#DIV/0!</v>
      </c>
      <c r="EU39" s="45">
        <f>Vlength*VaveBetaz</f>
        <v>17.525407439187443</v>
      </c>
      <c r="EW39" s="49" t="str">
        <f>IMPRODUCT(VKl*VaveBetax^(ABS(EW$5)/2)*VaveBetaz^(ABS(EW$6)/2),COMPLEX(COS(EW$5*VmidMux+EW$6*VmidMuz+EW$23*$R39),SIN(EW$5*VmidMux+EW$6*VmidMuz+EW$23*$R39)))</f>
        <v>8.54253043244358-6.64370235065891i</v>
      </c>
      <c r="EX39" s="49" t="str">
        <f>IMPRODUCT(VKl*VaveBetax^(ABS(EX$5)/2)*VaveBetaz^(ABS(EX$6)/2),COMPLEX(COS(EX$5*VmidMux+EX$6*VmidMuz+EX$23*$R39),SIN(EX$5*VmidMux+EX$6*VmidMuz+EX$23*$R39)))</f>
        <v>-2.549686775086-2.39214173421306i</v>
      </c>
      <c r="EY39" s="49" t="str">
        <f>IMPRODUCT(VHl*VaveBetax^(ABS(EY$5)/2)*VaveBetaz^(ABS(EY$6)/2),COMPLEX(COS(EY$5*VmidMux+EY$6*VmidMuz+EY$23*$R39),SIN(EY$5*VmidMux+EY$6*VmidMuz+EY$23*$R39)))</f>
        <v>0</v>
      </c>
      <c r="EZ39" s="49" t="str">
        <f>IMPRODUCT(VHl*VaveBetax^(ABS(EZ$5)/2)*VaveBetaz^(ABS(EZ$6)/2),COMPLEX(COS(EZ$5*VmidMux+EZ$6*VmidMuz+EZ$23*$R39),SIN(EZ$5*VmidMux+EZ$6*VmidMuz+EZ$23*$R39)))</f>
        <v>0</v>
      </c>
      <c r="FA39" s="49" t="str">
        <f>IMPRODUCT(VHl*VaveBetax^(ABS(FA$5)/2)*VaveBetaz^(ABS(FA$6)/2),COMPLEX(COS(FA$5*VmidMux+FA$6*VmidMuz+FA$23*$R39),SIN(FA$5*VmidMux+FA$6*VmidMuz+FA$23*$R39)))</f>
        <v>0</v>
      </c>
      <c r="FB39" s="49"/>
    </row>
    <row r="40" spans="1:158" s="7" customFormat="1" ht="15.75" customHeight="1" outlineLevel="1">
      <c r="A40" s="31"/>
      <c r="B40" s="31"/>
      <c r="C40" s="37"/>
      <c r="D40" s="25" t="s">
        <v>567</v>
      </c>
      <c r="E40" s="395">
        <v>1.05542</v>
      </c>
      <c r="F40" s="396"/>
      <c r="G40" s="396"/>
      <c r="H40" s="396"/>
      <c r="I40" s="540"/>
      <c r="K40" s="396"/>
      <c r="L40" s="396"/>
      <c r="M40" s="396"/>
      <c r="N40" s="525"/>
      <c r="O40" s="36"/>
      <c r="P40" s="458"/>
      <c r="Q40" s="458"/>
      <c r="R40" s="101">
        <f>R39+Vlength</f>
        <v>7.4918150000000008</v>
      </c>
      <c r="S40" s="101">
        <f>S39+U39*Vlength/SQRT(1+(U39)^2)</f>
        <v>0</v>
      </c>
      <c r="T40" s="101">
        <f>T39+Vlength/SQRT(1+(U39)^2)</f>
        <v>7.4918150000000008</v>
      </c>
      <c r="U40" s="101">
        <f>U39</f>
        <v>0</v>
      </c>
      <c r="V40" s="112">
        <f t="shared" si="51"/>
        <v>2.9475349925778005</v>
      </c>
      <c r="W40" s="112">
        <f t="shared" si="52"/>
        <v>1.7475368210203954</v>
      </c>
      <c r="X40" s="112">
        <f t="shared" si="53"/>
        <v>1.3753475195477485</v>
      </c>
      <c r="Y40" s="112">
        <f t="shared" si="54"/>
        <v>0.45022531140802258</v>
      </c>
      <c r="Z40" s="112">
        <f t="shared" si="55"/>
        <v>34.927126692788789</v>
      </c>
      <c r="AA40" s="112">
        <f t="shared" si="56"/>
        <v>-6.380262823870142E-2</v>
      </c>
      <c r="AB40" s="112">
        <f t="shared" si="57"/>
        <v>2.8747591641355107E-2</v>
      </c>
      <c r="AC40" s="112">
        <f t="shared" si="58"/>
        <v>1.2013204174965106</v>
      </c>
      <c r="AD40" s="101">
        <f>AD39+AE39*$CL40</f>
        <v>3.517788033160503E-2</v>
      </c>
      <c r="AE40" s="112">
        <f>AE39</f>
        <v>-2.6624712229508081E-2</v>
      </c>
      <c r="AF40" s="238">
        <f>AF39</f>
        <v>5.1791503359447169E-4</v>
      </c>
      <c r="AG40" s="112">
        <f>AG39+AH39*$CL40</f>
        <v>0</v>
      </c>
      <c r="AH40" s="112">
        <f>AH39</f>
        <v>0</v>
      </c>
      <c r="AI40" s="112">
        <f>AI39+AJ39*$CL40</f>
        <v>0</v>
      </c>
      <c r="AJ40" s="112">
        <f>AJ39</f>
        <v>0</v>
      </c>
      <c r="AK40" s="112">
        <f>AK39+AL39*$CL40</f>
        <v>0</v>
      </c>
      <c r="AL40" s="112">
        <f>AL39</f>
        <v>0</v>
      </c>
      <c r="AM40" s="112">
        <f>AM39+AN39*$CS40</f>
        <v>0</v>
      </c>
      <c r="AN40" s="112">
        <f>AN39</f>
        <v>0</v>
      </c>
      <c r="AO40" s="112">
        <f>AO39+AP39*$CS40</f>
        <v>0</v>
      </c>
      <c r="AP40" s="112">
        <f>AP39</f>
        <v>0</v>
      </c>
      <c r="AQ40" s="101">
        <f t="shared" si="8"/>
        <v>0.11094040837824637</v>
      </c>
      <c r="AR40" s="101">
        <f t="shared" si="9"/>
        <v>3.5954559924669352E-2</v>
      </c>
      <c r="AS40" s="101">
        <f t="shared" si="10"/>
        <v>7.6755843216604447E-2</v>
      </c>
      <c r="AT40" s="101">
        <f t="shared" si="11"/>
        <v>1.0315096167207701E-3</v>
      </c>
      <c r="AU40" s="101">
        <f t="shared" si="12"/>
        <v>6.5761538475904064</v>
      </c>
      <c r="AV40" s="239">
        <f t="shared" si="13"/>
        <v>3.7012216628845733</v>
      </c>
      <c r="AW40" s="239">
        <f t="shared" si="13"/>
        <v>3.7012216628845733E-2</v>
      </c>
      <c r="AX40" s="239">
        <f t="shared" si="13"/>
        <v>1.0629909222129516E-3</v>
      </c>
      <c r="AY40" s="434">
        <f>0.5*(AD39+AD40)</f>
        <v>4.9228007222238739E-2</v>
      </c>
      <c r="AZ40" s="356">
        <f>0.5*(AE39+AE40)</f>
        <v>-2.6624712229508081E-2</v>
      </c>
      <c r="BA40" s="425">
        <f>0.5*(V40+V39)-X39*Vlength*Vlength/6</f>
        <v>5.3025920537283993</v>
      </c>
      <c r="BB40" s="356">
        <f t="shared" si="14"/>
        <v>0.34183098035854725</v>
      </c>
      <c r="BC40" s="434"/>
      <c r="BD40" s="434"/>
      <c r="BE40" s="434"/>
      <c r="BF40" s="425">
        <f>0.5*(Z40+Z39)-AB39*Vlength*Vlength/6</f>
        <v>34.870462212684231</v>
      </c>
      <c r="BG40" s="434">
        <f t="shared" si="15"/>
        <v>1.1861869678651105</v>
      </c>
      <c r="BH40" s="434"/>
      <c r="BI40" s="434"/>
      <c r="BJ40" s="434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39"/>
      <c r="CB40" s="239"/>
      <c r="CC40" s="239"/>
      <c r="CD40" s="239"/>
      <c r="CE40" s="239"/>
      <c r="CF40" s="101"/>
      <c r="CG40" s="101"/>
      <c r="CH40" s="112">
        <f>E40</f>
        <v>1.05542</v>
      </c>
      <c r="CI40" s="240"/>
      <c r="CJ40" s="112"/>
      <c r="CK40" s="30">
        <v>1</v>
      </c>
      <c r="CL40" s="30">
        <f>E40</f>
        <v>1.05542</v>
      </c>
      <c r="CM40" s="30">
        <v>0</v>
      </c>
      <c r="CN40" s="30">
        <v>1</v>
      </c>
      <c r="CO40" s="112"/>
      <c r="CP40" s="112"/>
      <c r="CQ40" s="112"/>
      <c r="CR40" s="30">
        <v>1</v>
      </c>
      <c r="CS40" s="30">
        <f>CL40</f>
        <v>1.05542</v>
      </c>
      <c r="CT40" s="30">
        <v>0</v>
      </c>
      <c r="CU40" s="30">
        <v>1</v>
      </c>
      <c r="CV40" s="112"/>
      <c r="CW40" s="30">
        <f t="shared" si="59"/>
        <v>0.26084226635532226</v>
      </c>
      <c r="CX40" s="30">
        <f t="shared" si="60"/>
        <v>4.4274053308576065</v>
      </c>
      <c r="CY40" s="30">
        <f t="shared" si="61"/>
        <v>-0.19742094218120515</v>
      </c>
      <c r="CZ40" s="30">
        <f t="shared" si="62"/>
        <v>0.48281081867479192</v>
      </c>
      <c r="DA40" s="112"/>
      <c r="DB40" s="30">
        <f t="shared" si="63"/>
        <v>1.3433036101464009</v>
      </c>
      <c r="DC40" s="30">
        <f t="shared" si="64"/>
        <v>8.7559844620211607</v>
      </c>
      <c r="DD40" s="30">
        <f t="shared" si="65"/>
        <v>-9.6859639562467181E-2</v>
      </c>
      <c r="DE40" s="30">
        <f t="shared" si="66"/>
        <v>0.1130783092122507</v>
      </c>
      <c r="DF40" s="30">
        <f>AZ40^2*Vlength</f>
        <v>7.481611705023914E-4</v>
      </c>
      <c r="DG40" s="112"/>
      <c r="DH40" s="112"/>
      <c r="DI40" s="112"/>
      <c r="DJ40" s="112"/>
      <c r="DK40" s="112"/>
      <c r="DL40" s="36"/>
      <c r="DM40" s="36"/>
      <c r="DN40" s="356"/>
      <c r="DO40" s="356"/>
      <c r="DP40" s="425"/>
      <c r="DQ40" s="425"/>
      <c r="DR40" s="425"/>
      <c r="DS40" s="425"/>
      <c r="DT40" s="425"/>
      <c r="DU40" s="425"/>
      <c r="DV40" s="425"/>
      <c r="DW40" s="425"/>
      <c r="DX40" s="425"/>
      <c r="DY40" s="425"/>
      <c r="DZ40" s="425"/>
      <c r="EA40" s="425"/>
      <c r="EB40" s="112">
        <f>E40*(1/AQ40+1/AQ39)/2</f>
        <v>7.5872605986078812</v>
      </c>
      <c r="EC40" s="112">
        <f>E40*(1/AR40+1/AR39)/2</f>
        <v>29.375890465019992</v>
      </c>
      <c r="ED40" s="112">
        <f>E40*(AS40+AS39)/2</f>
        <v>8.1009652047668662E-2</v>
      </c>
      <c r="EE40" s="238">
        <f>(X40*AD40*AD40+2*W40*AD40*AE40+V40*AE40*AE40)*CH40</f>
        <v>5.4661788475627757E-4</v>
      </c>
      <c r="EF40" s="112">
        <f>SQRT(VaveBetax/VaveBetaz*T_Coupling)</f>
        <v>3.8995568517045047E-2</v>
      </c>
      <c r="EG40" s="112">
        <f>IF(EF40&lt;=1,EF40^(0.021-0.044*LN(EF40)),EF40^(-0.021-0.044*LN(EF40)))/(VaveBetax*VaveBetaz)^(1/4)</f>
        <v>0.15942005135856005</v>
      </c>
      <c r="EH40" s="239">
        <f t="shared" si="67"/>
        <v>0.14738935409241352</v>
      </c>
      <c r="EI40" s="239" t="e">
        <f t="shared" si="67"/>
        <v>#DIV/0!</v>
      </c>
      <c r="EJ40" s="239" t="e">
        <f t="shared" si="67"/>
        <v>#DIV/0!</v>
      </c>
      <c r="EK40" s="239" t="e">
        <f t="shared" si="67"/>
        <v>#DIV/0!</v>
      </c>
      <c r="EL40" s="239" t="e">
        <f t="shared" si="67"/>
        <v>#DIV/0!</v>
      </c>
      <c r="EM40" s="239" t="e">
        <f t="shared" si="67"/>
        <v>#DIV/0!</v>
      </c>
      <c r="EN40" s="239" t="e">
        <f t="shared" si="67"/>
        <v>#DIV/0!</v>
      </c>
      <c r="EO40" s="239" t="e">
        <f t="shared" si="67"/>
        <v>#DIV/0!</v>
      </c>
      <c r="EP40" s="239" t="e">
        <f t="shared" si="67"/>
        <v>#DIV/0!</v>
      </c>
      <c r="EQ40" s="239" t="e">
        <f t="shared" si="67"/>
        <v>#DIV/0!</v>
      </c>
      <c r="ER40" s="239" t="e">
        <f t="shared" si="67"/>
        <v>#DIV/0!</v>
      </c>
      <c r="ES40" s="239" t="e">
        <f t="shared" si="67"/>
        <v>#DIV/0!</v>
      </c>
      <c r="ET40" s="239" t="e">
        <f t="shared" si="67"/>
        <v>#DIV/0!</v>
      </c>
      <c r="EU40" s="112">
        <f>Vlength*VaveBetaz</f>
        <v>36.802983228511195</v>
      </c>
      <c r="EW40" s="30"/>
      <c r="EX40" s="30"/>
      <c r="EY40" s="30"/>
      <c r="EZ40" s="30"/>
      <c r="FA40" s="30"/>
      <c r="FB40" s="30"/>
    </row>
    <row r="41" spans="1:158" s="68" customFormat="1" ht="15.75" customHeight="1" outlineLevel="1">
      <c r="A41" s="63"/>
      <c r="B41" s="63"/>
      <c r="C41" s="64"/>
      <c r="D41" s="65" t="s">
        <v>1077</v>
      </c>
      <c r="E41" s="401">
        <v>4.9087401000000003E-2</v>
      </c>
      <c r="F41" s="402">
        <v>23.366299999999999</v>
      </c>
      <c r="G41" s="405"/>
      <c r="H41" s="405"/>
      <c r="I41" s="544"/>
      <c r="K41" s="401"/>
      <c r="L41" s="401"/>
      <c r="M41" s="554"/>
      <c r="N41" s="530"/>
      <c r="O41" s="75"/>
      <c r="P41" s="461"/>
      <c r="Q41" s="461"/>
      <c r="R41" s="69">
        <f>R40</f>
        <v>7.4918150000000008</v>
      </c>
      <c r="S41" s="69">
        <f>S40</f>
        <v>0</v>
      </c>
      <c r="T41" s="69">
        <f>T40</f>
        <v>7.4918150000000008</v>
      </c>
      <c r="U41" s="69">
        <f>U40</f>
        <v>0</v>
      </c>
      <c r="V41" s="70">
        <f t="shared" si="51"/>
        <v>2.9475349925778005</v>
      </c>
      <c r="W41" s="70">
        <f t="shared" si="52"/>
        <v>1.741339727110893</v>
      </c>
      <c r="X41" s="70">
        <f t="shared" si="53"/>
        <v>1.3680122730920239</v>
      </c>
      <c r="Y41" s="70">
        <f t="shared" si="54"/>
        <v>0.45022531140802258</v>
      </c>
      <c r="Z41" s="70">
        <f t="shared" si="55"/>
        <v>34.927126692788789</v>
      </c>
      <c r="AA41" s="70">
        <f t="shared" si="56"/>
        <v>9.6304894848656536E-3</v>
      </c>
      <c r="AB41" s="70">
        <f t="shared" si="57"/>
        <v>2.8633696528326268E-2</v>
      </c>
      <c r="AC41" s="70">
        <f t="shared" si="58"/>
        <v>1.2013204174965106</v>
      </c>
      <c r="AD41" s="69">
        <f>AD40</f>
        <v>3.517788033160503E-2</v>
      </c>
      <c r="AE41" s="70">
        <f>AD40*$CM41+AE40</f>
        <v>-2.6550751910631075E-2</v>
      </c>
      <c r="AF41" s="71">
        <f>AF40</f>
        <v>5.1791503359447169E-4</v>
      </c>
      <c r="AG41" s="70">
        <f>AG40</f>
        <v>0</v>
      </c>
      <c r="AH41" s="70">
        <f>AG40*$CM41+AH40</f>
        <v>0</v>
      </c>
      <c r="AI41" s="70">
        <f>AI40</f>
        <v>0</v>
      </c>
      <c r="AJ41" s="70">
        <f>AI40*$CM41+AJ40-0.001*$CM41*K41</f>
        <v>0</v>
      </c>
      <c r="AK41" s="70">
        <f>AK40</f>
        <v>0</v>
      </c>
      <c r="AL41" s="70">
        <f>AK40*$CM41+AL40-0.001*$CM41*$K41</f>
        <v>0</v>
      </c>
      <c r="AM41" s="70">
        <f>AM40</f>
        <v>0</v>
      </c>
      <c r="AN41" s="70">
        <f>AM40*$CT41+AN40-0.001*$CT41*$L41</f>
        <v>0</v>
      </c>
      <c r="AO41" s="70">
        <f>AO40</f>
        <v>0</v>
      </c>
      <c r="AP41" s="70">
        <f>AO40*$CT41+AP40-0.001*$CT41*$L41</f>
        <v>0</v>
      </c>
      <c r="AQ41" s="69">
        <f t="shared" si="8"/>
        <v>0.11094040837824637</v>
      </c>
      <c r="AR41" s="69">
        <f t="shared" si="9"/>
        <v>3.5954559924669352E-2</v>
      </c>
      <c r="AS41" s="69">
        <f t="shared" si="10"/>
        <v>7.654976253841056E-2</v>
      </c>
      <c r="AT41" s="69">
        <f t="shared" si="11"/>
        <v>1.02946421928644E-3</v>
      </c>
      <c r="AU41" s="69">
        <f t="shared" si="12"/>
        <v>6.5629956156825768</v>
      </c>
      <c r="AV41" s="72">
        <f>AV40</f>
        <v>3.7012216628845733</v>
      </c>
      <c r="AW41" s="72">
        <f>AW40</f>
        <v>3.7012216628845733E-2</v>
      </c>
      <c r="AX41" s="72">
        <f>AX40</f>
        <v>1.0629909222129516E-3</v>
      </c>
      <c r="AY41" s="77">
        <f>AD41</f>
        <v>3.517788033160503E-2</v>
      </c>
      <c r="AZ41" s="77">
        <f>(AE41+AE40)/2</f>
        <v>-2.6587732070069578E-2</v>
      </c>
      <c r="BA41" s="433">
        <f>V41</f>
        <v>2.9475349925778005</v>
      </c>
      <c r="BB41" s="77">
        <f t="shared" si="14"/>
        <v>0.45022531140802258</v>
      </c>
      <c r="BC41" s="488">
        <f>VaveBetax*AY41</f>
        <v>0.10368803324212018</v>
      </c>
      <c r="BD41" s="488"/>
      <c r="BE41" s="488">
        <f>IF(ISERR(FIND("BEND",UPPER(D40))),AZ41,-AZ41)</f>
        <v>-2.6587732070069578E-2</v>
      </c>
      <c r="BF41" s="433">
        <f>Z41</f>
        <v>34.927126692788789</v>
      </c>
      <c r="BG41" s="488">
        <f t="shared" si="15"/>
        <v>1.2013204174965106</v>
      </c>
      <c r="BH41" s="488">
        <f>VaveBetaz*AY41</f>
        <v>1.2286622831257319</v>
      </c>
      <c r="BI41" s="488"/>
      <c r="BJ41" s="488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>
        <f>-TAN($E41)/$F41</f>
        <v>-2.1024666119680668E-3</v>
      </c>
      <c r="CG41" s="69">
        <f>-IF(ISERR(FIND("BEND",UPPER(D40))),G42,G40)*CF41/F41</f>
        <v>0</v>
      </c>
      <c r="CI41" s="73"/>
      <c r="CJ41" s="74"/>
      <c r="CK41" s="74">
        <v>1</v>
      </c>
      <c r="CL41" s="74">
        <v>0</v>
      </c>
      <c r="CM41" s="74">
        <f>-VKl</f>
        <v>2.1024666119680668E-3</v>
      </c>
      <c r="CN41" s="74">
        <v>1</v>
      </c>
      <c r="CO41" s="70"/>
      <c r="CP41" s="70"/>
      <c r="CQ41" s="74"/>
      <c r="CR41" s="74">
        <v>1</v>
      </c>
      <c r="CS41" s="74">
        <v>0</v>
      </c>
      <c r="CT41" s="74">
        <f>VKl</f>
        <v>-2.1024666119680668E-3</v>
      </c>
      <c r="CU41" s="74">
        <v>1</v>
      </c>
      <c r="CV41" s="70"/>
      <c r="CW41" s="74">
        <f t="shared" si="59"/>
        <v>0.26084226635532226</v>
      </c>
      <c r="CX41" s="74">
        <f t="shared" si="60"/>
        <v>4.4274053308576065</v>
      </c>
      <c r="CY41" s="74">
        <f t="shared" si="61"/>
        <v>-0.196872530025203</v>
      </c>
      <c r="CZ41" s="74">
        <f t="shared" si="62"/>
        <v>0.49211929056056947</v>
      </c>
      <c r="DA41" s="70"/>
      <c r="DB41" s="74">
        <f t="shared" si="63"/>
        <v>1.3433036101464009</v>
      </c>
      <c r="DC41" s="74">
        <f t="shared" si="64"/>
        <v>8.7559844620211607</v>
      </c>
      <c r="DD41" s="74">
        <f t="shared" si="65"/>
        <v>-9.9683890552536153E-2</v>
      </c>
      <c r="DE41" s="74">
        <f t="shared" si="66"/>
        <v>9.4669144225940041E-2</v>
      </c>
      <c r="DF41" s="74"/>
      <c r="DG41" s="70"/>
      <c r="DH41" s="70"/>
      <c r="DI41" s="70"/>
      <c r="DJ41" s="70"/>
      <c r="DK41" s="70"/>
      <c r="DL41" s="75"/>
      <c r="DM41" s="75"/>
      <c r="DN41" s="77">
        <f>-VaveBetax*VKl+(2*VHl+1*VKl/$F41)*BC41</f>
        <v>6.1877642069841192E-3</v>
      </c>
      <c r="DO41" s="77">
        <f>VaveBetaz*(VKl+BE41/$F41)-(2*VHl+0.5*VKl/$F41)*BH41</f>
        <v>-0.11312025157751125</v>
      </c>
      <c r="DP41" s="433"/>
      <c r="DQ41" s="433"/>
      <c r="DR41" s="433"/>
      <c r="DS41" s="433"/>
      <c r="DT41" s="433"/>
      <c r="DU41" s="433"/>
      <c r="DV41" s="433"/>
      <c r="DW41" s="433"/>
      <c r="DX41" s="433"/>
      <c r="DY41" s="433"/>
      <c r="DZ41" s="433"/>
      <c r="EA41" s="433"/>
      <c r="EB41" s="70"/>
      <c r="EC41" s="70"/>
      <c r="ED41" s="70"/>
      <c r="EE41" s="71"/>
      <c r="EF41" s="71"/>
      <c r="EG41" s="71"/>
      <c r="EH41" s="70"/>
      <c r="EI41" s="70"/>
      <c r="EJ41" s="70"/>
      <c r="EK41" s="70"/>
      <c r="EL41" s="70"/>
      <c r="EM41" s="70"/>
      <c r="EN41" s="70"/>
      <c r="EO41" s="70"/>
      <c r="EP41" s="70"/>
      <c r="EQ41" s="70"/>
      <c r="ER41" s="70"/>
      <c r="ES41" s="70"/>
      <c r="ET41" s="70"/>
      <c r="EU41" s="70"/>
      <c r="EW41" s="74"/>
      <c r="EX41" s="74"/>
      <c r="EY41" s="74"/>
      <c r="EZ41" s="74"/>
      <c r="FA41" s="74"/>
      <c r="FB41" s="74"/>
    </row>
    <row r="42" spans="1:158" s="68" customFormat="1" ht="15.75" customHeight="1" outlineLevel="1">
      <c r="A42" s="63"/>
      <c r="B42" s="63"/>
      <c r="C42" s="76" t="s">
        <v>175</v>
      </c>
      <c r="D42" s="65" t="s">
        <v>1132</v>
      </c>
      <c r="E42" s="401">
        <v>4.6162400499999999E-2</v>
      </c>
      <c r="F42" s="402">
        <v>23.366299999999999</v>
      </c>
      <c r="G42" s="403"/>
      <c r="H42" s="535"/>
      <c r="I42" s="542"/>
      <c r="J42" s="537"/>
      <c r="K42" s="403"/>
      <c r="L42" s="403"/>
      <c r="M42" s="508"/>
      <c r="N42" s="531">
        <f>T_Energy/0.2998/F42</f>
        <v>0.8622145786741211</v>
      </c>
      <c r="O42" s="433">
        <f>-G42*N42/F42</f>
        <v>0</v>
      </c>
      <c r="P42" s="462">
        <f>2*H42*N42/F42/F42</f>
        <v>0</v>
      </c>
      <c r="Q42" s="462">
        <f>O42*Vlength</f>
        <v>0</v>
      </c>
      <c r="R42" s="69">
        <f>R41+Vlength</f>
        <v>8.5704594988031513</v>
      </c>
      <c r="S42" s="69">
        <f>S41+U41*Vlength/SQRT(1+(U41)^2)</f>
        <v>0</v>
      </c>
      <c r="T42" s="69">
        <f>T41+Vlength/SQRT(1+(U41)^2)</f>
        <v>8.5704594988031513</v>
      </c>
      <c r="U42" s="69">
        <f>(-SIN(E42)+U41*COS(E42))/(COS(E42)+U41*SIN(E42))</f>
        <v>-4.6195218661473893E-2</v>
      </c>
      <c r="V42" s="70">
        <f t="shared" si="51"/>
        <v>0.78053618853563012</v>
      </c>
      <c r="W42" s="70">
        <f t="shared" si="52"/>
        <v>0.26623489077256113</v>
      </c>
      <c r="X42" s="70">
        <f t="shared" si="53"/>
        <v>1.3719812518542742</v>
      </c>
      <c r="Y42" s="70">
        <f t="shared" si="54"/>
        <v>1.2409780822889496</v>
      </c>
      <c r="Z42" s="70">
        <f t="shared" si="55"/>
        <v>34.93966550392183</v>
      </c>
      <c r="AA42" s="70">
        <f t="shared" si="56"/>
        <v>-2.1255089755812324E-2</v>
      </c>
      <c r="AB42" s="70">
        <f t="shared" si="57"/>
        <v>2.8633696528326268E-2</v>
      </c>
      <c r="AC42" s="70">
        <f t="shared" si="58"/>
        <v>1.2322024990236797</v>
      </c>
      <c r="AD42" s="69">
        <f>AD41*$CK42+AE41*$CL42+CO42</f>
        <v>3.1403742229718257E-2</v>
      </c>
      <c r="AE42" s="70">
        <f>AD41*$CM42+AE41*$CN42+CP42</f>
        <v>1.9554066962894689E-2</v>
      </c>
      <c r="AF42" s="71">
        <f>V42*AE42^2+2*W42*AD42*AE42+X42*AD42^2</f>
        <v>1.9784622878920759E-3</v>
      </c>
      <c r="AG42" s="70">
        <f>AG41*$CK42+AH41*$CL42+CO42</f>
        <v>2.4891988870057148E-2</v>
      </c>
      <c r="AH42" s="70">
        <f>AG41*$CM42+AH41*$CN42+CP42</f>
        <v>4.6146007153071995E-2</v>
      </c>
      <c r="AI42" s="70">
        <f>AI41*$CK42+AJ41*$CL42+0.001*(1-$CK42)*$K42</f>
        <v>0</v>
      </c>
      <c r="AJ42" s="70">
        <f>AI41*$CM42+AJ41*$CN42-0.001*$CM42*K42</f>
        <v>0</v>
      </c>
      <c r="AK42" s="70">
        <f>AK41*$CK42+AL41*$CL42+0.001*(1-$CK42)*$K42</f>
        <v>0</v>
      </c>
      <c r="AL42" s="70">
        <f>AK41*$CM42+AL41*$CN42-0.001*$CM42*$K42</f>
        <v>0</v>
      </c>
      <c r="AM42" s="70">
        <f>AM41*$CR42+AN41*$CS42+0.001*(1-$CR42)*$L42</f>
        <v>0</v>
      </c>
      <c r="AN42" s="70">
        <f>AM41*$CT42+AN41*$CU42-0.001*$CT42*$L42</f>
        <v>0</v>
      </c>
      <c r="AO42" s="70">
        <f>AO41*$CR42+AP41*$CS42+0.001*(1-$CR42)*$L42</f>
        <v>0</v>
      </c>
      <c r="AP42" s="70">
        <f>AO41*$CT42+AP41*$CU42-0.001*$CT42*$L42</f>
        <v>0</v>
      </c>
      <c r="AQ42" s="69">
        <f t="shared" si="8"/>
        <v>6.3271543557712959E-2</v>
      </c>
      <c r="AR42" s="69">
        <f t="shared" si="9"/>
        <v>3.5961013174972745E-2</v>
      </c>
      <c r="AS42" s="69">
        <f t="shared" si="10"/>
        <v>7.4229751664893151E-2</v>
      </c>
      <c r="AT42" s="69">
        <f t="shared" si="11"/>
        <v>1.02946421928644E-3</v>
      </c>
      <c r="AU42" s="69">
        <f t="shared" si="12"/>
        <v>4.3861619163560848</v>
      </c>
      <c r="AV42" s="72">
        <f t="shared" ref="AV42:AX43" si="68">AV41</f>
        <v>3.7012216628845733</v>
      </c>
      <c r="AW42" s="72">
        <f t="shared" si="68"/>
        <v>3.7012216628845733E-2</v>
      </c>
      <c r="AX42" s="72">
        <f t="shared" si="68"/>
        <v>1.0629909222129516E-3</v>
      </c>
      <c r="AY42" s="488">
        <f>IF(Vlength*CJ42=0,0.5*(AD41+AD42)-Vlength*Vlength/12/F42,(AE42-AE41-E42)/CJ42/Vlength)</f>
        <v>2.9146438315852053E-2</v>
      </c>
      <c r="AZ42" s="488">
        <f>IF(VKl=0,AZ41,(AD42-AD41)/Vlength)</f>
        <v>-2.6587732070069578E-2</v>
      </c>
      <c r="BA42" s="433">
        <f>IF($CJ42=0,0.5*(V42+V41)-X41*Vlength*Vlength/6,-0.5*(($X42-$CJ42*$V42)*Vlength+($W42-$W41))/$CJ42/Vlength)</f>
        <v>1.5988122899729842</v>
      </c>
      <c r="BB42" s="77">
        <f t="shared" si="14"/>
        <v>0.84560169684848607</v>
      </c>
      <c r="BC42" s="488">
        <f>IF(CJ42=0,AY42*BA42-(2*W41-X41*Vlength)*AE41*Vlength*Vlength/12-(W41/12-2*X41*Vlength/45)*Vlength^3/F42,-(2*(X42-CJ42*V42)*AY42+(2*W42*AD42+V42*AE42-2*W41*AD41-V41*AE41)/Vlength-BA42/F42)/3/CJ42)</f>
        <v>4.7501204492428777E-2</v>
      </c>
      <c r="BD42" s="488"/>
      <c r="BE42" s="488">
        <f>(X42-CJ42*V42)*AY42+(V42*AE42-V41*AE41)/Vlength-BA42/F42</f>
        <v>5.8309378664680889E-2</v>
      </c>
      <c r="BF42" s="433">
        <f>IF($CQ42=0,0.5*(Z42+Z41)-AB41*Vlength*Vlength/6,-0.5*(($AB42-$CQ42*$Z42)*Vlength+$AA42-$AA41)/$CQ42/Vlength)</f>
        <v>34.927843671665258</v>
      </c>
      <c r="BG42" s="488">
        <f t="shared" si="15"/>
        <v>1.2167614582600952</v>
      </c>
      <c r="BH42" s="488">
        <f>-(2*(AB42-CQ42*Z42)*AY42+(2*AA42*AD42+Z42*AE42-2*AA41*AD41-Z41*AE41)/Vlength-BF42/F42)/(4*CQ42-CJ42)</f>
        <v>1.0180228996769334</v>
      </c>
      <c r="BI42" s="488"/>
      <c r="BJ42" s="488">
        <f>$CQ42*$BH42+($AB42-$CQ42*$Z42)*$AY42</f>
        <v>8.3457026961768861E-4</v>
      </c>
      <c r="BK42" s="72">
        <f>VaveBetax*E42^2</f>
        <v>3.4070165807414967E-3</v>
      </c>
      <c r="BL42" s="72">
        <f>VaveBetaz*E42^2</f>
        <v>7.443008992689272E-2</v>
      </c>
      <c r="BM42" s="72">
        <f>SUMSQ(SQRT(V42)-SQRT(V41),0.5*(SQRT(V42)+SQRT(V41))*(Y42-Y41))/F42/F42</f>
        <v>3.2079440835698142E-3</v>
      </c>
      <c r="BN42" s="72">
        <f>VaveBetax*(CJ42*Vlength)^2</f>
        <v>6.2401402466726232E-6</v>
      </c>
      <c r="BO42" s="72">
        <f>VaveBetaz*(CQ42*Vlength)^2</f>
        <v>0</v>
      </c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69">
        <f>$CQ42*Vlength</f>
        <v>0</v>
      </c>
      <c r="CG42" s="69">
        <f>H42/F42/F42/F42*Vlength</f>
        <v>0</v>
      </c>
      <c r="CH42" s="70">
        <f>E42*F42</f>
        <v>1.0786444988031498</v>
      </c>
      <c r="CI42" s="73"/>
      <c r="CJ42" s="74">
        <f>-((1-$G42)-0.001*$K42*$H42/$F42)/$F42/$F42</f>
        <v>-1.8315555850081987E-3</v>
      </c>
      <c r="CK42" s="74">
        <f>IF(CJ42=0,1,IF(CJ42&gt;0,COSH(Vlength*SQRT(CJ42)),COS(Vlength*SQRT(-CJ42))))</f>
        <v>0.99893470558581987</v>
      </c>
      <c r="CL42" s="74">
        <f>IF(CJ42=0,Vlength,IF(CJ42&gt;0,SINH(Vlength*SQRT(CJ42))/SQRT(CJ42),SIN(Vlength*SQRT(-CJ42))/SQRT(-CJ42)))</f>
        <v>1.078261446940826</v>
      </c>
      <c r="CM42" s="74">
        <f>CL42*CJ42</f>
        <v>-1.9748957752434913E-3</v>
      </c>
      <c r="CN42" s="74">
        <f>CK42</f>
        <v>0.99893470558581987</v>
      </c>
      <c r="CO42" s="70">
        <f>IF(CJ42=0,0.5*E42*E42*F42,(CK42-1)/F42/CJ42)</f>
        <v>2.4891988870057148E-2</v>
      </c>
      <c r="CP42" s="70">
        <f>CL42/F42</f>
        <v>4.6146007153071995E-2</v>
      </c>
      <c r="CQ42" s="74">
        <f>-($G42+0.001*$K42*$H42/$F42)/$F42/$F42</f>
        <v>0</v>
      </c>
      <c r="CR42" s="74">
        <f>IF(CQ42=0,1,IF(CQ42&gt;0,COSH(Vlength*SQRT(CQ42)),COS(Vlength*SQRT(-CQ42))))</f>
        <v>1</v>
      </c>
      <c r="CS42" s="74">
        <f>IF(CQ42=0,Vlength,IF(CQ42&gt;0,SINH(Vlength*SQRT(CQ42))/SQRT(CQ42),SIN(Vlength*SQRT(-CQ42))/SQRT(-CQ42)))</f>
        <v>1.0786444988031498</v>
      </c>
      <c r="CT42" s="74">
        <f>CS42*CQ42</f>
        <v>0</v>
      </c>
      <c r="CU42" s="74">
        <f>CR42</f>
        <v>1</v>
      </c>
      <c r="CV42" s="70"/>
      <c r="CW42" s="74">
        <f t="shared" si="59"/>
        <v>4.8284333458115225E-2</v>
      </c>
      <c r="CX42" s="74">
        <f t="shared" si="60"/>
        <v>4.9533220989966651</v>
      </c>
      <c r="CY42" s="74">
        <f t="shared" si="61"/>
        <v>-0.19717793910849171</v>
      </c>
      <c r="CZ42" s="74">
        <f t="shared" si="62"/>
        <v>0.48285137454602378</v>
      </c>
      <c r="DA42" s="70"/>
      <c r="DB42" s="74">
        <f t="shared" si="63"/>
        <v>1.2357801299826126</v>
      </c>
      <c r="DC42" s="74">
        <f t="shared" si="64"/>
        <v>8.8580988136468726</v>
      </c>
      <c r="DD42" s="74">
        <f t="shared" si="65"/>
        <v>-9.9683890552536153E-2</v>
      </c>
      <c r="DE42" s="74">
        <f t="shared" si="66"/>
        <v>9.4669144225940041E-2</v>
      </c>
      <c r="DF42" s="74">
        <f>AZ42^2*Vlength</f>
        <v>7.6250188240244675E-4</v>
      </c>
      <c r="DG42" s="74">
        <f>Vlength*AY42/F42</f>
        <v>1.3454695586849078E-3</v>
      </c>
      <c r="DH42" s="74">
        <f>1/F42/F42*Vlength</f>
        <v>1.9755973560212784E-3</v>
      </c>
      <c r="DI42" s="74">
        <f>ABS(DH42/F42)</f>
        <v>8.4549002453160254E-5</v>
      </c>
      <c r="DJ42" s="74">
        <f>DG42*(1-2*G42)/F42/F42</f>
        <v>2.4643022846678589E-6</v>
      </c>
      <c r="DK42" s="72">
        <f>DI42*(1/V41*(AD41*AD41+(V41*AE41+W41*AD41)^2)+(W41*AD41+V41*AE41)*2*(1-COS(E42))/E42-2*((1+W41^2)/V41*AD41+W41*AE41)*F42*(1-SIN(E42)/E42)+V41/2*(1-SIN(2*E42)/2/E42)-4*W41*F42*SIN(E42/2)^4/E42+(1+W41^2)/V41/2*F42^2*(3+SIN(E42)/E42*(COS(E42)-4)))</f>
        <v>8.1494564667364457E-8</v>
      </c>
      <c r="DL42" s="69">
        <f>E42</f>
        <v>4.6162400499999999E-2</v>
      </c>
      <c r="DM42" s="69">
        <f>DI42*BF42</f>
        <v>2.9531143402792238E-3</v>
      </c>
      <c r="DN42" s="77">
        <f>-(VKl+$E42/$F42)*VaveBetax+2*(VHl+VKl/$F42)*$BC42+$BE42*$E42</f>
        <v>-4.6690844201979862E-4</v>
      </c>
      <c r="DO42" s="77">
        <f>VKl*VaveBetaz-(2*VHl+VKl/$F42)*$BH42+$BJ42*$E42</f>
        <v>3.8525767031484722E-5</v>
      </c>
      <c r="DP42" s="488" t="str">
        <f>IMPRODUCT(-1/8*VaveBetax*(-Vlength*CJ42-2*VHl*$AY42),COMPLEX(COS(2*VmidMux),SIN(2*VmidMux)))</f>
        <v>0.0000474250728430196-0.000391967555165376i</v>
      </c>
      <c r="DQ42" s="433" t="str">
        <f>IMPRODUCT(1/8*VaveBetaz*(VKl-2*VHl*$AY42),COMPLEX(COS(2*VmidMuz),SIN(2*VmidMuz)))</f>
        <v>0</v>
      </c>
      <c r="DR42" s="433" t="str">
        <f>IMPRODUCT(-1/2*SQRT(VaveBetax)*(-Vlength*CJ42-2*VHl*$AY42)*AY42,COMPLEX(COS(VmidMux),SIN(VmidMux)))</f>
        <v>-0.0000241462837901285-0.0000272438975969768i</v>
      </c>
      <c r="DS42" s="433" t="str">
        <f>IMPRODUCT(-1/8*VHl*VaveBetax^(3/2),COMPLEX(COS(VmidMux),SIN(VmidMux)))</f>
        <v>0</v>
      </c>
      <c r="DT42" s="433" t="str">
        <f>IMPRODUCT(-1/24*VHl*VaveBetax^(3/2),COMPLEX(COS(3*VmidMux),SIN(3*VmidMux)))</f>
        <v>0</v>
      </c>
      <c r="DU42" s="433" t="str">
        <f>IMPRODUCT(1/4*VHl*VaveBetax^(1/2)*VaveBetaz,COMPLEX(COS(VmidMux),SIN(VmidMux)))</f>
        <v>0</v>
      </c>
      <c r="DV42" s="433" t="str">
        <f>IMPRODUCT(1/8*VHl*VaveBetax^(1/2)*VaveBetaz,COMPLEX(COS(VmidMux-2*VmidMuz),SIN(VmidMux-2*VmidMuz)))</f>
        <v>0</v>
      </c>
      <c r="DW42" s="433" t="str">
        <f>IMPRODUCT(1/8*VHl*VaveBetax^(1/2)*VaveBetaz,COMPLEX(COS(VmidMux+2*VmidMuz),SIN(VmidMux+2*VmidMuz)))</f>
        <v>0</v>
      </c>
      <c r="DX42" s="433"/>
      <c r="DY42" s="433"/>
      <c r="DZ42" s="433"/>
      <c r="EA42" s="433"/>
      <c r="EB42" s="70">
        <f>CH42*(1/AQ42+1/AQ41)/2</f>
        <v>13.38529953515704</v>
      </c>
      <c r="EC42" s="70">
        <f>CH42*(1/AR42+1/AR41)/2</f>
        <v>29.997522400163167</v>
      </c>
      <c r="ED42" s="70">
        <f>CH42*(AS42+AS41)/2</f>
        <v>8.1318746763802477E-2</v>
      </c>
      <c r="EE42" s="71">
        <f>DK42/DI42*CH42</f>
        <v>1.0396771258124355E-3</v>
      </c>
      <c r="EF42" s="70">
        <f>SQRT(VaveBetax/VaveBetaz*T_Coupling)</f>
        <v>2.1395027631617221E-2</v>
      </c>
      <c r="EG42" s="70">
        <f>IF(EF42&lt;=1,EF42^(0.021-0.044*LN(EF42)),EF42^(-0.021-0.044*LN(EF42)))/(VaveBetax*VaveBetaz)^(1/4)</f>
        <v>0.17609467005714016</v>
      </c>
      <c r="EH42" s="72">
        <f t="shared" ref="EH42:ET43" si="69">$EG42*Vlength/SQRT(1+EH$7*EH$7/EH$8*1000000000/Vlength*$EE42)</f>
        <v>0.15187043548009851</v>
      </c>
      <c r="EI42" s="72" t="e">
        <f t="shared" si="69"/>
        <v>#DIV/0!</v>
      </c>
      <c r="EJ42" s="72" t="e">
        <f t="shared" si="69"/>
        <v>#DIV/0!</v>
      </c>
      <c r="EK42" s="72" t="e">
        <f t="shared" si="69"/>
        <v>#DIV/0!</v>
      </c>
      <c r="EL42" s="72" t="e">
        <f t="shared" si="69"/>
        <v>#DIV/0!</v>
      </c>
      <c r="EM42" s="72" t="e">
        <f t="shared" si="69"/>
        <v>#DIV/0!</v>
      </c>
      <c r="EN42" s="72" t="e">
        <f t="shared" si="69"/>
        <v>#DIV/0!</v>
      </c>
      <c r="EO42" s="72" t="e">
        <f t="shared" si="69"/>
        <v>#DIV/0!</v>
      </c>
      <c r="EP42" s="72" t="e">
        <f t="shared" si="69"/>
        <v>#DIV/0!</v>
      </c>
      <c r="EQ42" s="72" t="e">
        <f t="shared" si="69"/>
        <v>#DIV/0!</v>
      </c>
      <c r="ER42" s="72" t="e">
        <f t="shared" si="69"/>
        <v>#DIV/0!</v>
      </c>
      <c r="ES42" s="72" t="e">
        <f t="shared" si="69"/>
        <v>#DIV/0!</v>
      </c>
      <c r="ET42" s="72" t="e">
        <f t="shared" si="69"/>
        <v>#DIV/0!</v>
      </c>
      <c r="EU42" s="70">
        <f>Vlength*VaveBetaz</f>
        <v>37.674726431498144</v>
      </c>
      <c r="EW42" s="74"/>
      <c r="EX42" s="74"/>
      <c r="EY42" s="74"/>
      <c r="EZ42" s="74"/>
      <c r="FA42" s="74"/>
      <c r="FB42" s="74"/>
    </row>
    <row r="43" spans="1:158" s="68" customFormat="1" ht="15.75" customHeight="1" outlineLevel="1">
      <c r="A43" s="63"/>
      <c r="B43" s="63"/>
      <c r="C43" s="76" t="s">
        <v>175</v>
      </c>
      <c r="D43" s="65" t="s">
        <v>1132</v>
      </c>
      <c r="E43" s="401">
        <v>4.6162400499999999E-2</v>
      </c>
      <c r="F43" s="402">
        <v>23.366299999999999</v>
      </c>
      <c r="G43" s="403"/>
      <c r="H43" s="535"/>
      <c r="I43" s="542"/>
      <c r="J43" s="537"/>
      <c r="K43" s="403"/>
      <c r="L43" s="403"/>
      <c r="M43" s="508"/>
      <c r="N43" s="531">
        <f>T_Energy/0.2998/F43</f>
        <v>0.8622145786741211</v>
      </c>
      <c r="O43" s="433">
        <f>-G43*N43/F43</f>
        <v>0</v>
      </c>
      <c r="P43" s="462">
        <f>2*H43*N43/F43/F43</f>
        <v>0</v>
      </c>
      <c r="Q43" s="462">
        <f>O43*Vlength</f>
        <v>0</v>
      </c>
      <c r="R43" s="69">
        <f>R42+Vlength</f>
        <v>9.6491039976063018</v>
      </c>
      <c r="S43" s="69">
        <f>S42+U42*Vlength/SQRT(1+(U42)^2)</f>
        <v>-4.9775136757391911E-2</v>
      </c>
      <c r="T43" s="69">
        <f>T42+Vlength/SQRT(1+(U42)^2)</f>
        <v>9.6479549236468394</v>
      </c>
      <c r="U43" s="69">
        <f>(-SIN(E43)+U42*COS(E43))/(COS(E43)+U42*SIN(E43))</f>
        <v>-9.258801999347209E-2</v>
      </c>
      <c r="V43" s="70">
        <f t="shared" si="51"/>
        <v>1.8004749781334874</v>
      </c>
      <c r="W43" s="70">
        <f t="shared" si="52"/>
        <v>-1.2111376853527762</v>
      </c>
      <c r="X43" s="70">
        <f t="shared" si="53"/>
        <v>1.3701131772678197</v>
      </c>
      <c r="Y43" s="70">
        <f t="shared" si="54"/>
        <v>2.3832155277934248</v>
      </c>
      <c r="Z43" s="70">
        <f t="shared" si="55"/>
        <v>35.01883343533548</v>
      </c>
      <c r="AA43" s="70">
        <f t="shared" si="56"/>
        <v>-5.2140668996490301E-2</v>
      </c>
      <c r="AB43" s="70">
        <f t="shared" si="57"/>
        <v>2.8633696528326272E-2</v>
      </c>
      <c r="AC43" s="70">
        <f t="shared" si="58"/>
        <v>1.2630441044569458</v>
      </c>
      <c r="AD43" s="69">
        <f>AD42*$CK43+AE42*$CL43+CO43</f>
        <v>7.7346673405582364E-2</v>
      </c>
      <c r="AE43" s="70">
        <f>AD42*$CM43+AE42*$CN43+CP43</f>
        <v>6.56172241598003E-2</v>
      </c>
      <c r="AF43" s="71">
        <f>V43*AE43^2+2*W43*AD43*AE43+X43*AD43^2</f>
        <v>3.655162929532163E-3</v>
      </c>
      <c r="AG43" s="70">
        <f>AG42*$CK43+AH42*$CL43+CO43</f>
        <v>9.9514920886826314E-2</v>
      </c>
      <c r="AH43" s="70">
        <f>AG42*$CM43+AH42*$CN43+CP43</f>
        <v>9.2193696138830217E-2</v>
      </c>
      <c r="AI43" s="70">
        <f>AI42*$CK43+AJ42*$CL43+0.001*(1-$CK43)*$K43</f>
        <v>0</v>
      </c>
      <c r="AJ43" s="70">
        <f>AI42*$CM43+AJ42*$CN43-0.001*$CM43*K43</f>
        <v>0</v>
      </c>
      <c r="AK43" s="70">
        <f>AK42*$CK43+AL42*$CL43+0.001*(1-$CK43)*$K43</f>
        <v>0</v>
      </c>
      <c r="AL43" s="70">
        <f>AK42*$CM43+AL42*$CN43-0.001*$CM43*$K43</f>
        <v>0</v>
      </c>
      <c r="AM43" s="70">
        <f>AM42*$CR43+AN42*$CS43+0.001*(1-$CR43)*$L43</f>
        <v>0</v>
      </c>
      <c r="AN43" s="70">
        <f>AM42*$CT43+AN42*$CU43-0.001*$CT43*$L43</f>
        <v>0</v>
      </c>
      <c r="AO43" s="70">
        <f>AO42*$CR43+AP42*$CS43+0.001*(1-$CR43)*$L43</f>
        <v>0</v>
      </c>
      <c r="AP43" s="70">
        <f>AO42*$CT43+AP42*$CU43-0.001*$CT43*$L43</f>
        <v>0</v>
      </c>
      <c r="AQ43" s="69">
        <f t="shared" si="8"/>
        <v>0.11586151211183617</v>
      </c>
      <c r="AR43" s="69">
        <f t="shared" si="9"/>
        <v>3.600173119723693E-2</v>
      </c>
      <c r="AS43" s="69">
        <f t="shared" si="10"/>
        <v>9.9680623608276772E-2</v>
      </c>
      <c r="AT43" s="69">
        <f t="shared" si="11"/>
        <v>1.0294642192864403E-3</v>
      </c>
      <c r="AU43" s="69">
        <f t="shared" si="12"/>
        <v>11.481072323179379</v>
      </c>
      <c r="AV43" s="72">
        <f t="shared" si="68"/>
        <v>3.7012216628845733</v>
      </c>
      <c r="AW43" s="72">
        <f t="shared" si="68"/>
        <v>3.7012216628845733E-2</v>
      </c>
      <c r="AX43" s="72">
        <f t="shared" si="68"/>
        <v>1.0629909222129516E-3</v>
      </c>
      <c r="AY43" s="488">
        <f>IF(Vlength*CJ43=0,0.5*(AD42+AD43)-Vlength*Vlength/12/F43,(AE43-AE42-E43)/CJ43/Vlength)</f>
        <v>5.0234579830709093E-2</v>
      </c>
      <c r="AZ43" s="488">
        <f>IF(VKl=0,AZ42,(AD43-AD42)/Vlength)</f>
        <v>-2.6587732070069578E-2</v>
      </c>
      <c r="BA43" s="433">
        <f>IF($CJ43=0,0.5*(V43+V42)-X42*Vlength*Vlength/6,-0.5*(($X43-$CJ43*$V43)*Vlength+($W43-$W42))/$CJ43/Vlength)</f>
        <v>1.0248745439808677</v>
      </c>
      <c r="BB43" s="77">
        <f t="shared" si="14"/>
        <v>1.8120968050411872</v>
      </c>
      <c r="BC43" s="488">
        <f>IF(CJ43=0,AY43*BA43-(2*W42-X42*Vlength)*AE42*Vlength*Vlength/12-(W42/12-2*X42*Vlength/45)*Vlength^3/F43,-(2*(X43-CJ43*V43)*AY43+(2*W43*AD43+V43*AE43-2*W42*AD42-V42*AE42)/Vlength-BA43/F43)/3/CJ43)</f>
        <v>5.5609743089201004E-2</v>
      </c>
      <c r="BD43" s="488"/>
      <c r="BE43" s="488">
        <f>(X43-CJ43*V43)*AY43+(V43*AE43-V42*AE42)/Vlength-BA43/F43</f>
        <v>0.12051000937242407</v>
      </c>
      <c r="BF43" s="433">
        <f>IF($CQ43=0,0.5*(Z43+Z42)-AB42*Vlength*Vlength/6,-0.5*(($AB43-$CQ43*$Z43)*Vlength+$AA43-$AA42)/$CQ43/Vlength)</f>
        <v>34.973697042938603</v>
      </c>
      <c r="BG43" s="488">
        <f t="shared" si="15"/>
        <v>1.2476233017403127</v>
      </c>
      <c r="BH43" s="488">
        <f>-(2*(AB43-CQ43*Z43)*AY43+(2*AA43*AD43+Z43*AE43-2*AA42*AD42-Z42*AE42)/Vlength-BF43/F43)/(4*CQ43-CJ43)</f>
        <v>1.757196685589451</v>
      </c>
      <c r="BI43" s="488"/>
      <c r="BJ43" s="488">
        <f>$CQ43*$BH43+($AB43-$CQ43*$Z43)*$AY43</f>
        <v>1.4384017141005039E-3</v>
      </c>
      <c r="BK43" s="72">
        <f>VaveBetax*E43^2</f>
        <v>2.1839740577561475E-3</v>
      </c>
      <c r="BL43" s="72">
        <f>VaveBetaz*E43^2</f>
        <v>7.4527801957999143E-2</v>
      </c>
      <c r="BM43" s="72">
        <f>SUMSQ(SQRT(V43)-SQRT(V42),0.5*(SQRT(V43)+SQRT(V42))*(Y43-Y42))/F43/F43</f>
        <v>3.3431083407318941E-3</v>
      </c>
      <c r="BN43" s="72">
        <f>VaveBetax*(CJ43*Vlength)^2</f>
        <v>4.0000698829962893E-6</v>
      </c>
      <c r="BO43" s="72">
        <f>VaveBetaz*(CQ43*Vlength)^2</f>
        <v>0</v>
      </c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69">
        <f>$CQ43*Vlength</f>
        <v>0</v>
      </c>
      <c r="CG43" s="69">
        <f>H43/F43/F43/F43*Vlength</f>
        <v>0</v>
      </c>
      <c r="CH43" s="70">
        <f>E43*F43</f>
        <v>1.0786444988031498</v>
      </c>
      <c r="CI43" s="73"/>
      <c r="CJ43" s="74">
        <f>-((1-$G43)-0.001*$K43*$H43/$F43)/$F43/$F43</f>
        <v>-1.8315555850081987E-3</v>
      </c>
      <c r="CK43" s="74">
        <f>IF(CJ43=0,1,IF(CJ43&gt;0,COSH(Vlength*SQRT(CJ43)),COS(Vlength*SQRT(-CJ43))))</f>
        <v>0.99893470558581987</v>
      </c>
      <c r="CL43" s="74">
        <f>IF(CJ43=0,Vlength,IF(CJ43&gt;0,SINH(Vlength*SQRT(CJ43))/SQRT(CJ43),SIN(Vlength*SQRT(-CJ43))/SQRT(-CJ43)))</f>
        <v>1.078261446940826</v>
      </c>
      <c r="CM43" s="74">
        <f>CL43*CJ43</f>
        <v>-1.9748957752434913E-3</v>
      </c>
      <c r="CN43" s="74">
        <f>CK43</f>
        <v>0.99893470558581987</v>
      </c>
      <c r="CO43" s="70">
        <f>IF(CJ43=0,0.5*E43*E43*F43,(CK43-1)/F43/CJ43)</f>
        <v>2.4891988870057148E-2</v>
      </c>
      <c r="CP43" s="70">
        <f>CL43/F43</f>
        <v>4.6146007153071995E-2</v>
      </c>
      <c r="CQ43" s="74">
        <f>-($G43+0.001*$K43*$H43/$F43)/$F43/$F43</f>
        <v>0</v>
      </c>
      <c r="CR43" s="74">
        <f>IF(CQ43=0,1,IF(CQ43&gt;0,COSH(Vlength*SQRT(CQ43)),COS(Vlength*SQRT(-CQ43))))</f>
        <v>1</v>
      </c>
      <c r="CS43" s="74">
        <f>IF(CQ43=0,Vlength,IF(CQ43&gt;0,SINH(Vlength*SQRT(CQ43))/SQRT(CQ43),SIN(Vlength*SQRT(-CQ43))/SQRT(-CQ43)))</f>
        <v>1.0786444988031498</v>
      </c>
      <c r="CT43" s="74">
        <f>CS43*CQ43</f>
        <v>0</v>
      </c>
      <c r="CU43" s="74">
        <f>CR43</f>
        <v>1</v>
      </c>
      <c r="CV43" s="70"/>
      <c r="CW43" s="74">
        <f t="shared" si="59"/>
        <v>-0.16437647350054246</v>
      </c>
      <c r="CX43" s="74">
        <f t="shared" si="60"/>
        <v>5.4686853744083308</v>
      </c>
      <c r="CY43" s="74">
        <f t="shared" si="61"/>
        <v>-0.19706324307751677</v>
      </c>
      <c r="CZ43" s="74">
        <f t="shared" si="62"/>
        <v>0.47255470078711198</v>
      </c>
      <c r="DA43" s="70"/>
      <c r="DB43" s="74">
        <f t="shared" si="63"/>
        <v>1.1282566498188242</v>
      </c>
      <c r="DC43" s="74">
        <f t="shared" si="64"/>
        <v>8.9602131652725845</v>
      </c>
      <c r="DD43" s="74">
        <f t="shared" si="65"/>
        <v>-9.9683890552536153E-2</v>
      </c>
      <c r="DE43" s="74">
        <f t="shared" si="66"/>
        <v>9.4669144225940041E-2</v>
      </c>
      <c r="DF43" s="74">
        <f>AZ43^2*Vlength</f>
        <v>7.6250188240244675E-4</v>
      </c>
      <c r="DG43" s="74">
        <f>Vlength*AY43/F43</f>
        <v>2.3189487930944152E-3</v>
      </c>
      <c r="DH43" s="74">
        <f>1/F43/F43*Vlength</f>
        <v>1.9755973560212784E-3</v>
      </c>
      <c r="DI43" s="74">
        <f>ABS(DH43/F43)</f>
        <v>8.4549002453160254E-5</v>
      </c>
      <c r="DJ43" s="74">
        <f>DG43*(1-2*G43)/F43/F43</f>
        <v>4.2472836133400978E-6</v>
      </c>
      <c r="DK43" s="72">
        <f>DI43*(1/V42*(AD42*AD42+(V42*AE42+W42*AD42)^2)+(W42*AD42+V42*AE42)*2*(1-COS(E43))/E43-2*((1+W42^2)/V42*AD42+W42*AE42)*F43*(1-SIN(E43)/E43)+V42/2*(1-SIN(2*E43)/2/E43)-4*W42*F43*SIN(E43/2)^4/E43+(1+W42^2)/V42/2*F43^2*(3+SIN(E43)/E43*(COS(E43)-4)))</f>
        <v>2.4000465207669795E-7</v>
      </c>
      <c r="DL43" s="69">
        <f>E43</f>
        <v>4.6162400499999999E-2</v>
      </c>
      <c r="DM43" s="69">
        <f>DI43*BF43</f>
        <v>2.9569911970794994E-3</v>
      </c>
      <c r="DN43" s="77">
        <f>-(VKl+$E43/$F43)*VaveBetax+2*(VHl+VKl/$F43)*$BC43+$BE43*$E43</f>
        <v>3.5382918775664777E-3</v>
      </c>
      <c r="DO43" s="77">
        <f>VKl*VaveBetaz-(2*VHl+VKl/$F43)*$BH43+$BJ43*$E43</f>
        <v>6.6400076006193961E-5</v>
      </c>
      <c r="DP43" s="488" t="str">
        <f>IMPRODUCT(-1/8*VaveBetax*(-Vlength*CJ43-2*VHl*$AY43),COMPLEX(COS(2*VmidMux),SIN(2*VmidMux)))</f>
        <v>0.000224186960230361+0.000117456310789796i</v>
      </c>
      <c r="DQ43" s="433" t="str">
        <f>IMPRODUCT(1/8*VaveBetaz*(VKl-2*VHl*$AY43),COMPLEX(COS(2*VmidMuz),SIN(2*VmidMuz)))</f>
        <v>0</v>
      </c>
      <c r="DR43" s="433" t="str">
        <f>IMPRODUCT(-1/2*SQRT(VaveBetax)*(-Vlength*CJ43-2*VHl*$AY43)*AY43,COMPLEX(COS(VmidMux),SIN(VmidMux)))</f>
        <v>0.0000120044428272524-0.0000487796110156457i</v>
      </c>
      <c r="DS43" s="433" t="str">
        <f>IMPRODUCT(-1/8*VHl*VaveBetax^(3/2),COMPLEX(COS(VmidMux),SIN(VmidMux)))</f>
        <v>0</v>
      </c>
      <c r="DT43" s="433" t="str">
        <f>IMPRODUCT(-1/24*VHl*VaveBetax^(3/2),COMPLEX(COS(3*VmidMux),SIN(3*VmidMux)))</f>
        <v>0</v>
      </c>
      <c r="DU43" s="433" t="str">
        <f>IMPRODUCT(1/4*VHl*VaveBetax^(1/2)*VaveBetaz,COMPLEX(COS(VmidMux),SIN(VmidMux)))</f>
        <v>0</v>
      </c>
      <c r="DV43" s="433" t="str">
        <f>IMPRODUCT(1/8*VHl*VaveBetax^(1/2)*VaveBetaz,COMPLEX(COS(VmidMux-2*VmidMuz),SIN(VmidMux-2*VmidMuz)))</f>
        <v>0</v>
      </c>
      <c r="DW43" s="433" t="str">
        <f>IMPRODUCT(1/8*VHl*VaveBetax^(1/2)*VaveBetaz,COMPLEX(COS(VmidMux+2*VmidMuz),SIN(VmidMux+2*VmidMuz)))</f>
        <v>0</v>
      </c>
      <c r="DX43" s="433"/>
      <c r="DY43" s="433"/>
      <c r="DZ43" s="433"/>
      <c r="EA43" s="433"/>
      <c r="EB43" s="70">
        <f>CH43*(1/AQ43+1/AQ42)/2</f>
        <v>13.178817674742247</v>
      </c>
      <c r="EC43" s="70">
        <f>CH43*(1/AR43+1/AR42)/2</f>
        <v>29.977868508065153</v>
      </c>
      <c r="ED43" s="70">
        <f>CH43*(AS43+AS42)/2</f>
        <v>9.379373478659804E-2</v>
      </c>
      <c r="EE43" s="71">
        <f>DK43/DI43*CH43</f>
        <v>3.0618894385313696E-3</v>
      </c>
      <c r="EF43" s="70">
        <f>SQRT(VaveBetax/VaveBetaz*T_Coupling)</f>
        <v>1.7118455619927864E-2</v>
      </c>
      <c r="EG43" s="70">
        <f>IF(EF43&lt;=1,EF43^(0.021-0.044*LN(EF43)),EF43^(-0.021-0.044*LN(EF43)))/(VaveBetax*VaveBetaz)^(1/4)</f>
        <v>0.18119041641952344</v>
      </c>
      <c r="EH43" s="72">
        <f t="shared" si="69"/>
        <v>0.11979369682909113</v>
      </c>
      <c r="EI43" s="72" t="e">
        <f t="shared" si="69"/>
        <v>#DIV/0!</v>
      </c>
      <c r="EJ43" s="72" t="e">
        <f t="shared" si="69"/>
        <v>#DIV/0!</v>
      </c>
      <c r="EK43" s="72" t="e">
        <f t="shared" si="69"/>
        <v>#DIV/0!</v>
      </c>
      <c r="EL43" s="72" t="e">
        <f t="shared" si="69"/>
        <v>#DIV/0!</v>
      </c>
      <c r="EM43" s="72" t="e">
        <f t="shared" si="69"/>
        <v>#DIV/0!</v>
      </c>
      <c r="EN43" s="72" t="e">
        <f t="shared" si="69"/>
        <v>#DIV/0!</v>
      </c>
      <c r="EO43" s="72" t="e">
        <f t="shared" si="69"/>
        <v>#DIV/0!</v>
      </c>
      <c r="EP43" s="72" t="e">
        <f t="shared" si="69"/>
        <v>#DIV/0!</v>
      </c>
      <c r="EQ43" s="72" t="e">
        <f t="shared" si="69"/>
        <v>#DIV/0!</v>
      </c>
      <c r="ER43" s="72" t="e">
        <f t="shared" si="69"/>
        <v>#DIV/0!</v>
      </c>
      <c r="ES43" s="72" t="e">
        <f t="shared" si="69"/>
        <v>#DIV/0!</v>
      </c>
      <c r="ET43" s="72" t="e">
        <f t="shared" si="69"/>
        <v>#DIV/0!</v>
      </c>
      <c r="EU43" s="70">
        <f>Vlength*VaveBetaz</f>
        <v>37.72418591817371</v>
      </c>
      <c r="EW43" s="74"/>
      <c r="EX43" s="74"/>
      <c r="EY43" s="74"/>
      <c r="EZ43" s="74"/>
      <c r="FA43" s="74"/>
      <c r="FB43" s="74"/>
    </row>
    <row r="44" spans="1:158" s="68" customFormat="1" ht="15.75" customHeight="1" outlineLevel="1">
      <c r="A44" s="63"/>
      <c r="B44" s="63"/>
      <c r="C44" s="64"/>
      <c r="D44" s="65" t="s">
        <v>1077</v>
      </c>
      <c r="E44" s="401">
        <v>4.3237399000000003E-2</v>
      </c>
      <c r="F44" s="402">
        <v>23.366299999999999</v>
      </c>
      <c r="G44" s="405"/>
      <c r="H44" s="405"/>
      <c r="I44" s="544"/>
      <c r="K44" s="401"/>
      <c r="L44" s="401"/>
      <c r="M44" s="554"/>
      <c r="N44" s="530"/>
      <c r="O44" s="75"/>
      <c r="P44" s="461"/>
      <c r="Q44" s="461"/>
      <c r="R44" s="69">
        <f t="shared" ref="R44:U45" si="70">R43</f>
        <v>9.6491039976063018</v>
      </c>
      <c r="S44" s="69">
        <f t="shared" si="70"/>
        <v>-4.9775136757391911E-2</v>
      </c>
      <c r="T44" s="69">
        <f t="shared" si="70"/>
        <v>9.6479549236468394</v>
      </c>
      <c r="U44" s="69">
        <f t="shared" si="70"/>
        <v>-9.258801999347209E-2</v>
      </c>
      <c r="V44" s="70">
        <f t="shared" si="51"/>
        <v>1.8004749781334874</v>
      </c>
      <c r="W44" s="70">
        <f t="shared" si="52"/>
        <v>-1.2144713925636774</v>
      </c>
      <c r="X44" s="70">
        <f t="shared" si="53"/>
        <v>1.3746043646334223</v>
      </c>
      <c r="Y44" s="70">
        <f t="shared" si="54"/>
        <v>2.3832155277934248</v>
      </c>
      <c r="Z44" s="70">
        <f t="shared" si="55"/>
        <v>35.01883343533548</v>
      </c>
      <c r="AA44" s="70">
        <f t="shared" si="56"/>
        <v>1.2699186574151498E-2</v>
      </c>
      <c r="AB44" s="70">
        <f t="shared" si="57"/>
        <v>2.856066782425825E-2</v>
      </c>
      <c r="AC44" s="70">
        <f t="shared" si="58"/>
        <v>1.2630441044569458</v>
      </c>
      <c r="AD44" s="69">
        <f>AD43</f>
        <v>7.7346673405582364E-2</v>
      </c>
      <c r="AE44" s="70">
        <f>AD43*$CM44+AE43</f>
        <v>6.576043701529842E-2</v>
      </c>
      <c r="AF44" s="71">
        <f>AF43</f>
        <v>3.655162929532163E-3</v>
      </c>
      <c r="AG44" s="70">
        <f>AG43</f>
        <v>9.9514920886826314E-2</v>
      </c>
      <c r="AH44" s="70">
        <f>AG43*$CM44+AH43</f>
        <v>9.2377955077933394E-2</v>
      </c>
      <c r="AI44" s="70">
        <f>AI43</f>
        <v>0</v>
      </c>
      <c r="AJ44" s="70">
        <f>AI43*$CM44+AJ43-0.001*$CM44*K44</f>
        <v>0</v>
      </c>
      <c r="AK44" s="70">
        <f>AK43</f>
        <v>0</v>
      </c>
      <c r="AL44" s="70">
        <f>AK43*$CM44+AL43-0.001*$CM44*$K44</f>
        <v>0</v>
      </c>
      <c r="AM44" s="70">
        <f>AM43</f>
        <v>0</v>
      </c>
      <c r="AN44" s="70">
        <f>AM43*$CT44+AN43-0.001*$CT44*$L44</f>
        <v>0</v>
      </c>
      <c r="AO44" s="70">
        <f>AO43</f>
        <v>0</v>
      </c>
      <c r="AP44" s="70">
        <f>AO43*$CT44+AP43-0.001*$CT44*$L44</f>
        <v>0</v>
      </c>
      <c r="AQ44" s="69">
        <f t="shared" si="8"/>
        <v>0.11586151211183617</v>
      </c>
      <c r="AR44" s="69">
        <f t="shared" si="9"/>
        <v>3.600173119723693E-2</v>
      </c>
      <c r="AS44" s="69">
        <f t="shared" si="10"/>
        <v>9.9870463965234357E-2</v>
      </c>
      <c r="AT44" s="69">
        <f t="shared" si="11"/>
        <v>1.0281505845818259E-3</v>
      </c>
      <c r="AU44" s="69">
        <f t="shared" si="12"/>
        <v>11.503178336769261</v>
      </c>
      <c r="AV44" s="72">
        <f t="shared" ref="AV44:AX45" si="71">AV43</f>
        <v>3.7012216628845733</v>
      </c>
      <c r="AW44" s="72">
        <f t="shared" si="71"/>
        <v>3.7012216628845733E-2</v>
      </c>
      <c r="AX44" s="72">
        <f t="shared" si="71"/>
        <v>1.0629909222129516E-3</v>
      </c>
      <c r="AY44" s="77">
        <f>AD44</f>
        <v>7.7346673405582364E-2</v>
      </c>
      <c r="AZ44" s="77">
        <f>(AE44+AE43)/2</f>
        <v>6.568883058754936E-2</v>
      </c>
      <c r="BA44" s="433">
        <f>V44</f>
        <v>1.8004749781334874</v>
      </c>
      <c r="BB44" s="77">
        <f t="shared" si="14"/>
        <v>2.3832155277934248</v>
      </c>
      <c r="BC44" s="488">
        <f>VaveBetax*AY44</f>
        <v>0.13926075010861391</v>
      </c>
      <c r="BD44" s="488"/>
      <c r="BE44" s="488">
        <f>IF(ISERR(FIND("BEND",UPPER(D43))),AZ44,-AZ44)</f>
        <v>-6.568883058754936E-2</v>
      </c>
      <c r="BF44" s="433">
        <f>Z44</f>
        <v>35.01883343533548</v>
      </c>
      <c r="BG44" s="488">
        <f t="shared" si="15"/>
        <v>1.2630441044569458</v>
      </c>
      <c r="BH44" s="488">
        <f>VaveBetaz*AY44</f>
        <v>2.7085902727673812</v>
      </c>
      <c r="BI44" s="488"/>
      <c r="BJ44" s="488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>
        <f>-TAN($E44)/$F44</f>
        <v>-1.8515709750975213E-3</v>
      </c>
      <c r="CG44" s="69">
        <f>-IF(ISERR(FIND("BEND",UPPER(D43))),G45,G43)*CF44/F44</f>
        <v>0</v>
      </c>
      <c r="CI44" s="73"/>
      <c r="CJ44" s="74"/>
      <c r="CK44" s="74">
        <v>1</v>
      </c>
      <c r="CL44" s="74">
        <v>0</v>
      </c>
      <c r="CM44" s="74">
        <f>-VKl</f>
        <v>1.8515709750975213E-3</v>
      </c>
      <c r="CN44" s="74">
        <v>1</v>
      </c>
      <c r="CO44" s="70"/>
      <c r="CP44" s="70"/>
      <c r="CQ44" s="74"/>
      <c r="CR44" s="74">
        <v>1</v>
      </c>
      <c r="CS44" s="74">
        <v>0</v>
      </c>
      <c r="CT44" s="74">
        <f>VKl</f>
        <v>-1.8515709750975213E-3</v>
      </c>
      <c r="CU44" s="74">
        <v>1</v>
      </c>
      <c r="CV44" s="70"/>
      <c r="CW44" s="74">
        <f t="shared" si="59"/>
        <v>-0.16437647350054246</v>
      </c>
      <c r="CX44" s="74">
        <f t="shared" si="60"/>
        <v>5.4686853744083308</v>
      </c>
      <c r="CY44" s="74">
        <f t="shared" si="61"/>
        <v>-0.19736759778483925</v>
      </c>
      <c r="CZ44" s="74">
        <f t="shared" si="62"/>
        <v>0.48268035989830677</v>
      </c>
      <c r="DA44" s="70"/>
      <c r="DB44" s="74">
        <f t="shared" si="63"/>
        <v>1.1282566498188242</v>
      </c>
      <c r="DC44" s="74">
        <f t="shared" si="64"/>
        <v>8.9602131652725845</v>
      </c>
      <c r="DD44" s="74">
        <f t="shared" si="65"/>
        <v>-0.10177293781780146</v>
      </c>
      <c r="DE44" s="74">
        <f t="shared" si="66"/>
        <v>7.8078673598434636E-2</v>
      </c>
      <c r="DF44" s="74"/>
      <c r="DG44" s="70"/>
      <c r="DH44" s="70"/>
      <c r="DI44" s="70"/>
      <c r="DJ44" s="70"/>
      <c r="DK44" s="70"/>
      <c r="DL44" s="75"/>
      <c r="DM44" s="75"/>
      <c r="DN44" s="77">
        <f>-VaveBetax*VKl+(2*VHl+1*VKl/$F44)*BC44</f>
        <v>3.3226720379012442E-3</v>
      </c>
      <c r="DO44" s="77">
        <f>VaveBetaz*(VKl+BE44/$F44)-(2*VHl+0.5*VKl/$F44)*BH44</f>
        <v>-0.1631797143990022</v>
      </c>
      <c r="DP44" s="433"/>
      <c r="DQ44" s="433"/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70"/>
      <c r="EC44" s="70"/>
      <c r="ED44" s="70"/>
      <c r="EE44" s="71"/>
      <c r="EF44" s="71"/>
      <c r="EG44" s="71"/>
      <c r="EH44" s="70"/>
      <c r="EI44" s="70"/>
      <c r="EJ44" s="70"/>
      <c r="EK44" s="70"/>
      <c r="EL44" s="70"/>
      <c r="EM44" s="70"/>
      <c r="EN44" s="70"/>
      <c r="EO44" s="70"/>
      <c r="EP44" s="70"/>
      <c r="EQ44" s="70"/>
      <c r="ER44" s="70"/>
      <c r="ES44" s="70"/>
      <c r="ET44" s="70"/>
      <c r="EU44" s="70"/>
      <c r="EW44" s="74"/>
      <c r="EX44" s="74"/>
      <c r="EY44" s="74"/>
      <c r="EZ44" s="74"/>
      <c r="FA44" s="74"/>
      <c r="FB44" s="74"/>
    </row>
    <row r="45" spans="1:158" s="68" customFormat="1" ht="15.75" customHeight="1" outlineLevel="1">
      <c r="A45" s="63"/>
      <c r="B45" s="63"/>
      <c r="C45" s="64"/>
      <c r="D45" s="65" t="s">
        <v>1077</v>
      </c>
      <c r="E45" s="401">
        <v>-4.3237399000000003E-2</v>
      </c>
      <c r="F45" s="402">
        <v>50.036000000000001</v>
      </c>
      <c r="G45" s="405"/>
      <c r="H45" s="405"/>
      <c r="I45" s="544"/>
      <c r="K45" s="401"/>
      <c r="L45" s="401"/>
      <c r="M45" s="554"/>
      <c r="N45" s="530"/>
      <c r="O45" s="75"/>
      <c r="P45" s="461"/>
      <c r="Q45" s="461"/>
      <c r="R45" s="69">
        <f t="shared" si="70"/>
        <v>9.6491039976063018</v>
      </c>
      <c r="S45" s="69">
        <f t="shared" si="70"/>
        <v>-4.9775136757391911E-2</v>
      </c>
      <c r="T45" s="69">
        <f t="shared" si="70"/>
        <v>9.6479549236468394</v>
      </c>
      <c r="U45" s="69">
        <f t="shared" si="70"/>
        <v>-9.258801999347209E-2</v>
      </c>
      <c r="V45" s="70">
        <f t="shared" si="51"/>
        <v>1.8004749781334874</v>
      </c>
      <c r="W45" s="70">
        <f t="shared" si="52"/>
        <v>-1.2129145854087873</v>
      </c>
      <c r="X45" s="70">
        <f t="shared" si="53"/>
        <v>1.3725054896676037</v>
      </c>
      <c r="Y45" s="70">
        <f t="shared" si="54"/>
        <v>2.3832155277934248</v>
      </c>
      <c r="Z45" s="70">
        <f t="shared" si="55"/>
        <v>35.01883343533548</v>
      </c>
      <c r="AA45" s="70">
        <f t="shared" si="56"/>
        <v>-1.7580362494924513E-2</v>
      </c>
      <c r="AB45" s="70">
        <f t="shared" si="57"/>
        <v>2.8564888404766189E-2</v>
      </c>
      <c r="AC45" s="70">
        <f t="shared" si="58"/>
        <v>1.2630441044569458</v>
      </c>
      <c r="AD45" s="69">
        <f>AD44</f>
        <v>7.7346673405582364E-2</v>
      </c>
      <c r="AE45" s="70">
        <f>AD44*$CM45+AE44</f>
        <v>6.5693558077225322E-2</v>
      </c>
      <c r="AF45" s="71">
        <f>AF44</f>
        <v>3.655162929532163E-3</v>
      </c>
      <c r="AG45" s="70">
        <f>AG44</f>
        <v>9.9514920886826314E-2</v>
      </c>
      <c r="AH45" s="70">
        <f>AG44*$CM45+AH44</f>
        <v>9.2291908038826226E-2</v>
      </c>
      <c r="AI45" s="70">
        <f>AI44</f>
        <v>0</v>
      </c>
      <c r="AJ45" s="70">
        <f>AI44*$CM45+AJ44-0.001*$CM45*K45</f>
        <v>0</v>
      </c>
      <c r="AK45" s="70">
        <f>AK44</f>
        <v>0</v>
      </c>
      <c r="AL45" s="70">
        <f>AK44*$CM45+AL44-0.001*$CM45*$K45</f>
        <v>0</v>
      </c>
      <c r="AM45" s="70">
        <f>AM44</f>
        <v>0</v>
      </c>
      <c r="AN45" s="70">
        <f>AM44*$CT45+AN44-0.001*$CT45*$L45</f>
        <v>0</v>
      </c>
      <c r="AO45" s="70">
        <f>AO44</f>
        <v>0</v>
      </c>
      <c r="AP45" s="70">
        <f>AO44*$CT45+AP44-0.001*$CT45*$L45</f>
        <v>0</v>
      </c>
      <c r="AQ45" s="69">
        <f t="shared" si="8"/>
        <v>0.11586151211183617</v>
      </c>
      <c r="AR45" s="69">
        <f t="shared" si="9"/>
        <v>3.600173119723693E-2</v>
      </c>
      <c r="AS45" s="69">
        <f t="shared" si="10"/>
        <v>9.978179801086727E-2</v>
      </c>
      <c r="AT45" s="69">
        <f t="shared" si="11"/>
        <v>1.0282265497525386E-3</v>
      </c>
      <c r="AU45" s="69">
        <f t="shared" si="12"/>
        <v>11.492853656852978</v>
      </c>
      <c r="AV45" s="72">
        <f t="shared" si="71"/>
        <v>3.7012216628845733</v>
      </c>
      <c r="AW45" s="72">
        <f t="shared" si="71"/>
        <v>3.7012216628845733E-2</v>
      </c>
      <c r="AX45" s="72">
        <f t="shared" si="71"/>
        <v>1.0629909222129516E-3</v>
      </c>
      <c r="AY45" s="77">
        <f>AD45</f>
        <v>7.7346673405582364E-2</v>
      </c>
      <c r="AZ45" s="77">
        <f>(AE45+AE44)/2</f>
        <v>6.5726997546261878E-2</v>
      </c>
      <c r="BA45" s="433">
        <f>V45</f>
        <v>1.8004749781334874</v>
      </c>
      <c r="BB45" s="77">
        <f t="shared" si="14"/>
        <v>2.3832155277934248</v>
      </c>
      <c r="BC45" s="488">
        <f>VaveBetax*AY45</f>
        <v>0.13926075010861391</v>
      </c>
      <c r="BD45" s="488"/>
      <c r="BE45" s="488">
        <f>IF(ISERR(FIND("BEND",UPPER(D44))),AZ45,-AZ45)</f>
        <v>6.5726997546261878E-2</v>
      </c>
      <c r="BF45" s="433">
        <f>Z45</f>
        <v>35.01883343533548</v>
      </c>
      <c r="BG45" s="488">
        <f t="shared" si="15"/>
        <v>1.2630441044569458</v>
      </c>
      <c r="BH45" s="488">
        <f>VaveBetaz*AY45</f>
        <v>2.7085902727673812</v>
      </c>
      <c r="BI45" s="488"/>
      <c r="BJ45" s="488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>
        <f>-TAN($E45)/$F45</f>
        <v>8.64664698925198E-4</v>
      </c>
      <c r="CG45" s="69">
        <f>-IF(ISERR(FIND("BEND",UPPER(D44))),G46,G44)*CF45/F45</f>
        <v>0</v>
      </c>
      <c r="CI45" s="73"/>
      <c r="CJ45" s="74"/>
      <c r="CK45" s="74">
        <v>1</v>
      </c>
      <c r="CL45" s="74">
        <v>0</v>
      </c>
      <c r="CM45" s="74">
        <f>-VKl</f>
        <v>-8.64664698925198E-4</v>
      </c>
      <c r="CN45" s="74">
        <v>1</v>
      </c>
      <c r="CO45" s="70"/>
      <c r="CP45" s="70"/>
      <c r="CQ45" s="74"/>
      <c r="CR45" s="74">
        <v>1</v>
      </c>
      <c r="CS45" s="74">
        <v>0</v>
      </c>
      <c r="CT45" s="74">
        <f>VKl</f>
        <v>8.64664698925198E-4</v>
      </c>
      <c r="CU45" s="74">
        <v>1</v>
      </c>
      <c r="CV45" s="70"/>
      <c r="CW45" s="74">
        <f t="shared" si="59"/>
        <v>-0.16437647350054246</v>
      </c>
      <c r="CX45" s="74">
        <f t="shared" si="60"/>
        <v>5.4686853744083308</v>
      </c>
      <c r="CY45" s="74">
        <f t="shared" si="61"/>
        <v>-0.19722546725086954</v>
      </c>
      <c r="CZ45" s="74">
        <f t="shared" si="62"/>
        <v>0.47795178070552735</v>
      </c>
      <c r="DA45" s="70"/>
      <c r="DB45" s="74">
        <f t="shared" si="63"/>
        <v>1.1282566498188242</v>
      </c>
      <c r="DC45" s="74">
        <f t="shared" si="64"/>
        <v>8.9602131652725845</v>
      </c>
      <c r="DD45" s="74">
        <f t="shared" si="65"/>
        <v>-0.10079737412137552</v>
      </c>
      <c r="DE45" s="74">
        <f t="shared" si="66"/>
        <v>8.5826253617290654E-2</v>
      </c>
      <c r="DF45" s="74"/>
      <c r="DG45" s="70"/>
      <c r="DH45" s="70"/>
      <c r="DI45" s="70"/>
      <c r="DJ45" s="70"/>
      <c r="DK45" s="70"/>
      <c r="DL45" s="75"/>
      <c r="DM45" s="75"/>
      <c r="DN45" s="77">
        <f>-VaveBetax*VKl+(2*VHl+1*VKl/$F45)*BC45</f>
        <v>-1.5544006105108023E-3</v>
      </c>
      <c r="DO45" s="77">
        <f>VaveBetaz*(VKl+BE45/$F45)-(2*VHl+0.5*VKl/$F45)*BH45</f>
        <v>7.6256680895778611E-2</v>
      </c>
      <c r="DP45" s="433"/>
      <c r="DQ45" s="433"/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70"/>
      <c r="EC45" s="70"/>
      <c r="ED45" s="70"/>
      <c r="EE45" s="71"/>
      <c r="EF45" s="71"/>
      <c r="EG45" s="71"/>
      <c r="EH45" s="70"/>
      <c r="EI45" s="70"/>
      <c r="EJ45" s="70"/>
      <c r="EK45" s="70"/>
      <c r="EL45" s="70"/>
      <c r="EM45" s="70"/>
      <c r="EN45" s="70"/>
      <c r="EO45" s="70"/>
      <c r="EP45" s="70"/>
      <c r="EQ45" s="70"/>
      <c r="ER45" s="70"/>
      <c r="ES45" s="70"/>
      <c r="ET45" s="70"/>
      <c r="EU45" s="70"/>
      <c r="EW45" s="74"/>
      <c r="EX45" s="74"/>
      <c r="EY45" s="74"/>
      <c r="EZ45" s="74"/>
      <c r="FA45" s="74"/>
      <c r="FB45" s="74"/>
    </row>
    <row r="46" spans="1:158" s="68" customFormat="1" ht="15.75" customHeight="1" outlineLevel="1">
      <c r="A46" s="63"/>
      <c r="B46" s="63"/>
      <c r="C46" s="76" t="s">
        <v>175</v>
      </c>
      <c r="D46" s="65" t="s">
        <v>1132</v>
      </c>
      <c r="E46" s="401">
        <v>5.8500000000000002E-3</v>
      </c>
      <c r="F46" s="402">
        <v>50.036000000000001</v>
      </c>
      <c r="G46" s="403"/>
      <c r="H46" s="535"/>
      <c r="I46" s="542"/>
      <c r="J46" s="537"/>
      <c r="K46" s="403"/>
      <c r="L46" s="403"/>
      <c r="M46" s="508"/>
      <c r="N46" s="531">
        <f>T_Energy/0.2998/F46</f>
        <v>0.40264538551589085</v>
      </c>
      <c r="O46" s="433">
        <f>-G46*N46/F46</f>
        <v>0</v>
      </c>
      <c r="P46" s="462">
        <f>2*H46*N46/F46/F46</f>
        <v>0</v>
      </c>
      <c r="Q46" s="462">
        <f>O46*Vlength</f>
        <v>0</v>
      </c>
      <c r="R46" s="69">
        <f>R45+Vlength</f>
        <v>9.9418145976063013</v>
      </c>
      <c r="S46" s="69">
        <f>S45+U45*Vlength/SQRT(1+(U45)^2)</f>
        <v>-7.6761208870406591E-2</v>
      </c>
      <c r="T46" s="69">
        <f>T45+Vlength/SQRT(1+(U45)^2)</f>
        <v>9.9394188961447636</v>
      </c>
      <c r="U46" s="69">
        <f>(-SIN(E46)+U45*COS(E46))/(COS(E46)+U45*SIN(E46))</f>
        <v>-9.849143422908091E-2</v>
      </c>
      <c r="V46" s="70">
        <f t="shared" si="51"/>
        <v>2.6280573103836824</v>
      </c>
      <c r="W46" s="70">
        <f t="shared" si="52"/>
        <v>-1.6143588088010603</v>
      </c>
      <c r="X46" s="70">
        <f t="shared" si="53"/>
        <v>1.3721749329077984</v>
      </c>
      <c r="Y46" s="70">
        <f t="shared" si="54"/>
        <v>2.5181877631209431</v>
      </c>
      <c r="Z46" s="70">
        <f t="shared" si="55"/>
        <v>35.031572777467012</v>
      </c>
      <c r="AA46" s="70">
        <f t="shared" si="56"/>
        <v>-2.594160811881667E-2</v>
      </c>
      <c r="AB46" s="70">
        <f t="shared" si="57"/>
        <v>2.8564888404766186E-2</v>
      </c>
      <c r="AC46" s="70">
        <f t="shared" si="58"/>
        <v>1.271401343993825</v>
      </c>
      <c r="AD46" s="69">
        <f>AD45*$CK46+AE45*$CL46+CO46</f>
        <v>9.7430617096935762E-2</v>
      </c>
      <c r="AE46" s="70">
        <f>AD45*$CM46+AE45*$CN46+CP46</f>
        <v>7.1533357616441653E-2</v>
      </c>
      <c r="AF46" s="71">
        <f>V46*AE46^2+2*W46*AD46*AE46+X46*AD46^2</f>
        <v>3.9708306785324696E-3</v>
      </c>
      <c r="AG46" s="70">
        <f>AG45*$CK46+AH45*$CL46+CO46</f>
        <v>0.12738405982195872</v>
      </c>
      <c r="AH46" s="70">
        <f>AG45*$CM46+AH45*$CN46+CP46</f>
        <v>9.8128660644262081E-2</v>
      </c>
      <c r="AI46" s="70">
        <f>AI45*$CK46+AJ45*$CL46+0.001*(1-$CK46)*$K46</f>
        <v>0</v>
      </c>
      <c r="AJ46" s="70">
        <f>AI45*$CM46+AJ45*$CN46-0.001*$CM46*K46</f>
        <v>0</v>
      </c>
      <c r="AK46" s="70">
        <f>AK45*$CK46+AL45*$CL46+0.001*(1-$CK46)*$K46</f>
        <v>0</v>
      </c>
      <c r="AL46" s="70">
        <f>AK45*$CM46+AL45*$CN46-0.001*$CM46*$K46</f>
        <v>0</v>
      </c>
      <c r="AM46" s="70">
        <f>AM45*$CR46+AN45*$CS46+0.001*(1-$CR46)*$L46</f>
        <v>0</v>
      </c>
      <c r="AN46" s="70">
        <f>AM45*$CT46+AN45*$CU46-0.001*$CT46*$L46</f>
        <v>0</v>
      </c>
      <c r="AO46" s="70">
        <f>AO45*$CR46+AP45*$CS46+0.001*(1-$CR46)*$L46</f>
        <v>0</v>
      </c>
      <c r="AP46" s="70">
        <f>AO45*$CT46+AP45*$CU46-0.001*$CT46*$L46</f>
        <v>0</v>
      </c>
      <c r="AQ46" s="69">
        <f t="shared" si="8"/>
        <v>0.14301512013856221</v>
      </c>
      <c r="AR46" s="69">
        <f t="shared" si="9"/>
        <v>3.6008279054806046E-2</v>
      </c>
      <c r="AS46" s="69">
        <f t="shared" si="10"/>
        <v>0.10421468331776176</v>
      </c>
      <c r="AT46" s="69">
        <f t="shared" si="11"/>
        <v>1.0282265497525383E-3</v>
      </c>
      <c r="AU46" s="69">
        <f t="shared" si="12"/>
        <v>14.782656627208523</v>
      </c>
      <c r="AV46" s="72">
        <f t="shared" ref="AV46:AX46" si="72">AV45</f>
        <v>3.7012216628845733</v>
      </c>
      <c r="AW46" s="72">
        <f t="shared" si="72"/>
        <v>3.7012216628845733E-2</v>
      </c>
      <c r="AX46" s="72">
        <f t="shared" si="72"/>
        <v>1.0629909222129516E-3</v>
      </c>
      <c r="AY46" s="488">
        <f>IF(Vlength*CJ46=0,0.5*(AD45+AD46)-Vlength*Vlength/12/F46,(AE46-AE45-E46)/CJ46/Vlength)</f>
        <v>8.7246197567806938E-2</v>
      </c>
      <c r="AZ46" s="488">
        <f>IF(VKl=0,AZ45,(AD46-AD45)/Vlength)</f>
        <v>6.5726997546261878E-2</v>
      </c>
      <c r="BA46" s="433">
        <f>IF($CJ46=0,0.5*(V46+V45)-X45*Vlength*Vlength/6,-0.5*(($X46-$CJ46*$V46)*Vlength+($W46-$W45))/$CJ46/Vlength)</f>
        <v>2.1946816029943688</v>
      </c>
      <c r="BB46" s="77">
        <f t="shared" si="14"/>
        <v>2.4507016454571842</v>
      </c>
      <c r="BC46" s="488">
        <f>IF(CJ46=0,AY46*BA46-(2*W45-X45*Vlength)*AE45*Vlength*Vlength/12-(W45/12-2*X45*Vlength/45)*Vlength^3/F46,-(2*(X46-CJ46*V46)*AY46+(2*W46*AD46+V46*AE46-2*W45*AD45-V45*AE45)/Vlength-BA46/F46)/3/CJ46)</f>
        <v>0.192863279796292</v>
      </c>
      <c r="BD46" s="488"/>
      <c r="BE46" s="488">
        <f>(X46-CJ46*V46)*AY46+(V46*AE46-V45*AE45)/Vlength-BA46/F46</f>
        <v>0.3141140910299951</v>
      </c>
      <c r="BF46" s="433">
        <f>IF($CQ46=0,0.5*(Z46+Z45)-AB45*Vlength*Vlength/6,-0.5*(($AB46-$CQ46*$Z46)*Vlength+$AA46-$AA45)/$CQ46/Vlength)</f>
        <v>35.02479520219736</v>
      </c>
      <c r="BG46" s="488">
        <f t="shared" si="15"/>
        <v>1.2672227242253853</v>
      </c>
      <c r="BH46" s="488">
        <f>-(2*(AB46-CQ46*Z46)*AY46+(2*AA46*AD46+Z46*AE46-2*AA45*AD45-Z45*AE45)/Vlength-BF46/F46)/(4*CQ46-CJ46)</f>
        <v>3.0558015349681544</v>
      </c>
      <c r="BI46" s="488"/>
      <c r="BJ46" s="488">
        <f>$CQ46*$BH46+($AB46-$CQ46*$Z46)*$AY46</f>
        <v>2.4921778972645881E-3</v>
      </c>
      <c r="BK46" s="72">
        <f>VaveBetax*E46^2</f>
        <v>7.5107491158474783E-5</v>
      </c>
      <c r="BL46" s="72">
        <f>VaveBetaz*E46^2</f>
        <v>1.1986360538071993E-3</v>
      </c>
      <c r="BM46" s="72">
        <f>SUMSQ(SQRT(V46)-SQRT(V45),0.5*(SQRT(V46)+SQRT(V45))*(Y46-Y45))/F46/F46</f>
        <v>4.7131113650849067E-5</v>
      </c>
      <c r="BN46" s="72">
        <f>VaveBetax*(CJ46*Vlength)^2</f>
        <v>2.9999781226537119E-8</v>
      </c>
      <c r="BO46" s="72">
        <f>VaveBetaz*(CQ46*Vlength)^2</f>
        <v>0</v>
      </c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69">
        <f>$CQ46*Vlength</f>
        <v>0</v>
      </c>
      <c r="CG46" s="69">
        <f>H46/F46/F46/F46*Vlength</f>
        <v>0</v>
      </c>
      <c r="CH46" s="70">
        <f>E46*F46</f>
        <v>0.29271060000000004</v>
      </c>
      <c r="CI46" s="73"/>
      <c r="CJ46" s="74">
        <f>-((1-$G46)-0.001*$K46*$H46/$F46)/$F46/$F46</f>
        <v>-3.9942462148334022E-4</v>
      </c>
      <c r="CK46" s="74">
        <f>IF(CJ46=0,1,IF(CJ46&gt;0,COSH(Vlength*SQRT(CJ46)),COS(Vlength*SQRT(-CJ46))))</f>
        <v>0.99998288879879904</v>
      </c>
      <c r="CL46" s="74">
        <f>IF(CJ46=0,Vlength,IF(CJ46&gt;0,SINH(Vlength*SQRT(CJ46))/SQRT(CJ46),SIN(Vlength*SQRT(-CJ46))/SQRT(-CJ46)))</f>
        <v>0.29270893045477209</v>
      </c>
      <c r="CM46" s="74">
        <f>CL46*CJ46</f>
        <v>-1.169151537516907E-4</v>
      </c>
      <c r="CN46" s="74">
        <f>CK46</f>
        <v>0.99998288879879904</v>
      </c>
      <c r="CO46" s="70">
        <f>IF(CJ46=0,0.5*E46*E46*F46,(CK46-1)/F46/CJ46)</f>
        <v>8.5617606329117856E-4</v>
      </c>
      <c r="CP46" s="70">
        <f>CL46/F46</f>
        <v>5.8499666331195957E-3</v>
      </c>
      <c r="CQ46" s="74">
        <f>-($G46+0.001*$K46*$H46/$F46)/$F46/$F46</f>
        <v>0</v>
      </c>
      <c r="CR46" s="74">
        <f>IF(CQ46=0,1,IF(CQ46&gt;0,COSH(Vlength*SQRT(CQ46)),COS(Vlength*SQRT(-CQ46))))</f>
        <v>1</v>
      </c>
      <c r="CS46" s="74">
        <f>IF(CQ46=0,Vlength,IF(CQ46&gt;0,SINH(Vlength*SQRT(CQ46))/SQRT(CQ46),SIN(Vlength*SQRT(-CQ46))/SQRT(-CQ46)))</f>
        <v>0.29271060000000004</v>
      </c>
      <c r="CT46" s="74">
        <f>CS46*CQ46</f>
        <v>0</v>
      </c>
      <c r="CU46" s="74">
        <f>CR46</f>
        <v>1</v>
      </c>
      <c r="CV46" s="70"/>
      <c r="CW46" s="74">
        <f t="shared" si="59"/>
        <v>-0.22210331639907638</v>
      </c>
      <c r="CX46" s="74">
        <f t="shared" si="60"/>
        <v>5.6084925531718532</v>
      </c>
      <c r="CY46" s="74">
        <f t="shared" si="61"/>
        <v>-0.19720287438554496</v>
      </c>
      <c r="CZ46" s="74">
        <f t="shared" si="62"/>
        <v>0.47730423018507478</v>
      </c>
      <c r="DA46" s="70"/>
      <c r="DB46" s="74">
        <f t="shared" si="63"/>
        <v>1.0987521899613319</v>
      </c>
      <c r="DC46" s="74">
        <f t="shared" si="64"/>
        <v>8.9853354194646542</v>
      </c>
      <c r="DD46" s="74">
        <f t="shared" si="65"/>
        <v>-0.10079737412137552</v>
      </c>
      <c r="DE46" s="74">
        <f t="shared" si="66"/>
        <v>8.5826253617290654E-2</v>
      </c>
      <c r="DF46" s="74">
        <f>AZ46^2*Vlength</f>
        <v>1.2645209754318248E-3</v>
      </c>
      <c r="DG46" s="74">
        <f>Vlength*AY46/F46</f>
        <v>5.1039025577167066E-4</v>
      </c>
      <c r="DH46" s="74">
        <f>1/F46/F46*Vlength</f>
        <v>1.1691582060916142E-4</v>
      </c>
      <c r="DI46" s="74">
        <f>ABS(DH46/F46)</f>
        <v>2.3366340356775405E-6</v>
      </c>
      <c r="DJ46" s="74">
        <f>DG46*(1-2*G46)/F46/F46</f>
        <v>2.0386243472038473E-7</v>
      </c>
      <c r="DK46" s="72">
        <f>DI46*(1/V45*(AD45*AD45+(V45*AE45+W45*AD45)^2)+(W45*AD45+V45*AE45)*2*(1-COS(E46))/E46-2*((1+W45^2)/V45*AD45+W45*AE45)*F46*(1-SIN(E46)/E46)+V45/2*(1-SIN(2*E46)/2/E46)-4*W45*F46*SIN(E46/2)^4/E46+(1+W45^2)/V45/2*F46^2*(3+SIN(E46)/E46*(COS(E46)-4)))</f>
        <v>8.8954378452301037E-9</v>
      </c>
      <c r="DL46" s="69">
        <f>E46</f>
        <v>5.8500000000000002E-3</v>
      </c>
      <c r="DM46" s="69">
        <f>DI46*BF46</f>
        <v>8.1840128562089782E-5</v>
      </c>
      <c r="DN46" s="77">
        <f>-(VKl+$E46/$F46)*VaveBetax+2*(VHl+VKl/$F46)*$BC46+$BE46*$E46</f>
        <v>1.580974431935555E-3</v>
      </c>
      <c r="DO46" s="77">
        <f>VKl*VaveBetaz-(2*VHl+VKl/$F46)*$BH46+$BJ46*$E46</f>
        <v>1.4579240698997841E-5</v>
      </c>
      <c r="DP46" s="488" t="str">
        <f>IMPRODUCT(-1/8*VaveBetax*(-Vlength*CJ46-2*VHl*$AY46),COMPLEX(COS(2*VmidMux),SIN(2*VmidMux)))</f>
        <v>-6.02643469215939E-06+0.0000315028821561937i</v>
      </c>
      <c r="DQ46" s="433" t="str">
        <f>IMPRODUCT(1/8*VaveBetaz*(VKl-2*VHl*$AY46),COMPLEX(COS(2*VmidMuz),SIN(2*VmidMuz)))</f>
        <v>0</v>
      </c>
      <c r="DR46" s="433" t="str">
        <f>IMPRODUCT(-1/2*SQRT(VaveBetax)*(-Vlength*CJ46-2*VHl*$AY46)*AY46,COMPLEX(COS(VmidMux),SIN(VmidMux)))</f>
        <v>5.82302731790721E-06-4.81468368222016E-06i</v>
      </c>
      <c r="DS46" s="433" t="str">
        <f>IMPRODUCT(-1/8*VHl*VaveBetax^(3/2),COMPLEX(COS(VmidMux),SIN(VmidMux)))</f>
        <v>0</v>
      </c>
      <c r="DT46" s="433" t="str">
        <f>IMPRODUCT(-1/24*VHl*VaveBetax^(3/2),COMPLEX(COS(3*VmidMux),SIN(3*VmidMux)))</f>
        <v>0</v>
      </c>
      <c r="DU46" s="433" t="str">
        <f>IMPRODUCT(1/4*VHl*VaveBetax^(1/2)*VaveBetaz,COMPLEX(COS(VmidMux),SIN(VmidMux)))</f>
        <v>0</v>
      </c>
      <c r="DV46" s="433" t="str">
        <f>IMPRODUCT(1/8*VHl*VaveBetax^(1/2)*VaveBetaz,COMPLEX(COS(VmidMux-2*VmidMuz),SIN(VmidMux-2*VmidMuz)))</f>
        <v>0</v>
      </c>
      <c r="DW46" s="433" t="str">
        <f>IMPRODUCT(1/8*VHl*VaveBetax^(1/2)*VaveBetaz,COMPLEX(COS(VmidMux+2*VmidMuz),SIN(VmidMux+2*VmidMuz)))</f>
        <v>0</v>
      </c>
      <c r="DX46" s="433"/>
      <c r="DY46" s="433"/>
      <c r="DZ46" s="433"/>
      <c r="EA46" s="433"/>
      <c r="EB46" s="70">
        <f>CH46*(1/AQ46+1/AQ45)/2</f>
        <v>2.2865471277605303</v>
      </c>
      <c r="EC46" s="70">
        <f>CH46*(1/AR46+1/AR45)/2</f>
        <v>8.1297197818936588</v>
      </c>
      <c r="ED46" s="70">
        <f>CH46*(AS46+AS45)/2</f>
        <v>2.9855966223795903E-2</v>
      </c>
      <c r="EE46" s="71">
        <f>DK46/DI46*CH46</f>
        <v>1.1143332285601178E-3</v>
      </c>
      <c r="EF46" s="70">
        <f>SQRT(VaveBetax/VaveBetaz*T_Coupling)</f>
        <v>2.5032138861004475E-2</v>
      </c>
      <c r="EG46" s="70">
        <f>IF(EF46&lt;=1,EF46^(0.021-0.044*LN(EF46)),EF46^(-0.021-0.044*LN(EF46)))/(VaveBetax*VaveBetaz)^(1/4)</f>
        <v>0.17182299870261025</v>
      </c>
      <c r="EH46" s="72">
        <f t="shared" ref="EH46:ET46" si="73">$EG46*Vlength/SQRT(1+EH$7*EH$7/EH$8*1000000000/Vlength*$EE46)</f>
        <v>2.7990936624219313E-2</v>
      </c>
      <c r="EI46" s="72" t="e">
        <f t="shared" si="73"/>
        <v>#DIV/0!</v>
      </c>
      <c r="EJ46" s="72" t="e">
        <f t="shared" si="73"/>
        <v>#DIV/0!</v>
      </c>
      <c r="EK46" s="72" t="e">
        <f t="shared" si="73"/>
        <v>#DIV/0!</v>
      </c>
      <c r="EL46" s="72" t="e">
        <f t="shared" si="73"/>
        <v>#DIV/0!</v>
      </c>
      <c r="EM46" s="72" t="e">
        <f t="shared" si="73"/>
        <v>#DIV/0!</v>
      </c>
      <c r="EN46" s="72" t="e">
        <f t="shared" si="73"/>
        <v>#DIV/0!</v>
      </c>
      <c r="EO46" s="72" t="e">
        <f t="shared" si="73"/>
        <v>#DIV/0!</v>
      </c>
      <c r="EP46" s="72" t="e">
        <f t="shared" si="73"/>
        <v>#DIV/0!</v>
      </c>
      <c r="EQ46" s="72" t="e">
        <f t="shared" si="73"/>
        <v>#DIV/0!</v>
      </c>
      <c r="ER46" s="72" t="e">
        <f t="shared" si="73"/>
        <v>#DIV/0!</v>
      </c>
      <c r="ES46" s="72" t="e">
        <f t="shared" si="73"/>
        <v>#DIV/0!</v>
      </c>
      <c r="ET46" s="72" t="e">
        <f t="shared" si="73"/>
        <v>#DIV/0!</v>
      </c>
      <c r="EU46" s="70">
        <f>Vlength*VaveBetaz</f>
        <v>10.252128818512313</v>
      </c>
      <c r="EW46" s="74"/>
      <c r="EX46" s="74"/>
      <c r="EY46" s="74"/>
      <c r="EZ46" s="74"/>
      <c r="FA46" s="74"/>
      <c r="FB46" s="74"/>
    </row>
    <row r="47" spans="1:158" s="68" customFormat="1" ht="15.75" customHeight="1" outlineLevel="1">
      <c r="A47" s="63"/>
      <c r="B47" s="63"/>
      <c r="C47" s="64"/>
      <c r="D47" s="65" t="s">
        <v>1077</v>
      </c>
      <c r="E47" s="401">
        <v>4.9087401000000003E-2</v>
      </c>
      <c r="F47" s="402">
        <v>50.036000000000001</v>
      </c>
      <c r="G47" s="405"/>
      <c r="H47" s="405"/>
      <c r="I47" s="544"/>
      <c r="K47" s="401"/>
      <c r="L47" s="401"/>
      <c r="M47" s="554"/>
      <c r="N47" s="530"/>
      <c r="O47" s="75"/>
      <c r="P47" s="461"/>
      <c r="Q47" s="461"/>
      <c r="R47" s="69">
        <f>R46</f>
        <v>9.9418145976063013</v>
      </c>
      <c r="S47" s="69">
        <f>S46</f>
        <v>-7.6761208870406591E-2</v>
      </c>
      <c r="T47" s="69">
        <f>T46</f>
        <v>9.9394188961447636</v>
      </c>
      <c r="U47" s="69">
        <f>U46</f>
        <v>-9.849143422908091E-2</v>
      </c>
      <c r="V47" s="70">
        <f t="shared" si="51"/>
        <v>2.6280573103836824</v>
      </c>
      <c r="W47" s="70">
        <f t="shared" si="52"/>
        <v>-1.6169391153456238</v>
      </c>
      <c r="X47" s="70">
        <f t="shared" si="53"/>
        <v>1.3753475194218623</v>
      </c>
      <c r="Y47" s="70">
        <f t="shared" si="54"/>
        <v>2.5181877631209431</v>
      </c>
      <c r="Z47" s="70">
        <f t="shared" si="55"/>
        <v>35.031572777467012</v>
      </c>
      <c r="AA47" s="70">
        <f t="shared" si="56"/>
        <v>8.4534547844553748E-3</v>
      </c>
      <c r="AB47" s="70">
        <f t="shared" si="57"/>
        <v>2.8547718004287209E-2</v>
      </c>
      <c r="AC47" s="70">
        <f t="shared" si="58"/>
        <v>1.271401343993825</v>
      </c>
      <c r="AD47" s="69">
        <f>AD46</f>
        <v>9.7430617096935762E-2</v>
      </c>
      <c r="AE47" s="70">
        <f>AD46*$CM47+AE46</f>
        <v>7.1629017957615643E-2</v>
      </c>
      <c r="AF47" s="71">
        <f>AF46</f>
        <v>3.9708306785324696E-3</v>
      </c>
      <c r="AG47" s="70">
        <f>AG46</f>
        <v>0.12738405982195872</v>
      </c>
      <c r="AH47" s="70">
        <f>AG46*$CM47+AH46</f>
        <v>9.8253730185909049E-2</v>
      </c>
      <c r="AI47" s="70">
        <f>AI46</f>
        <v>0</v>
      </c>
      <c r="AJ47" s="70">
        <f>AI46*$CM47+AJ46-0.001*$CM47*K47</f>
        <v>0</v>
      </c>
      <c r="AK47" s="70">
        <f>AK46</f>
        <v>0</v>
      </c>
      <c r="AL47" s="70">
        <f>AK46*$CM47+AL46-0.001*$CM47*$K47</f>
        <v>0</v>
      </c>
      <c r="AM47" s="70">
        <f>AM46</f>
        <v>0</v>
      </c>
      <c r="AN47" s="70">
        <f>AM46*$CT47+AN46-0.001*$CT47*$L47</f>
        <v>0</v>
      </c>
      <c r="AO47" s="70">
        <f>AO46</f>
        <v>0</v>
      </c>
      <c r="AP47" s="70">
        <f>AO46*$CT47+AP46-0.001*$CT47*$L47</f>
        <v>0</v>
      </c>
      <c r="AQ47" s="69">
        <f t="shared" si="8"/>
        <v>0.14301512013856221</v>
      </c>
      <c r="AR47" s="69">
        <f t="shared" si="9"/>
        <v>3.6008279054806046E-2</v>
      </c>
      <c r="AS47" s="69">
        <f t="shared" si="10"/>
        <v>0.10434518332351618</v>
      </c>
      <c r="AT47" s="69">
        <f t="shared" si="11"/>
        <v>1.0279174689798193E-3</v>
      </c>
      <c r="AU47" s="69">
        <f t="shared" si="12"/>
        <v>14.801347469605801</v>
      </c>
      <c r="AV47" s="72">
        <f>AV46</f>
        <v>3.7012216628845733</v>
      </c>
      <c r="AW47" s="72">
        <f>AW46</f>
        <v>3.7012216628845733E-2</v>
      </c>
      <c r="AX47" s="72">
        <f>AX46</f>
        <v>1.0629909222129516E-3</v>
      </c>
      <c r="AY47" s="77">
        <f>AD47</f>
        <v>9.7430617096935762E-2</v>
      </c>
      <c r="AZ47" s="77">
        <f>(AE47+AE46)/2</f>
        <v>7.1581187787028655E-2</v>
      </c>
      <c r="BA47" s="433">
        <f>V47</f>
        <v>2.6280573103836824</v>
      </c>
      <c r="BB47" s="77">
        <f t="shared" si="14"/>
        <v>2.5181877631209431</v>
      </c>
      <c r="BC47" s="488">
        <f>VaveBetax*AY47</f>
        <v>0.25605324551679542</v>
      </c>
      <c r="BD47" s="488"/>
      <c r="BE47" s="488">
        <f>IF(ISERR(FIND("BEND",UPPER(D46))),AZ47,-AZ47)</f>
        <v>-7.1581187787028655E-2</v>
      </c>
      <c r="BF47" s="433">
        <f>Z47</f>
        <v>35.031572777467012</v>
      </c>
      <c r="BG47" s="488">
        <f t="shared" si="15"/>
        <v>1.271401343993825</v>
      </c>
      <c r="BH47" s="488">
        <f>VaveBetaz*AY47</f>
        <v>3.4131477535848269</v>
      </c>
      <c r="BI47" s="488"/>
      <c r="BJ47" s="488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>
        <f>-TAN($E47)/$F47</f>
        <v>-9.8183039402089355E-4</v>
      </c>
      <c r="CG47" s="69">
        <f>-IF(ISERR(FIND("BEND",UPPER(D46))),G48,G46)*CF47/F47</f>
        <v>0</v>
      </c>
      <c r="CI47" s="73"/>
      <c r="CJ47" s="74"/>
      <c r="CK47" s="74">
        <v>1</v>
      </c>
      <c r="CL47" s="74">
        <v>0</v>
      </c>
      <c r="CM47" s="74">
        <f>-VKl</f>
        <v>9.8183039402089355E-4</v>
      </c>
      <c r="CN47" s="74">
        <v>1</v>
      </c>
      <c r="CO47" s="70"/>
      <c r="CP47" s="70"/>
      <c r="CQ47" s="74"/>
      <c r="CR47" s="74">
        <v>1</v>
      </c>
      <c r="CS47" s="74">
        <v>0</v>
      </c>
      <c r="CT47" s="74">
        <f>VKl</f>
        <v>-9.8183039402089355E-4</v>
      </c>
      <c r="CU47" s="74">
        <v>1</v>
      </c>
      <c r="CV47" s="70"/>
      <c r="CW47" s="74">
        <f t="shared" si="59"/>
        <v>-0.22210331639907638</v>
      </c>
      <c r="CX47" s="74">
        <f t="shared" si="60"/>
        <v>5.6084925531718532</v>
      </c>
      <c r="CY47" s="74">
        <f t="shared" si="61"/>
        <v>-0.19742094217219841</v>
      </c>
      <c r="CZ47" s="74">
        <f t="shared" si="62"/>
        <v>0.48281081863841874</v>
      </c>
      <c r="DA47" s="70"/>
      <c r="DB47" s="74">
        <f t="shared" si="63"/>
        <v>1.0987521899613319</v>
      </c>
      <c r="DC47" s="74">
        <f t="shared" si="64"/>
        <v>8.9853354194646542</v>
      </c>
      <c r="DD47" s="74">
        <f t="shared" si="65"/>
        <v>-0.10187616241697657</v>
      </c>
      <c r="DE47" s="74">
        <f t="shared" si="66"/>
        <v>7.700417820198778E-2</v>
      </c>
      <c r="DF47" s="74"/>
      <c r="DG47" s="70"/>
      <c r="DH47" s="70"/>
      <c r="DI47" s="70"/>
      <c r="DJ47" s="70"/>
      <c r="DK47" s="70"/>
      <c r="DL47" s="75"/>
      <c r="DM47" s="75"/>
      <c r="DN47" s="77">
        <f>-VaveBetax*VKl+(2*VHl+1*VKl/$F47)*BC47</f>
        <v>2.5752821449524991E-3</v>
      </c>
      <c r="DO47" s="77">
        <f>VaveBetaz*(VKl+BE47/$F47)-(2*VHl+0.5*VKl/$F47)*BH47</f>
        <v>-8.4477523998422552E-2</v>
      </c>
      <c r="DP47" s="433"/>
      <c r="DQ47" s="433"/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70"/>
      <c r="EC47" s="70"/>
      <c r="ED47" s="70"/>
      <c r="EE47" s="71"/>
      <c r="EF47" s="71"/>
      <c r="EG47" s="71"/>
      <c r="EH47" s="70"/>
      <c r="EI47" s="70"/>
      <c r="EJ47" s="70"/>
      <c r="EK47" s="70"/>
      <c r="EL47" s="70"/>
      <c r="EM47" s="70"/>
      <c r="EN47" s="70"/>
      <c r="EO47" s="70"/>
      <c r="EP47" s="70"/>
      <c r="EQ47" s="70"/>
      <c r="ER47" s="70"/>
      <c r="ES47" s="70"/>
      <c r="ET47" s="70"/>
      <c r="EU47" s="70"/>
      <c r="EW47" s="74"/>
      <c r="EX47" s="74"/>
      <c r="EY47" s="74"/>
      <c r="EZ47" s="74"/>
      <c r="FA47" s="74"/>
      <c r="FB47" s="74"/>
    </row>
    <row r="48" spans="1:158" s="7" customFormat="1" ht="15.75" customHeight="1" outlineLevel="1">
      <c r="A48" s="31"/>
      <c r="B48" s="31"/>
      <c r="C48" s="37"/>
      <c r="D48" s="25" t="s">
        <v>567</v>
      </c>
      <c r="E48" s="395">
        <v>0.95474999999999999</v>
      </c>
      <c r="F48" s="396"/>
      <c r="G48" s="396"/>
      <c r="H48" s="396"/>
      <c r="I48" s="540"/>
      <c r="K48" s="396"/>
      <c r="L48" s="396"/>
      <c r="M48" s="396"/>
      <c r="N48" s="525"/>
      <c r="O48" s="36"/>
      <c r="P48" s="458"/>
      <c r="Q48" s="458"/>
      <c r="R48" s="101">
        <f>R47+Vlength</f>
        <v>10.896564597606302</v>
      </c>
      <c r="S48" s="101">
        <f>S47+U47*Vlength/SQRT(1+(U47)^2)</f>
        <v>-0.17034310265127389</v>
      </c>
      <c r="T48" s="101">
        <f>T47+Vlength/SQRT(1+(U47)^2)</f>
        <v>10.889571511073747</v>
      </c>
      <c r="U48" s="101">
        <f>U47</f>
        <v>-9.849143422908091E-2</v>
      </c>
      <c r="V48" s="112">
        <f t="shared" si="51"/>
        <v>6.9692972300555702</v>
      </c>
      <c r="W48" s="112">
        <f t="shared" si="52"/>
        <v>-2.9300521595136466</v>
      </c>
      <c r="X48" s="112">
        <f t="shared" si="53"/>
        <v>1.3753475194218623</v>
      </c>
      <c r="Y48" s="112">
        <f t="shared" si="54"/>
        <v>2.7431697418082748</v>
      </c>
      <c r="Z48" s="112">
        <f t="shared" si="55"/>
        <v>35.041453508317836</v>
      </c>
      <c r="AA48" s="112">
        <f t="shared" si="56"/>
        <v>-1.8802478980137836E-2</v>
      </c>
      <c r="AB48" s="112">
        <f t="shared" si="57"/>
        <v>2.8547718004287213E-2</v>
      </c>
      <c r="AC48" s="112">
        <f t="shared" si="58"/>
        <v>1.2986548611061655</v>
      </c>
      <c r="AD48" s="101">
        <f>AD47+AE47*$CL48</f>
        <v>0.16581842199196928</v>
      </c>
      <c r="AE48" s="112">
        <f>AE47</f>
        <v>7.1629017957615643E-2</v>
      </c>
      <c r="AF48" s="238">
        <f>AF47</f>
        <v>3.9708306785324696E-3</v>
      </c>
      <c r="AG48" s="112">
        <f>AG47+AH47*$CL48</f>
        <v>0.22119180871695537</v>
      </c>
      <c r="AH48" s="112">
        <f>AH47</f>
        <v>9.8253730185909049E-2</v>
      </c>
      <c r="AI48" s="112">
        <f>AI47+AJ47*$CL48</f>
        <v>0</v>
      </c>
      <c r="AJ48" s="112">
        <f>AJ47</f>
        <v>0</v>
      </c>
      <c r="AK48" s="112">
        <f>AK47+AL47*$CL48</f>
        <v>0</v>
      </c>
      <c r="AL48" s="112">
        <f>AL47</f>
        <v>0</v>
      </c>
      <c r="AM48" s="112">
        <f>AM47+AN47*$CS48</f>
        <v>0</v>
      </c>
      <c r="AN48" s="112">
        <f>AN47</f>
        <v>0</v>
      </c>
      <c r="AO48" s="112">
        <f>AO47+AP47*$CS48</f>
        <v>0</v>
      </c>
      <c r="AP48" s="112">
        <f>AP47</f>
        <v>0</v>
      </c>
      <c r="AQ48" s="101">
        <f t="shared" si="8"/>
        <v>0.23846116521874769</v>
      </c>
      <c r="AR48" s="101">
        <f t="shared" si="9"/>
        <v>3.6013356803267949E-2</v>
      </c>
      <c r="AS48" s="101">
        <f t="shared" si="10"/>
        <v>0.10434518332351618</v>
      </c>
      <c r="AT48" s="101">
        <f t="shared" si="11"/>
        <v>1.0279174689798193E-3</v>
      </c>
      <c r="AU48" s="101">
        <f t="shared" si="12"/>
        <v>24.748560498207599</v>
      </c>
      <c r="AV48" s="239">
        <f t="shared" ref="AV48:AX63" si="74">AV47</f>
        <v>3.7012216628845733</v>
      </c>
      <c r="AW48" s="239">
        <f t="shared" si="74"/>
        <v>3.7012216628845733E-2</v>
      </c>
      <c r="AX48" s="239">
        <f t="shared" si="74"/>
        <v>1.0629909222129516E-3</v>
      </c>
      <c r="AY48" s="434">
        <f>0.5*(AD47+AD48)</f>
        <v>0.13162451954445253</v>
      </c>
      <c r="AZ48" s="356">
        <f>0.5*(AE47+AE48)</f>
        <v>7.1629017957615643E-2</v>
      </c>
      <c r="BA48" s="425">
        <f>0.5*(V48+V47)-X47*Vlength*Vlength/6</f>
        <v>4.5897281570663893</v>
      </c>
      <c r="BB48" s="356">
        <f t="shared" si="14"/>
        <v>2.6306787524646089</v>
      </c>
      <c r="BC48" s="434"/>
      <c r="BD48" s="434"/>
      <c r="BE48" s="434"/>
      <c r="BF48" s="425">
        <f>0.5*(Z48+Z47)-AB47*Vlength*Vlength/6</f>
        <v>35.032176042432134</v>
      </c>
      <c r="BG48" s="434">
        <f t="shared" si="15"/>
        <v>1.2850281025499952</v>
      </c>
      <c r="BH48" s="434"/>
      <c r="BI48" s="434"/>
      <c r="BJ48" s="434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39"/>
      <c r="CB48" s="239"/>
      <c r="CC48" s="239"/>
      <c r="CD48" s="239"/>
      <c r="CE48" s="239"/>
      <c r="CF48" s="101"/>
      <c r="CG48" s="101"/>
      <c r="CH48" s="112">
        <f>E48</f>
        <v>0.95474999999999999</v>
      </c>
      <c r="CI48" s="240"/>
      <c r="CJ48" s="112"/>
      <c r="CK48" s="30">
        <v>1</v>
      </c>
      <c r="CL48" s="30">
        <f>E48</f>
        <v>0.95474999999999999</v>
      </c>
      <c r="CM48" s="30">
        <v>0</v>
      </c>
      <c r="CN48" s="30">
        <v>1</v>
      </c>
      <c r="CO48" s="112"/>
      <c r="CP48" s="112"/>
      <c r="CQ48" s="112"/>
      <c r="CR48" s="30">
        <v>1</v>
      </c>
      <c r="CS48" s="30">
        <f>CL48</f>
        <v>0.95474999999999999</v>
      </c>
      <c r="CT48" s="30">
        <v>0</v>
      </c>
      <c r="CU48" s="30">
        <v>1</v>
      </c>
      <c r="CV48" s="112"/>
      <c r="CW48" s="30">
        <f t="shared" si="59"/>
        <v>-0.41059096093798281</v>
      </c>
      <c r="CX48" s="30">
        <f t="shared" si="60"/>
        <v>6.0694561822668831</v>
      </c>
      <c r="CY48" s="30">
        <f t="shared" si="61"/>
        <v>-0.19742094217219841</v>
      </c>
      <c r="CZ48" s="30">
        <f t="shared" si="62"/>
        <v>0.48281081863841874</v>
      </c>
      <c r="DA48" s="112"/>
      <c r="DB48" s="30">
        <f t="shared" si="63"/>
        <v>1.0014859238937235</v>
      </c>
      <c r="DC48" s="30">
        <f t="shared" si="64"/>
        <v>9.0588551586030022</v>
      </c>
      <c r="DD48" s="30">
        <f t="shared" si="65"/>
        <v>-0.10187616241697657</v>
      </c>
      <c r="DE48" s="30">
        <f t="shared" si="66"/>
        <v>7.700417820198778E-2</v>
      </c>
      <c r="DF48" s="30">
        <f>AZ48^2*Vlength</f>
        <v>4.8985513049082715E-3</v>
      </c>
      <c r="DG48" s="112"/>
      <c r="DH48" s="112"/>
      <c r="DI48" s="112"/>
      <c r="DJ48" s="112"/>
      <c r="DK48" s="112"/>
      <c r="DL48" s="36"/>
      <c r="DM48" s="36"/>
      <c r="DN48" s="356"/>
      <c r="DO48" s="356"/>
      <c r="DP48" s="425"/>
      <c r="DQ48" s="425"/>
      <c r="DR48" s="425"/>
      <c r="DS48" s="425"/>
      <c r="DT48" s="425"/>
      <c r="DU48" s="425"/>
      <c r="DV48" s="425"/>
      <c r="DW48" s="425"/>
      <c r="DX48" s="425"/>
      <c r="DY48" s="425"/>
      <c r="DZ48" s="425"/>
      <c r="EA48" s="425"/>
      <c r="EB48" s="112">
        <f>E48*(1/AQ48+1/AQ47)/2</f>
        <v>5.3398320707604459</v>
      </c>
      <c r="EC48" s="112">
        <f>E48*(1/AR48+1/AR47)/2</f>
        <v>26.512866401068589</v>
      </c>
      <c r="ED48" s="112">
        <f>E48*(AS48+AS47)/2</f>
        <v>9.9623563778127075E-2</v>
      </c>
      <c r="EE48" s="238">
        <f>(X48*AD48*AD48+2*W48*AD48*AE48+V48*AE48*AE48)*CH48</f>
        <v>3.7911505903288735E-3</v>
      </c>
      <c r="EF48" s="112">
        <f>SQRT(VaveBetax/VaveBetaz*T_Coupling)</f>
        <v>3.6195945409255706E-2</v>
      </c>
      <c r="EG48" s="112">
        <f>IF(EF48&lt;=1,EF48^(0.021-0.044*LN(EF48)),EF48^(-0.021-0.044*LN(EF48)))/(VaveBetax*VaveBetaz)^(1/4)</f>
        <v>0.16132176508293455</v>
      </c>
      <c r="EH48" s="239">
        <f t="shared" ref="EH48:ET48" si="75">$EG48*Vlength/SQRT(1+EH$7*EH$7/EH$8*1000000000/Vlength*$EE48)</f>
        <v>8.4473750608215534E-2</v>
      </c>
      <c r="EI48" s="239" t="e">
        <f t="shared" si="75"/>
        <v>#DIV/0!</v>
      </c>
      <c r="EJ48" s="239" t="e">
        <f t="shared" si="75"/>
        <v>#DIV/0!</v>
      </c>
      <c r="EK48" s="239" t="e">
        <f t="shared" si="75"/>
        <v>#DIV/0!</v>
      </c>
      <c r="EL48" s="239" t="e">
        <f t="shared" si="75"/>
        <v>#DIV/0!</v>
      </c>
      <c r="EM48" s="239" t="e">
        <f t="shared" si="75"/>
        <v>#DIV/0!</v>
      </c>
      <c r="EN48" s="239" t="e">
        <f t="shared" si="75"/>
        <v>#DIV/0!</v>
      </c>
      <c r="EO48" s="239" t="e">
        <f t="shared" si="75"/>
        <v>#DIV/0!</v>
      </c>
      <c r="EP48" s="239" t="e">
        <f t="shared" si="75"/>
        <v>#DIV/0!</v>
      </c>
      <c r="EQ48" s="239" t="e">
        <f t="shared" si="75"/>
        <v>#DIV/0!</v>
      </c>
      <c r="ER48" s="239" t="e">
        <f t="shared" si="75"/>
        <v>#DIV/0!</v>
      </c>
      <c r="ES48" s="239" t="e">
        <f t="shared" si="75"/>
        <v>#DIV/0!</v>
      </c>
      <c r="ET48" s="239" t="e">
        <f t="shared" si="75"/>
        <v>#DIV/0!</v>
      </c>
      <c r="EU48" s="112">
        <f>Vlength*VaveBetaz</f>
        <v>33.446970076512081</v>
      </c>
      <c r="EW48" s="30"/>
      <c r="EX48" s="30"/>
      <c r="EY48" s="30"/>
      <c r="EZ48" s="30"/>
      <c r="FA48" s="30"/>
      <c r="FB48" s="30"/>
    </row>
    <row r="49" spans="1:158" s="129" customFormat="1" ht="15.75" customHeight="1" outlineLevel="1">
      <c r="A49" s="119"/>
      <c r="B49" s="119"/>
      <c r="C49" s="120"/>
      <c r="D49" s="121" t="s">
        <v>729</v>
      </c>
      <c r="E49" s="521"/>
      <c r="F49" s="400"/>
      <c r="G49" s="400"/>
      <c r="H49" s="400"/>
      <c r="I49" s="511"/>
      <c r="J49" s="400"/>
      <c r="K49" s="400"/>
      <c r="L49" s="400"/>
      <c r="M49" s="512"/>
      <c r="N49" s="526"/>
      <c r="O49" s="128"/>
      <c r="P49" s="457"/>
      <c r="Q49" s="457"/>
      <c r="R49" s="122">
        <f t="shared" ref="R49:AE49" si="76">R48</f>
        <v>10.896564597606302</v>
      </c>
      <c r="S49" s="122">
        <f t="shared" si="76"/>
        <v>-0.17034310265127389</v>
      </c>
      <c r="T49" s="122">
        <f t="shared" si="76"/>
        <v>10.889571511073747</v>
      </c>
      <c r="U49" s="122">
        <f t="shared" si="76"/>
        <v>-9.849143422908091E-2</v>
      </c>
      <c r="V49" s="123">
        <f t="shared" si="76"/>
        <v>6.9692972300555702</v>
      </c>
      <c r="W49" s="123">
        <f t="shared" si="76"/>
        <v>-2.9300521595136466</v>
      </c>
      <c r="X49" s="123">
        <f t="shared" si="76"/>
        <v>1.3753475194218623</v>
      </c>
      <c r="Y49" s="123">
        <f t="shared" si="76"/>
        <v>2.7431697418082748</v>
      </c>
      <c r="Z49" s="123">
        <f t="shared" si="76"/>
        <v>35.041453508317836</v>
      </c>
      <c r="AA49" s="123">
        <f t="shared" si="76"/>
        <v>-1.8802478980137836E-2</v>
      </c>
      <c r="AB49" s="123">
        <f t="shared" si="76"/>
        <v>2.8547718004287213E-2</v>
      </c>
      <c r="AC49" s="123">
        <f t="shared" si="76"/>
        <v>1.2986548611061655</v>
      </c>
      <c r="AD49" s="123">
        <f t="shared" si="76"/>
        <v>0.16581842199196928</v>
      </c>
      <c r="AE49" s="123">
        <f t="shared" si="76"/>
        <v>7.1629017957615643E-2</v>
      </c>
      <c r="AF49" s="124">
        <f>AF48</f>
        <v>3.9708306785324696E-3</v>
      </c>
      <c r="AG49" s="123">
        <f t="shared" ref="AG49:AP49" si="77">AG48</f>
        <v>0.22119180871695537</v>
      </c>
      <c r="AH49" s="123">
        <f t="shared" si="77"/>
        <v>9.8253730185909049E-2</v>
      </c>
      <c r="AI49" s="123">
        <f t="shared" si="77"/>
        <v>0</v>
      </c>
      <c r="AJ49" s="123">
        <f t="shared" si="77"/>
        <v>0</v>
      </c>
      <c r="AK49" s="123">
        <f t="shared" si="77"/>
        <v>0</v>
      </c>
      <c r="AL49" s="123">
        <f t="shared" si="77"/>
        <v>0</v>
      </c>
      <c r="AM49" s="123">
        <f t="shared" si="77"/>
        <v>0</v>
      </c>
      <c r="AN49" s="123">
        <f t="shared" si="77"/>
        <v>0</v>
      </c>
      <c r="AO49" s="123">
        <f t="shared" si="77"/>
        <v>0</v>
      </c>
      <c r="AP49" s="123">
        <f t="shared" si="77"/>
        <v>0</v>
      </c>
      <c r="AQ49" s="122">
        <f t="shared" si="8"/>
        <v>0.23846116521874769</v>
      </c>
      <c r="AR49" s="122">
        <f t="shared" si="9"/>
        <v>3.6013356803267949E-2</v>
      </c>
      <c r="AS49" s="122">
        <f t="shared" si="10"/>
        <v>0.10434518332351618</v>
      </c>
      <c r="AT49" s="122">
        <f t="shared" si="11"/>
        <v>1.0279174689798193E-3</v>
      </c>
      <c r="AU49" s="122">
        <f t="shared" si="12"/>
        <v>24.748560498207599</v>
      </c>
      <c r="AV49" s="125">
        <f t="shared" si="74"/>
        <v>3.7012216628845733</v>
      </c>
      <c r="AW49" s="125">
        <f t="shared" si="74"/>
        <v>3.7012216628845733E-2</v>
      </c>
      <c r="AX49" s="125">
        <f t="shared" si="74"/>
        <v>1.0629909222129516E-3</v>
      </c>
      <c r="AY49" s="426">
        <f>AD49</f>
        <v>0.16581842199196928</v>
      </c>
      <c r="AZ49" s="426">
        <f>0.5*(AE48+AE49)</f>
        <v>7.1629017957615643E-2</v>
      </c>
      <c r="BA49" s="427">
        <f>V49</f>
        <v>6.9692972300555702</v>
      </c>
      <c r="BB49" s="426">
        <f t="shared" si="14"/>
        <v>2.7431697418082748</v>
      </c>
      <c r="BC49" s="467"/>
      <c r="BD49" s="467"/>
      <c r="BE49" s="467"/>
      <c r="BF49" s="427">
        <f>Z49</f>
        <v>35.041453508317836</v>
      </c>
      <c r="BG49" s="467">
        <f t="shared" si="15"/>
        <v>1.2986548611061655</v>
      </c>
      <c r="BH49" s="467"/>
      <c r="BI49" s="467"/>
      <c r="BJ49" s="467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2"/>
      <c r="CG49" s="122"/>
      <c r="CH49" s="123"/>
      <c r="CI49" s="126"/>
      <c r="CJ49" s="123"/>
      <c r="CK49" s="127"/>
      <c r="CL49" s="127"/>
      <c r="CM49" s="127"/>
      <c r="CN49" s="127"/>
      <c r="CO49" s="123"/>
      <c r="CP49" s="123"/>
      <c r="CQ49" s="123"/>
      <c r="CR49" s="127"/>
      <c r="CS49" s="127"/>
      <c r="CT49" s="127"/>
      <c r="CU49" s="127"/>
      <c r="CV49" s="123"/>
      <c r="CW49" s="127">
        <f t="shared" ref="CW49:CZ49" si="78">CW48</f>
        <v>-0.41059096093798281</v>
      </c>
      <c r="CX49" s="127">
        <f t="shared" si="78"/>
        <v>6.0694561822668831</v>
      </c>
      <c r="CY49" s="127">
        <f t="shared" si="78"/>
        <v>-0.19742094217219841</v>
      </c>
      <c r="CZ49" s="127">
        <f t="shared" si="78"/>
        <v>0.48281081863841874</v>
      </c>
      <c r="DA49" s="123"/>
      <c r="DB49" s="127">
        <f t="shared" ref="DB49:DE49" si="79">DB48</f>
        <v>1.0014859238937235</v>
      </c>
      <c r="DC49" s="127">
        <f t="shared" si="79"/>
        <v>9.0588551586030022</v>
      </c>
      <c r="DD49" s="127">
        <f t="shared" si="79"/>
        <v>-0.10187616241697657</v>
      </c>
      <c r="DE49" s="127">
        <f t="shared" si="79"/>
        <v>7.700417820198778E-2</v>
      </c>
      <c r="DF49" s="127"/>
      <c r="DG49" s="123"/>
      <c r="DH49" s="123"/>
      <c r="DI49" s="123"/>
      <c r="DJ49" s="123"/>
      <c r="DK49" s="123"/>
      <c r="DL49" s="128"/>
      <c r="DM49" s="128"/>
      <c r="DN49" s="426"/>
      <c r="DO49" s="426"/>
      <c r="DP49" s="427"/>
      <c r="DQ49" s="427"/>
      <c r="DR49" s="427"/>
      <c r="DS49" s="427"/>
      <c r="DT49" s="427"/>
      <c r="DU49" s="427"/>
      <c r="DV49" s="427"/>
      <c r="DW49" s="427"/>
      <c r="DX49" s="427"/>
      <c r="DY49" s="427"/>
      <c r="DZ49" s="427"/>
      <c r="EA49" s="427"/>
      <c r="EB49" s="123"/>
      <c r="EC49" s="123"/>
      <c r="ED49" s="123"/>
      <c r="EE49" s="124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W49" s="127"/>
      <c r="EX49" s="127"/>
      <c r="EY49" s="127"/>
      <c r="EZ49" s="127"/>
      <c r="FA49" s="127"/>
      <c r="FB49" s="127"/>
    </row>
    <row r="50" spans="1:158" s="7" customFormat="1" ht="15.75" customHeight="1" outlineLevel="1">
      <c r="A50" s="31"/>
      <c r="B50" s="31"/>
      <c r="C50" s="37"/>
      <c r="D50" s="25" t="s">
        <v>567</v>
      </c>
      <c r="E50" s="395">
        <v>0.105945</v>
      </c>
      <c r="F50" s="396"/>
      <c r="G50" s="396"/>
      <c r="H50" s="396"/>
      <c r="I50" s="540"/>
      <c r="K50" s="396"/>
      <c r="L50" s="396"/>
      <c r="M50" s="396"/>
      <c r="N50" s="525"/>
      <c r="O50" s="36"/>
      <c r="P50" s="458"/>
      <c r="Q50" s="458"/>
      <c r="R50" s="101">
        <f>R49+Vlength</f>
        <v>11.002509597606302</v>
      </c>
      <c r="S50" s="101">
        <f>S49+U49*Vlength/SQRT(1+(U49)^2)</f>
        <v>-0.18072753180719323</v>
      </c>
      <c r="T50" s="101">
        <f>T49+Vlength/SQRT(1+(U49)^2)</f>
        <v>10.995006356623525</v>
      </c>
      <c r="U50" s="101">
        <f>U49</f>
        <v>-9.849143422908091E-2</v>
      </c>
      <c r="V50" s="112">
        <f t="shared" ref="V50:V56" si="80">V49*CK50*CK50-2*W49*CK50*CL50+X49*CL50*CL50</f>
        <v>7.6055833544714906</v>
      </c>
      <c r="W50" s="112">
        <f t="shared" ref="W50:W56" si="81">-CM50*CK50*V49+(CK50*CN50+CL50*CM50)*W49-X49*CL50*CN50</f>
        <v>-3.0757633524587957</v>
      </c>
      <c r="X50" s="112">
        <f t="shared" ref="X50:X56" si="82">(1+W50^2)/V50</f>
        <v>1.3753475194218623</v>
      </c>
      <c r="Y50" s="112">
        <f t="shared" ref="Y50:Y56" si="83">ATAN2(CN50*V50+CL50*W50,CL50)+Y49</f>
        <v>2.7577221556054092</v>
      </c>
      <c r="Z50" s="112">
        <f t="shared" ref="Z50:Z56" si="84">Z49*CR50*CR50-2*AA49*CR50*CS50+AB49*CS50*CS50</f>
        <v>35.045757994968405</v>
      </c>
      <c r="AA50" s="112">
        <f t="shared" ref="AA50:AA56" si="85">-CT50*CR50*Z49+(CR50*CU50+CS50*CT50)*AA49-AB49*CS50*CU50</f>
        <v>-2.1826966964102044E-2</v>
      </c>
      <c r="AB50" s="112">
        <f t="shared" ref="AB50:AB56" si="86">(1+AA50^2)/Z50</f>
        <v>2.8547718004287213E-2</v>
      </c>
      <c r="AC50" s="112">
        <f t="shared" ref="AC50:AC56" si="87">ATAN2(CU50*Z50+CS50*AA50,CS50)+AC49</f>
        <v>1.3016780991353742</v>
      </c>
      <c r="AD50" s="101">
        <f>AD49+AE49*$CL50</f>
        <v>0.17340715829948886</v>
      </c>
      <c r="AE50" s="112">
        <f>AE49</f>
        <v>7.1629017957615643E-2</v>
      </c>
      <c r="AF50" s="238">
        <f>AF49</f>
        <v>3.9708306785324696E-3</v>
      </c>
      <c r="AG50" s="112">
        <f>AG49+AH49*$CL50</f>
        <v>0.23160130016150152</v>
      </c>
      <c r="AH50" s="112">
        <f>AH49</f>
        <v>9.8253730185909049E-2</v>
      </c>
      <c r="AI50" s="112">
        <f>AI49+AJ49*$CL50</f>
        <v>0</v>
      </c>
      <c r="AJ50" s="112">
        <f>AJ49</f>
        <v>0</v>
      </c>
      <c r="AK50" s="112">
        <f>AK49+AL49*$CL50</f>
        <v>0</v>
      </c>
      <c r="AL50" s="112">
        <f>AL49</f>
        <v>0</v>
      </c>
      <c r="AM50" s="112">
        <f>AM49+AN49*$CS50</f>
        <v>0</v>
      </c>
      <c r="AN50" s="112">
        <f>AN49</f>
        <v>0</v>
      </c>
      <c r="AO50" s="112">
        <f>AO49+AP49*$CS50</f>
        <v>0</v>
      </c>
      <c r="AP50" s="112">
        <f>AP49</f>
        <v>0</v>
      </c>
      <c r="AQ50" s="101">
        <f t="shared" si="8"/>
        <v>0.24925405804019968</v>
      </c>
      <c r="AR50" s="101">
        <f t="shared" si="9"/>
        <v>3.6015568672893017E-2</v>
      </c>
      <c r="AS50" s="101">
        <f t="shared" si="10"/>
        <v>0.10434518332351618</v>
      </c>
      <c r="AT50" s="101">
        <f t="shared" si="11"/>
        <v>1.0279174689798193E-3</v>
      </c>
      <c r="AU50" s="101">
        <f t="shared" si="12"/>
        <v>25.873000986297601</v>
      </c>
      <c r="AV50" s="239">
        <f t="shared" si="74"/>
        <v>3.7012216628845733</v>
      </c>
      <c r="AW50" s="239">
        <f t="shared" si="74"/>
        <v>3.7012216628845733E-2</v>
      </c>
      <c r="AX50" s="239">
        <f t="shared" si="74"/>
        <v>1.0629909222129516E-3</v>
      </c>
      <c r="AY50" s="434">
        <f>0.5*(AD49+AD50)</f>
        <v>0.16961279014572905</v>
      </c>
      <c r="AZ50" s="356">
        <f>0.5*(AE49+AE50)</f>
        <v>7.1629017957615643E-2</v>
      </c>
      <c r="BA50" s="425">
        <f>0.5*(V50+V49)-X49*Vlength*Vlength/6</f>
        <v>7.2848673968741018</v>
      </c>
      <c r="BB50" s="356">
        <f t="shared" si="14"/>
        <v>2.750445948706842</v>
      </c>
      <c r="BC50" s="434"/>
      <c r="BD50" s="434"/>
      <c r="BE50" s="434"/>
      <c r="BF50" s="425">
        <f>0.5*(Z50+Z49)-AB49*Vlength*Vlength/6</f>
        <v>35.043552346746544</v>
      </c>
      <c r="BG50" s="434">
        <f t="shared" si="15"/>
        <v>1.3001664801207697</v>
      </c>
      <c r="BH50" s="434"/>
      <c r="BI50" s="434"/>
      <c r="BJ50" s="434"/>
      <c r="BK50" s="239"/>
      <c r="BL50" s="239"/>
      <c r="BM50" s="239"/>
      <c r="BN50" s="239"/>
      <c r="BO50" s="239"/>
      <c r="BP50" s="239"/>
      <c r="BQ50" s="239"/>
      <c r="BR50" s="239"/>
      <c r="BS50" s="239"/>
      <c r="BT50" s="239"/>
      <c r="BU50" s="239"/>
      <c r="BV50" s="239"/>
      <c r="BW50" s="239"/>
      <c r="BX50" s="239"/>
      <c r="BY50" s="239"/>
      <c r="BZ50" s="239"/>
      <c r="CA50" s="239"/>
      <c r="CB50" s="239"/>
      <c r="CC50" s="239"/>
      <c r="CD50" s="239"/>
      <c r="CE50" s="239"/>
      <c r="CF50" s="101"/>
      <c r="CG50" s="101"/>
      <c r="CH50" s="112">
        <f>E50</f>
        <v>0.105945</v>
      </c>
      <c r="CI50" s="240"/>
      <c r="CJ50" s="112"/>
      <c r="CK50" s="30">
        <v>1</v>
      </c>
      <c r="CL50" s="30">
        <f>E50</f>
        <v>0.105945</v>
      </c>
      <c r="CM50" s="30">
        <v>0</v>
      </c>
      <c r="CN50" s="30">
        <v>1</v>
      </c>
      <c r="CO50" s="112"/>
      <c r="CP50" s="112"/>
      <c r="CQ50" s="112"/>
      <c r="CR50" s="30">
        <v>1</v>
      </c>
      <c r="CS50" s="30">
        <f>CL50</f>
        <v>0.105945</v>
      </c>
      <c r="CT50" s="30">
        <v>0</v>
      </c>
      <c r="CU50" s="30">
        <v>1</v>
      </c>
      <c r="CV50" s="112"/>
      <c r="CW50" s="30">
        <f t="shared" ref="CW50:CW56" si="88">CW49*CK50+CY49*CL50</f>
        <v>-0.43150672265641637</v>
      </c>
      <c r="CX50" s="30">
        <f t="shared" ref="CX50:CX56" si="89">CX49*CK50+CZ49*CL50</f>
        <v>6.1206075744475301</v>
      </c>
      <c r="CY50" s="30">
        <f t="shared" ref="CY50:CY56" si="90">CW49*CM50+CY49*CN50</f>
        <v>-0.19742094217219841</v>
      </c>
      <c r="CZ50" s="30">
        <f t="shared" ref="CZ50:CZ56" si="91">CX49*CM50+CZ49*CN50</f>
        <v>0.48281081863841874</v>
      </c>
      <c r="DA50" s="112"/>
      <c r="DB50" s="30">
        <f t="shared" ref="DB50:DB56" si="92">DB49*CR50+DD49*CS50</f>
        <v>0.99069265386645688</v>
      </c>
      <c r="DC50" s="30">
        <f t="shared" ref="DC50:DC56" si="93">DC49*CR50+DE49*CS50</f>
        <v>9.0670133662626125</v>
      </c>
      <c r="DD50" s="30">
        <f t="shared" ref="DD50:DD56" si="94">DB49*CT50+DD49*CU50</f>
        <v>-0.10187616241697657</v>
      </c>
      <c r="DE50" s="30">
        <f t="shared" ref="DE50:DE56" si="95">DC49*CT50+DE49*CU50</f>
        <v>7.700417820198778E-2</v>
      </c>
      <c r="DF50" s="30">
        <f>AZ50^2*Vlength</f>
        <v>5.4357372924693041E-4</v>
      </c>
      <c r="DG50" s="112"/>
      <c r="DH50" s="112"/>
      <c r="DI50" s="112"/>
      <c r="DJ50" s="112"/>
      <c r="DK50" s="112"/>
      <c r="DL50" s="36"/>
      <c r="DM50" s="36"/>
      <c r="DN50" s="356"/>
      <c r="DO50" s="356"/>
      <c r="DP50" s="425"/>
      <c r="DQ50" s="425"/>
      <c r="DR50" s="425"/>
      <c r="DS50" s="425"/>
      <c r="DT50" s="425"/>
      <c r="DU50" s="425"/>
      <c r="DV50" s="425"/>
      <c r="DW50" s="425"/>
      <c r="DX50" s="425"/>
      <c r="DY50" s="425"/>
      <c r="DZ50" s="425"/>
      <c r="EA50" s="425"/>
      <c r="EB50" s="112">
        <f>E50*(1/AQ50+1/AQ49)/2</f>
        <v>0.43466721227864175</v>
      </c>
      <c r="EC50" s="112">
        <f>E50*(1/AR50+1/AR49)/2</f>
        <v>2.9417348488689781</v>
      </c>
      <c r="ED50" s="112">
        <f>E50*(AS50+AS49)/2</f>
        <v>1.1054850447209922E-2</v>
      </c>
      <c r="EE50" s="238">
        <f>(X50*AD50*AD50+2*W50*AD50*AE50+V50*AE50*AE50)*CH50</f>
        <v>4.2068965623712375E-4</v>
      </c>
      <c r="EF50" s="112">
        <f>SQRT(VaveBetax/VaveBetaz*T_Coupling)</f>
        <v>4.5593902217487825E-2</v>
      </c>
      <c r="EG50" s="112">
        <f>IF(EF50&lt;=1,EF50^(0.021-0.044*LN(EF50)),EF50^(-0.021-0.044*LN(EF50)))/(VaveBetax*VaveBetaz)^(1/4)</f>
        <v>0.15412166135825686</v>
      </c>
      <c r="EH50" s="239">
        <f t="shared" ref="EH50:ET52" si="96">$EG50*Vlength/SQRT(1+EH$7*EH$7/EH$8*1000000000/Vlength*$EE50)</f>
        <v>8.9553650151985038E-3</v>
      </c>
      <c r="EI50" s="239" t="e">
        <f t="shared" si="96"/>
        <v>#DIV/0!</v>
      </c>
      <c r="EJ50" s="239" t="e">
        <f t="shared" si="96"/>
        <v>#DIV/0!</v>
      </c>
      <c r="EK50" s="239" t="e">
        <f t="shared" si="96"/>
        <v>#DIV/0!</v>
      </c>
      <c r="EL50" s="239" t="e">
        <f t="shared" si="96"/>
        <v>#DIV/0!</v>
      </c>
      <c r="EM50" s="239" t="e">
        <f t="shared" si="96"/>
        <v>#DIV/0!</v>
      </c>
      <c r="EN50" s="239" t="e">
        <f t="shared" si="96"/>
        <v>#DIV/0!</v>
      </c>
      <c r="EO50" s="239" t="e">
        <f t="shared" si="96"/>
        <v>#DIV/0!</v>
      </c>
      <c r="EP50" s="239" t="e">
        <f t="shared" si="96"/>
        <v>#DIV/0!</v>
      </c>
      <c r="EQ50" s="239" t="e">
        <f t="shared" si="96"/>
        <v>#DIV/0!</v>
      </c>
      <c r="ER50" s="239" t="e">
        <f t="shared" si="96"/>
        <v>#DIV/0!</v>
      </c>
      <c r="ES50" s="239" t="e">
        <f t="shared" si="96"/>
        <v>#DIV/0!</v>
      </c>
      <c r="ET50" s="239" t="e">
        <f t="shared" si="96"/>
        <v>#DIV/0!</v>
      </c>
      <c r="EU50" s="112">
        <f>Vlength*VaveBetaz</f>
        <v>3.7126891533760626</v>
      </c>
      <c r="EW50" s="30"/>
      <c r="EX50" s="30"/>
      <c r="EY50" s="30"/>
      <c r="EZ50" s="30"/>
      <c r="FA50" s="30"/>
      <c r="FB50" s="30"/>
    </row>
    <row r="51" spans="1:158" s="42" customFormat="1" ht="15.75" customHeight="1" outlineLevel="1">
      <c r="A51" s="39"/>
      <c r="B51" s="39"/>
      <c r="C51" s="40" t="s">
        <v>507</v>
      </c>
      <c r="D51" s="41" t="s">
        <v>670</v>
      </c>
      <c r="E51" s="392">
        <v>0.42210999999999999</v>
      </c>
      <c r="F51" s="393">
        <v>-0.66051000000000004</v>
      </c>
      <c r="G51" s="392"/>
      <c r="H51" s="507"/>
      <c r="I51" s="541"/>
      <c r="J51" s="536"/>
      <c r="K51" s="394"/>
      <c r="L51" s="394"/>
      <c r="M51" s="507"/>
      <c r="N51" s="527"/>
      <c r="O51" s="429">
        <f>T_Energy/0.2998*F51</f>
        <v>-13.30713942628419</v>
      </c>
      <c r="P51" s="459">
        <f>2*T_Energy/0.2998*G51</f>
        <v>0</v>
      </c>
      <c r="Q51" s="459">
        <f>O51*Vlength</f>
        <v>-5.6170766232288187</v>
      </c>
      <c r="R51" s="44">
        <f>R50+Vlength</f>
        <v>11.424619597606302</v>
      </c>
      <c r="S51" s="44">
        <f>S50+U50*Vlength/SQRT(1+(U50)^2)</f>
        <v>-0.22210155975570528</v>
      </c>
      <c r="T51" s="44">
        <f>T50+Vlength/SQRT(1+(U50)^2)</f>
        <v>11.415083780334102</v>
      </c>
      <c r="U51" s="44">
        <f>U50</f>
        <v>-9.849143422908091E-2</v>
      </c>
      <c r="V51" s="45">
        <f t="shared" si="80"/>
        <v>11.596352672630935</v>
      </c>
      <c r="W51" s="45">
        <f t="shared" si="81"/>
        <v>-6.7465798762452485</v>
      </c>
      <c r="X51" s="45">
        <f t="shared" si="82"/>
        <v>4.0112905617593562</v>
      </c>
      <c r="Y51" s="45">
        <f t="shared" si="83"/>
        <v>2.8035718222893786</v>
      </c>
      <c r="Z51" s="45">
        <f t="shared" si="84"/>
        <v>31.102493124413733</v>
      </c>
      <c r="AA51" s="45">
        <f t="shared" si="85"/>
        <v>8.9942424676481156</v>
      </c>
      <c r="AB51" s="45">
        <f t="shared" si="86"/>
        <v>2.6331135976543543</v>
      </c>
      <c r="AC51" s="45">
        <f t="shared" si="87"/>
        <v>1.3142144028442038</v>
      </c>
      <c r="AD51" s="44">
        <f>AD50*$CK51+AE50*$CL51</f>
        <v>0.21454343833471068</v>
      </c>
      <c r="AE51" s="45">
        <f>AD50*$CM51+AE50*$CN51</f>
        <v>0.12518663074374906</v>
      </c>
      <c r="AF51" s="46">
        <f>AF50</f>
        <v>3.9708306785324696E-3</v>
      </c>
      <c r="AG51" s="45">
        <f>AG50*$CK51+AH50*$CL51</f>
        <v>0.2876559580770599</v>
      </c>
      <c r="AH51" s="45">
        <f>AG50*$CM51+AH50*$CN51</f>
        <v>0.1699385772112959</v>
      </c>
      <c r="AI51" s="45">
        <f>AI50*$CK51+AJ50*$CL51+0.001*(1-$CK51)*$K51</f>
        <v>0</v>
      </c>
      <c r="AJ51" s="45">
        <f>AI50*$CM51+AJ50*$CN51-0.001*$CM51*$K51</f>
        <v>0</v>
      </c>
      <c r="AK51" s="45">
        <f>AK50*$CK51+AL50*$CL51+0.001*(1-$CK51)*$K51</f>
        <v>0</v>
      </c>
      <c r="AL51" s="45">
        <f>AK50*$CM51+AL50*$CN51-0.001*$CM51*$K51</f>
        <v>0</v>
      </c>
      <c r="AM51" s="45">
        <f>AM50*$CR51+AN50*$CS51+0.001*(1-$CR51)*$L51</f>
        <v>0</v>
      </c>
      <c r="AN51" s="45">
        <f>AM50*$CT51+AN50*$CU51-0.001*$CT51*$L51</f>
        <v>0</v>
      </c>
      <c r="AO51" s="45">
        <f>AO50*$CR51+AP50*$CS51+0.001*(1-$CR51)*$L51</f>
        <v>0</v>
      </c>
      <c r="AP51" s="45">
        <f>AO50*$CT51+AP50*$CU51-0.001*$CT51*$L51</f>
        <v>0</v>
      </c>
      <c r="AQ51" s="44">
        <f t="shared" si="8"/>
        <v>0.30810874498402252</v>
      </c>
      <c r="AR51" s="44">
        <f t="shared" si="9"/>
        <v>3.3928928854562827E-2</v>
      </c>
      <c r="AS51" s="44">
        <f t="shared" si="10"/>
        <v>0.18042976415335349</v>
      </c>
      <c r="AT51" s="44">
        <f t="shared" si="11"/>
        <v>9.8720499839061934E-3</v>
      </c>
      <c r="AU51" s="44">
        <f t="shared" si="12"/>
        <v>55.331283336498657</v>
      </c>
      <c r="AV51" s="47">
        <f t="shared" si="74"/>
        <v>3.7012216628845733</v>
      </c>
      <c r="AW51" s="47">
        <f t="shared" si="74"/>
        <v>3.7012216628845733E-2</v>
      </c>
      <c r="AX51" s="47">
        <f t="shared" si="74"/>
        <v>1.0629909222129516E-3</v>
      </c>
      <c r="AY51" s="43">
        <f>IF(VKl=0,0.5*(AD50+AD51),(AE51-AE50)/CJ51/Vlength)</f>
        <v>0.19209504959222853</v>
      </c>
      <c r="AZ51" s="43">
        <f>IF(VKl=0,AE51,(AD51-AD50)/Vlength)</f>
        <v>9.7453933892165126E-2</v>
      </c>
      <c r="BA51" s="429">
        <f>IF($CJ51=0,0.5*(V51+V50)-X50*Vlength*Vlength/6,-0.5*(($X51-$CJ51*$V51)*Vlength+($W51-$W50))/$CJ51/Vlength)</f>
        <v>9.3447236800011613</v>
      </c>
      <c r="BB51" s="428">
        <f t="shared" si="14"/>
        <v>2.7806469889473941</v>
      </c>
      <c r="BC51" s="43">
        <f>IF(CJ51=0,AY51*BA51-(2*W50-X50*Vlength)*AE50*Vlength*Vlength/12,-(2*(X51-CJ51*V51)*AY51+(2*W51*AD51+V51*AE51-2*W50*AD50-V50*AE50)/Vlength)/3/CJ51)</f>
        <v>1.8087189590391277</v>
      </c>
      <c r="BD51" s="43"/>
      <c r="BE51" s="43"/>
      <c r="BF51" s="429">
        <f>IF($CQ51=0,0.5*(Z51+Z50)-AB50*Vlength*Vlength/6,-0.5*(($AB51-$CQ51*$Z51)*Vlength+$AA51-$AA50)/$CQ51/Vlength)</f>
        <v>33.713454095550823</v>
      </c>
      <c r="BG51" s="43">
        <f t="shared" si="15"/>
        <v>1.307946250989789</v>
      </c>
      <c r="BH51" s="43">
        <f>IF(CQ51=0,AY51*BF51-(2*AA50-AB50*Vlength)*AE50*Vlength*Vlength/12,-(2*(AB51-CQ51*Z51)*AY51+(2*AA51*AD51+Z51*AE51-2*AA50*AD50-Z50*AE50)/Vlength)/5/CQ51)</f>
        <v>6.4623484834835851</v>
      </c>
      <c r="BI51" s="43"/>
      <c r="BJ51" s="43"/>
      <c r="BK51" s="47"/>
      <c r="BL51" s="47"/>
      <c r="BM51" s="47"/>
      <c r="BN51" s="47"/>
      <c r="BO51" s="47"/>
      <c r="BP51" s="47">
        <f>VaveBetax*BR51</f>
        <v>6.7880182941782801</v>
      </c>
      <c r="BQ51" s="47">
        <f>VaveBetaz*BS51</f>
        <v>88.352038987981828</v>
      </c>
      <c r="BR51" s="47">
        <f>VaveBetax*VKl^2</f>
        <v>0.72640117852874131</v>
      </c>
      <c r="BS51" s="47">
        <f>VaveBetaz*VKl^2</f>
        <v>2.6206759692309807</v>
      </c>
      <c r="BT51" s="47">
        <f>BS51*AY51^2</f>
        <v>9.6704274772010906E-2</v>
      </c>
      <c r="BU51" s="47">
        <f>(CJ51*(V51-V50))^2</f>
        <v>6.9481957224474487</v>
      </c>
      <c r="BV51" s="47">
        <f>(CQ51*(Z51-Z50))^2</f>
        <v>6.7837634214373228</v>
      </c>
      <c r="BW51" s="47">
        <f>1/VaveBetax*(CJ51*Vlength^3)^2</f>
        <v>2.6408648485166415E-4</v>
      </c>
      <c r="BX51" s="47">
        <f>1/VaveBetaz*(CQ51*Vlength^3)^2</f>
        <v>7.3199714914031676E-5</v>
      </c>
      <c r="BY51" s="47">
        <f>(CJ51*VaveBetax*(Y51-Y50))^2</f>
        <v>8.0087380289199164E-2</v>
      </c>
      <c r="BZ51" s="47">
        <f>(CQ51*VaveBetaz*(AC51-AC50))^2</f>
        <v>7.7929933322181788E-2</v>
      </c>
      <c r="CA51" s="45">
        <f>AY51^2*VaveBetaz*VHl^2</f>
        <v>0</v>
      </c>
      <c r="CB51" s="47">
        <f>VaveBetax*BS51</f>
        <v>24.489492787282739</v>
      </c>
      <c r="CC51" s="45">
        <f>VaveBetax*VaveBetaz*VHl^2</f>
        <v>0</v>
      </c>
      <c r="CD51" s="45">
        <f>(VaveBetax*VHl)^2</f>
        <v>0</v>
      </c>
      <c r="CE51" s="45">
        <f>(VaveBetaz*VHl)^2</f>
        <v>0</v>
      </c>
      <c r="CF51" s="44">
        <f>$CQ51*Vlength</f>
        <v>-0.27880787610000002</v>
      </c>
      <c r="CG51" s="44">
        <f>$G51*Vlength</f>
        <v>0</v>
      </c>
      <c r="CH51" s="45">
        <f>$E51</f>
        <v>0.42210999999999999</v>
      </c>
      <c r="CI51" s="48"/>
      <c r="CJ51" s="49">
        <f>-$CQ51</f>
        <v>0.66051000000000004</v>
      </c>
      <c r="CK51" s="49">
        <f>IF(CJ51=0,1,IF(CJ51&gt;0,COSH(Vlength*SQRT(CJ51)),COS(Vlength*SQRT(-CJ51))))</f>
        <v>1.0594231636932396</v>
      </c>
      <c r="CL51" s="49">
        <f>IF(CJ51=0,Vlength,IF(CJ51&gt;0,SINH(Vlength*SQRT(CJ51))/SQRT(CJ51),SIN(Vlength*SQRT(-CJ51))/SQRT(-CJ51)))</f>
        <v>0.43043837485327002</v>
      </c>
      <c r="CM51" s="49">
        <f>CL51*CJ51</f>
        <v>0.28430885097433339</v>
      </c>
      <c r="CN51" s="49">
        <f>CK51</f>
        <v>1.0594231636932396</v>
      </c>
      <c r="CO51" s="45"/>
      <c r="CP51" s="45"/>
      <c r="CQ51" s="49">
        <f>$F51-0.001*$G51*$K51</f>
        <v>-0.66051000000000004</v>
      </c>
      <c r="CR51" s="49">
        <f>IF(CQ51=0,1,IF(CQ51&gt;0,COSH(Vlength*SQRT(CQ51)),COS(Vlength*SQRT(-CQ51))))</f>
        <v>0.94173104327623502</v>
      </c>
      <c r="CS51" s="49">
        <f>IF(CQ51=0,Vlength,IF(CQ51&gt;0,SINH(Vlength*SQRT(CQ51))/SQRT(CQ51),SIN(Vlength*SQRT(-CQ51))/SQRT(-CQ51)))</f>
        <v>0.41387906525047591</v>
      </c>
      <c r="CT51" s="49">
        <f>CS51*CQ51</f>
        <v>-0.27337126138859186</v>
      </c>
      <c r="CU51" s="49">
        <f>CR51</f>
        <v>0.94173104327623502</v>
      </c>
      <c r="CV51" s="45"/>
      <c r="CW51" s="49">
        <f t="shared" si="88"/>
        <v>-0.5421257667821644</v>
      </c>
      <c r="CX51" s="49">
        <f t="shared" si="89"/>
        <v>6.6921337443823061</v>
      </c>
      <c r="CY51" s="49">
        <f t="shared" si="90"/>
        <v>-0.33183349964151665</v>
      </c>
      <c r="CZ51" s="49">
        <f t="shared" si="91"/>
        <v>2.2516438717032154</v>
      </c>
      <c r="DA51" s="45"/>
      <c r="DB51" s="49">
        <f t="shared" si="92"/>
        <v>0.89080161561931648</v>
      </c>
      <c r="DC51" s="49">
        <f t="shared" si="93"/>
        <v>8.570558374104678</v>
      </c>
      <c r="DD51" s="49">
        <f t="shared" si="94"/>
        <v>-0.36676684515380342</v>
      </c>
      <c r="DE51" s="49">
        <f t="shared" si="95"/>
        <v>-2.4061436558876457</v>
      </c>
      <c r="DF51" s="49">
        <f>AZ51^2*Vlength</f>
        <v>4.0088923151220994E-3</v>
      </c>
      <c r="DG51" s="45"/>
      <c r="DH51" s="45"/>
      <c r="DI51" s="45"/>
      <c r="DJ51" s="45"/>
      <c r="DK51" s="45"/>
      <c r="DL51" s="50"/>
      <c r="DM51" s="50"/>
      <c r="DN51" s="428">
        <f>-VKl*VaveBetax+2*VHl*$BC51</f>
        <v>2.6053825619625002</v>
      </c>
      <c r="DO51" s="428">
        <f>VaveBetaz*VKl-2*VHl*$BH51</f>
        <v>-9.3995765323753719</v>
      </c>
      <c r="DP51" s="43" t="str">
        <f>IMPRODUCT(-1/8*(VaveBetax*VKl-2*$BC51*VHl),COMPLEX(COS(2*VmidMux),SIN(2*VmidMux)))</f>
        <v>0.244436103427782-0.215206359542599i</v>
      </c>
      <c r="DQ51" s="429" t="str">
        <f>IMPRODUCT(1/8*(VaveBetaz*VKl-2*BH51*VHl),COMPLEX(COS(2*VmidMuz),SIN(2*VmidMuz)))</f>
        <v>1.01629725924682-0.589610456178167i</v>
      </c>
      <c r="DR51" s="429" t="str">
        <f>IMPRODUCT(-1/2*SQRT(VaveBetax)*(VKl-2*VHl*$AY51)*AY51,COMPLEX(COS(VmidMux),SIN(VmidMux)))</f>
        <v>-0.0765856868176197+0.0289097857772532i</v>
      </c>
      <c r="DS51" s="429" t="str">
        <f>IMPRODUCT(-1/8*VHl*VaveBetax^(3/2),COMPLEX(COS(VmidMux),SIN(VmidMux)))</f>
        <v>0</v>
      </c>
      <c r="DT51" s="429" t="str">
        <f>IMPRODUCT(-1/24*VHl*VaveBetax^(3/2),COMPLEX(COS(3*VmidMux),SIN(3*VmidMux)))</f>
        <v>0</v>
      </c>
      <c r="DU51" s="429" t="str">
        <f>IMPRODUCT(1/4*VHl*VaveBetax^(1/2)*VaveBetaz,COMPLEX(COS(VmidMux),SIN(VmidMux)))</f>
        <v>0</v>
      </c>
      <c r="DV51" s="429" t="str">
        <f>IMPRODUCT(1/8*VHl*VaveBetax^(1/2)*VaveBetaz,COMPLEX(COS(VmidMux-2*VmidMuz),SIN(VmidMux-2*VmidMuz)))</f>
        <v>0</v>
      </c>
      <c r="DW51" s="429" t="str">
        <f>IMPRODUCT(1/8*VHl*VaveBetax^(1/2)*VaveBetaz,COMPLEX(COS(VmidMux+2*VmidMuz),SIN(VmidMux+2*VmidMuz)))</f>
        <v>0</v>
      </c>
      <c r="DX51" s="429">
        <f>VaveBetax^2*F51^2*E51/8/PI()/2</f>
        <v>0.31992450585057469</v>
      </c>
      <c r="DY51" s="429">
        <f>2*VaveBetax*VaveBetaz*F51^2*E51/8/PI()</f>
        <v>4.6168342741339519</v>
      </c>
      <c r="DZ51" s="429">
        <f>VaveBetaz^2*F51^2*E51/8/PI()</f>
        <v>8.3281986550811187</v>
      </c>
      <c r="EA51" s="429">
        <f>ABS(F51)</f>
        <v>0.66051000000000004</v>
      </c>
      <c r="EB51" s="45">
        <f>E51*(1/AQ51+1/AQ50)/2</f>
        <v>1.5317481492000526</v>
      </c>
      <c r="EC51" s="45">
        <f>E51*(1/AR51+1/AR50)/2</f>
        <v>12.080607499837271</v>
      </c>
      <c r="ED51" s="45">
        <f>E51*(AS51+AS50)/2</f>
        <v>6.010317653973072E-2</v>
      </c>
      <c r="EE51" s="46">
        <f>(X51*AD51*AD51+2*W51*AD51*AE51+V51*AE51*AE51)*CH51</f>
        <v>1.6761273377153606E-3</v>
      </c>
      <c r="EF51" s="45">
        <f>SQRT(VaveBetax/VaveBetaz*T_Coupling)</f>
        <v>5.2647967157582659E-2</v>
      </c>
      <c r="EG51" s="45">
        <f>IF(EF51&lt;=1,EF51^(0.021-0.044*LN(EF51)),EF51^(-0.021-0.044*LN(EF51)))/(VaveBetax*VaveBetaz)^(1/4)</f>
        <v>0.15237800785614378</v>
      </c>
      <c r="EH51" s="47">
        <f t="shared" si="96"/>
        <v>3.5276628971244943E-2</v>
      </c>
      <c r="EI51" s="47" t="e">
        <f t="shared" si="96"/>
        <v>#DIV/0!</v>
      </c>
      <c r="EJ51" s="47" t="e">
        <f t="shared" si="96"/>
        <v>#DIV/0!</v>
      </c>
      <c r="EK51" s="47" t="e">
        <f t="shared" si="96"/>
        <v>#DIV/0!</v>
      </c>
      <c r="EL51" s="47" t="e">
        <f t="shared" si="96"/>
        <v>#DIV/0!</v>
      </c>
      <c r="EM51" s="47" t="e">
        <f t="shared" si="96"/>
        <v>#DIV/0!</v>
      </c>
      <c r="EN51" s="47" t="e">
        <f t="shared" si="96"/>
        <v>#DIV/0!</v>
      </c>
      <c r="EO51" s="47" t="e">
        <f t="shared" si="96"/>
        <v>#DIV/0!</v>
      </c>
      <c r="EP51" s="47" t="e">
        <f t="shared" si="96"/>
        <v>#DIV/0!</v>
      </c>
      <c r="EQ51" s="47" t="e">
        <f t="shared" si="96"/>
        <v>#DIV/0!</v>
      </c>
      <c r="ER51" s="47" t="e">
        <f t="shared" si="96"/>
        <v>#DIV/0!</v>
      </c>
      <c r="ES51" s="47" t="e">
        <f t="shared" si="96"/>
        <v>#DIV/0!</v>
      </c>
      <c r="ET51" s="47" t="e">
        <f t="shared" si="96"/>
        <v>#DIV/0!</v>
      </c>
      <c r="EU51" s="45">
        <f>Vlength*VaveBetaz</f>
        <v>14.230786108272957</v>
      </c>
      <c r="EW51" s="49" t="str">
        <f>IMPRODUCT(VKl*VaveBetax^(ABS(EW$5)/2)*VaveBetaz^(ABS(EW$6)/2),COMPLEX(COS(EW$5*VmidMux+EW$6*VmidMuz+EW$23*$R51),SIN(EW$5*VmidMux+EW$6*VmidMuz+EW$23*$R51)))</f>
        <v>9.10510291739598-2.33433927517168i</v>
      </c>
      <c r="EX51" s="49" t="str">
        <f>IMPRODUCT(VKl*VaveBetax^(ABS(EX$5)/2)*VaveBetaz^(ABS(EX$6)/2),COMPLEX(COS(EX$5*VmidMux+EX$6*VmidMuz+EX$23*$R51),SIN(EX$5*VmidMux+EX$6*VmidMuz+EX$23*$R51)))</f>
        <v>-2.58613617459141+0.316098055432164i</v>
      </c>
      <c r="EY51" s="49" t="str">
        <f>IMPRODUCT(VHl*VaveBetax^(ABS(EY$5)/2)*VaveBetaz^(ABS(EY$6)/2),COMPLEX(COS(EY$5*VmidMux+EY$6*VmidMuz+EY$23*$R51),SIN(EY$5*VmidMux+EY$6*VmidMuz+EY$23*$R51)))</f>
        <v>0</v>
      </c>
      <c r="EZ51" s="49" t="str">
        <f>IMPRODUCT(VHl*VaveBetax^(ABS(EZ$5)/2)*VaveBetaz^(ABS(EZ$6)/2),COMPLEX(COS(EZ$5*VmidMux+EZ$6*VmidMuz+EZ$23*$R51),SIN(EZ$5*VmidMux+EZ$6*VmidMuz+EZ$23*$R51)))</f>
        <v>0</v>
      </c>
      <c r="FA51" s="49" t="str">
        <f>IMPRODUCT(VHl*VaveBetax^(ABS(FA$5)/2)*VaveBetaz^(ABS(FA$6)/2),COMPLEX(COS(FA$5*VmidMux+FA$6*VmidMuz+FA$23*$R51),SIN(FA$5*VmidMux+FA$6*VmidMuz+FA$23*$R51)))</f>
        <v>0</v>
      </c>
      <c r="FB51" s="49"/>
    </row>
    <row r="52" spans="1:158" s="7" customFormat="1" ht="15.75" customHeight="1" outlineLevel="1">
      <c r="A52" s="31"/>
      <c r="B52" s="31"/>
      <c r="C52" s="37"/>
      <c r="D52" s="25" t="s">
        <v>567</v>
      </c>
      <c r="E52" s="395">
        <v>0.338945</v>
      </c>
      <c r="F52" s="396"/>
      <c r="G52" s="396"/>
      <c r="H52" s="396"/>
      <c r="I52" s="540"/>
      <c r="K52" s="396"/>
      <c r="L52" s="396"/>
      <c r="M52" s="396"/>
      <c r="N52" s="525"/>
      <c r="O52" s="36"/>
      <c r="P52" s="458"/>
      <c r="Q52" s="458"/>
      <c r="R52" s="101">
        <f>R51+Vlength</f>
        <v>11.763564597606303</v>
      </c>
      <c r="S52" s="101">
        <f>S51+U51*Vlength/SQRT(1+(U51)^2)</f>
        <v>-0.25532398969815728</v>
      </c>
      <c r="T52" s="101">
        <f>T51+Vlength/SQRT(1+(U51)^2)</f>
        <v>11.752396666500223</v>
      </c>
      <c r="U52" s="101">
        <f>U51</f>
        <v>-9.849143422908091E-2</v>
      </c>
      <c r="V52" s="112">
        <f t="shared" si="80"/>
        <v>16.630623658695882</v>
      </c>
      <c r="W52" s="112">
        <f t="shared" si="81"/>
        <v>-8.1061867557007741</v>
      </c>
      <c r="X52" s="112">
        <f t="shared" si="82"/>
        <v>4.0112905617593553</v>
      </c>
      <c r="Y52" s="112">
        <f t="shared" si="83"/>
        <v>2.8279812380173288</v>
      </c>
      <c r="Z52" s="112">
        <f t="shared" si="84"/>
        <v>25.307887964934899</v>
      </c>
      <c r="AA52" s="112">
        <f t="shared" si="85"/>
        <v>8.1017617792911611</v>
      </c>
      <c r="AB52" s="112">
        <f t="shared" si="86"/>
        <v>2.6331135976543552</v>
      </c>
      <c r="AC52" s="112">
        <f t="shared" si="87"/>
        <v>1.326295718835337</v>
      </c>
      <c r="AD52" s="101">
        <f>AD51+AE51*$CL52</f>
        <v>0.25697482089215068</v>
      </c>
      <c r="AE52" s="112">
        <f>AE51</f>
        <v>0.12518663074374906</v>
      </c>
      <c r="AF52" s="238">
        <f>AF51</f>
        <v>3.9708306785324696E-3</v>
      </c>
      <c r="AG52" s="112">
        <f>AG51+AH51*$CL52</f>
        <v>0.34525578912994259</v>
      </c>
      <c r="AH52" s="112">
        <f>AH51</f>
        <v>0.1699385772112959</v>
      </c>
      <c r="AI52" s="112">
        <f>AI51+AJ51*$CL52</f>
        <v>0</v>
      </c>
      <c r="AJ52" s="112">
        <f>AJ51</f>
        <v>0</v>
      </c>
      <c r="AK52" s="112">
        <f>AK51+AL51*$CL52</f>
        <v>0</v>
      </c>
      <c r="AL52" s="112">
        <f>AL51</f>
        <v>0</v>
      </c>
      <c r="AM52" s="112">
        <f>AM51+AN51*$CS52</f>
        <v>0</v>
      </c>
      <c r="AN52" s="112">
        <f>AN51</f>
        <v>0</v>
      </c>
      <c r="AO52" s="112">
        <f>AO51+AP51*$CS52</f>
        <v>0</v>
      </c>
      <c r="AP52" s="112">
        <f>AP51</f>
        <v>0</v>
      </c>
      <c r="AQ52" s="101">
        <f t="shared" si="8"/>
        <v>0.36901361651405401</v>
      </c>
      <c r="AR52" s="101">
        <f t="shared" si="9"/>
        <v>3.0605571907362364E-2</v>
      </c>
      <c r="AS52" s="101">
        <f t="shared" si="10"/>
        <v>0.18042976415335349</v>
      </c>
      <c r="AT52" s="101">
        <f t="shared" si="11"/>
        <v>9.8720499839061952E-3</v>
      </c>
      <c r="AU52" s="101">
        <f t="shared" si="12"/>
        <v>66.277782220591618</v>
      </c>
      <c r="AV52" s="239">
        <f t="shared" si="74"/>
        <v>3.7012216628845733</v>
      </c>
      <c r="AW52" s="239">
        <f t="shared" si="74"/>
        <v>3.7012216628845733E-2</v>
      </c>
      <c r="AX52" s="239">
        <f t="shared" si="74"/>
        <v>1.0629909222129516E-3</v>
      </c>
      <c r="AY52" s="434">
        <f>0.5*(AD51+AD52)</f>
        <v>0.23575912961343068</v>
      </c>
      <c r="AZ52" s="356">
        <f>0.5*(AE51+AE52)</f>
        <v>0.12518663074374906</v>
      </c>
      <c r="BA52" s="425">
        <f>0.5*(V52+V51)-X51*Vlength*Vlength/6</f>
        <v>14.036682840037233</v>
      </c>
      <c r="BB52" s="356">
        <f t="shared" si="14"/>
        <v>2.8157765301533537</v>
      </c>
      <c r="BC52" s="434"/>
      <c r="BD52" s="434"/>
      <c r="BE52" s="434"/>
      <c r="BF52" s="425">
        <f>0.5*(Z52+Z51)-AB51*Vlength*Vlength/6</f>
        <v>28.154773566855123</v>
      </c>
      <c r="BG52" s="434">
        <f t="shared" si="15"/>
        <v>1.3202550608397705</v>
      </c>
      <c r="BH52" s="434"/>
      <c r="BI52" s="434"/>
      <c r="BJ52" s="434"/>
      <c r="BK52" s="239"/>
      <c r="BL52" s="239"/>
      <c r="BM52" s="239"/>
      <c r="BN52" s="239"/>
      <c r="BO52" s="239"/>
      <c r="BP52" s="239"/>
      <c r="BQ52" s="239"/>
      <c r="BR52" s="239"/>
      <c r="BS52" s="239"/>
      <c r="BT52" s="239"/>
      <c r="BU52" s="239"/>
      <c r="BV52" s="239"/>
      <c r="BW52" s="239"/>
      <c r="BX52" s="239"/>
      <c r="BY52" s="239"/>
      <c r="BZ52" s="239"/>
      <c r="CA52" s="239"/>
      <c r="CB52" s="239"/>
      <c r="CC52" s="239"/>
      <c r="CD52" s="239"/>
      <c r="CE52" s="239"/>
      <c r="CF52" s="101"/>
      <c r="CG52" s="101"/>
      <c r="CH52" s="112">
        <f>E52</f>
        <v>0.338945</v>
      </c>
      <c r="CI52" s="240"/>
      <c r="CJ52" s="112"/>
      <c r="CK52" s="30">
        <v>1</v>
      </c>
      <c r="CL52" s="30">
        <f>E52</f>
        <v>0.338945</v>
      </c>
      <c r="CM52" s="30">
        <v>0</v>
      </c>
      <c r="CN52" s="30">
        <v>1</v>
      </c>
      <c r="CO52" s="112"/>
      <c r="CP52" s="112"/>
      <c r="CQ52" s="112"/>
      <c r="CR52" s="30">
        <v>1</v>
      </c>
      <c r="CS52" s="30">
        <f>CL52</f>
        <v>0.338945</v>
      </c>
      <c r="CT52" s="30">
        <v>0</v>
      </c>
      <c r="CU52" s="30">
        <v>1</v>
      </c>
      <c r="CV52" s="112"/>
      <c r="CW52" s="30">
        <f t="shared" si="88"/>
        <v>-0.65459907231815828</v>
      </c>
      <c r="CX52" s="30">
        <f t="shared" si="89"/>
        <v>7.4553171764767523</v>
      </c>
      <c r="CY52" s="30">
        <f t="shared" si="90"/>
        <v>-0.33183349964151665</v>
      </c>
      <c r="CZ52" s="30">
        <f t="shared" si="91"/>
        <v>2.2516438717032154</v>
      </c>
      <c r="DA52" s="112"/>
      <c r="DB52" s="30">
        <f t="shared" si="92"/>
        <v>0.76648782728866061</v>
      </c>
      <c r="DC52" s="30">
        <f t="shared" si="93"/>
        <v>7.7550080126598395</v>
      </c>
      <c r="DD52" s="30">
        <f t="shared" si="94"/>
        <v>-0.36676684515380342</v>
      </c>
      <c r="DE52" s="30">
        <f t="shared" si="95"/>
        <v>-2.4061436558876457</v>
      </c>
      <c r="DF52" s="30">
        <f>AZ52^2*Vlength</f>
        <v>5.3118418201649987E-3</v>
      </c>
      <c r="DG52" s="112"/>
      <c r="DH52" s="112"/>
      <c r="DI52" s="112"/>
      <c r="DJ52" s="112"/>
      <c r="DK52" s="112"/>
      <c r="DL52" s="36"/>
      <c r="DM52" s="36"/>
      <c r="DN52" s="356"/>
      <c r="DO52" s="356"/>
      <c r="DP52" s="425"/>
      <c r="DQ52" s="425"/>
      <c r="DR52" s="425"/>
      <c r="DS52" s="425"/>
      <c r="DT52" s="425"/>
      <c r="DU52" s="425"/>
      <c r="DV52" s="425"/>
      <c r="DW52" s="425"/>
      <c r="DX52" s="425"/>
      <c r="DY52" s="425"/>
      <c r="DZ52" s="425"/>
      <c r="EA52" s="425"/>
      <c r="EB52" s="112">
        <f>E52*(1/AQ52+1/AQ51)/2</f>
        <v>1.0092993082075874</v>
      </c>
      <c r="EC52" s="112">
        <f>E52*(1/AR52+1/AR51)/2</f>
        <v>10.532235040873726</v>
      </c>
      <c r="ED52" s="112">
        <f>E52*(AS52+AS51)/2</f>
        <v>6.11557664109584E-2</v>
      </c>
      <c r="EE52" s="238">
        <f>(X52*AD52*AD52+2*W52*AD52*AE52+V52*AE52*AE52)*CH52</f>
        <v>1.3458932043351756E-3</v>
      </c>
      <c r="EF52" s="112">
        <f>SQRT(VaveBetax/VaveBetaz*T_Coupling)</f>
        <v>7.0608376212901822E-2</v>
      </c>
      <c r="EG52" s="112">
        <f>IF(EF52&lt;=1,EF52^(0.021-0.044*LN(EF52)),EF52^(-0.021-0.044*LN(EF52)))/(VaveBetax*VaveBetaz)^(1/4)</f>
        <v>0.15572837993700231</v>
      </c>
      <c r="EH52" s="239">
        <f t="shared" si="96"/>
        <v>2.8949171711857565E-2</v>
      </c>
      <c r="EI52" s="239" t="e">
        <f t="shared" si="96"/>
        <v>#DIV/0!</v>
      </c>
      <c r="EJ52" s="239" t="e">
        <f t="shared" si="96"/>
        <v>#DIV/0!</v>
      </c>
      <c r="EK52" s="239" t="e">
        <f t="shared" si="96"/>
        <v>#DIV/0!</v>
      </c>
      <c r="EL52" s="239" t="e">
        <f t="shared" si="96"/>
        <v>#DIV/0!</v>
      </c>
      <c r="EM52" s="239" t="e">
        <f t="shared" si="96"/>
        <v>#DIV/0!</v>
      </c>
      <c r="EN52" s="239" t="e">
        <f t="shared" si="96"/>
        <v>#DIV/0!</v>
      </c>
      <c r="EO52" s="239" t="e">
        <f t="shared" si="96"/>
        <v>#DIV/0!</v>
      </c>
      <c r="EP52" s="239" t="e">
        <f t="shared" si="96"/>
        <v>#DIV/0!</v>
      </c>
      <c r="EQ52" s="239" t="e">
        <f t="shared" si="96"/>
        <v>#DIV/0!</v>
      </c>
      <c r="ER52" s="239" t="e">
        <f t="shared" si="96"/>
        <v>#DIV/0!</v>
      </c>
      <c r="ES52" s="239" t="e">
        <f t="shared" si="96"/>
        <v>#DIV/0!</v>
      </c>
      <c r="ET52" s="239" t="e">
        <f t="shared" si="96"/>
        <v>#DIV/0!</v>
      </c>
      <c r="EU52" s="112">
        <f>Vlength*VaveBetaz</f>
        <v>9.5429197266177095</v>
      </c>
      <c r="EW52" s="30"/>
      <c r="EX52" s="30"/>
      <c r="EY52" s="30"/>
      <c r="EZ52" s="30"/>
      <c r="FA52" s="30"/>
      <c r="FB52" s="30"/>
    </row>
    <row r="53" spans="1:158" s="54" customFormat="1" ht="15.75" customHeight="1" outlineLevel="1">
      <c r="A53" s="51"/>
      <c r="B53" s="51"/>
      <c r="C53" s="52" t="s">
        <v>264</v>
      </c>
      <c r="D53" s="53" t="s">
        <v>1125</v>
      </c>
      <c r="E53" s="397">
        <v>-2.5099100000000001</v>
      </c>
      <c r="F53" s="54">
        <v>0</v>
      </c>
      <c r="G53" s="399"/>
      <c r="H53" s="399"/>
      <c r="I53" s="548"/>
      <c r="K53" s="398"/>
      <c r="L53" s="398"/>
      <c r="M53" s="509"/>
      <c r="N53" s="528"/>
      <c r="O53" s="430"/>
      <c r="P53" s="465"/>
      <c r="Q53" s="465"/>
      <c r="R53" s="56">
        <f t="shared" ref="R53:U53" si="97">R52</f>
        <v>11.763564597606303</v>
      </c>
      <c r="S53" s="56">
        <f t="shared" si="97"/>
        <v>-0.25532398969815728</v>
      </c>
      <c r="T53" s="56">
        <f t="shared" si="97"/>
        <v>11.752396666500223</v>
      </c>
      <c r="U53" s="56">
        <f t="shared" si="97"/>
        <v>-9.849143422908091E-2</v>
      </c>
      <c r="V53" s="57">
        <f t="shared" si="80"/>
        <v>16.630623658695882</v>
      </c>
      <c r="W53" s="57">
        <f t="shared" si="81"/>
        <v>-8.1061867557007741</v>
      </c>
      <c r="X53" s="57">
        <f t="shared" si="82"/>
        <v>4.0112905617593553</v>
      </c>
      <c r="Y53" s="57">
        <f t="shared" si="83"/>
        <v>2.8279812380173288</v>
      </c>
      <c r="Z53" s="57">
        <f t="shared" si="84"/>
        <v>25.307887964934899</v>
      </c>
      <c r="AA53" s="57">
        <f t="shared" si="85"/>
        <v>8.1017617792911611</v>
      </c>
      <c r="AB53" s="57">
        <f t="shared" si="86"/>
        <v>2.6331135976543552</v>
      </c>
      <c r="AC53" s="57">
        <f t="shared" si="87"/>
        <v>1.326295718835337</v>
      </c>
      <c r="AD53" s="56">
        <f>AD52</f>
        <v>0.25697482089215068</v>
      </c>
      <c r="AE53" s="57">
        <f>AD52*$CM53+AE52</f>
        <v>0.12518663074374906</v>
      </c>
      <c r="AF53" s="58">
        <f t="shared" ref="AF53:AG53" si="98">AF52</f>
        <v>3.9708306785324696E-3</v>
      </c>
      <c r="AG53" s="57">
        <f t="shared" si="98"/>
        <v>0.34525578912994259</v>
      </c>
      <c r="AH53" s="57">
        <f>AG52*$CM53+AH52</f>
        <v>0.1699385772112959</v>
      </c>
      <c r="AI53" s="57">
        <f>AI52*$CK53+AJ52*$CL53+0.001*(1-$CK53)*$K53</f>
        <v>0</v>
      </c>
      <c r="AJ53" s="57">
        <f>AI52*$CM53+AJ52*$CN53-0.001*$CM53*$K53</f>
        <v>0</v>
      </c>
      <c r="AK53" s="57">
        <f>AK52*$CK53+AL52*$CL53+0.001*(1-$CK53)*$K53</f>
        <v>0</v>
      </c>
      <c r="AL53" s="57">
        <f>AK52*$CM53+AL52*$CN53-0.001*$CM53*$K53</f>
        <v>0</v>
      </c>
      <c r="AM53" s="57">
        <f>AM52*$CR53+AN52*$CS53+0.001*(1-$CR53)*$L53</f>
        <v>0</v>
      </c>
      <c r="AN53" s="57">
        <f>AM52*$CT53+AN52*$CU53-0.001*$CT53*$L53</f>
        <v>0</v>
      </c>
      <c r="AO53" s="57">
        <f>AO52*$CR53+AP52*$CS53+0.001*(1-$CR53)*$L53</f>
        <v>0</v>
      </c>
      <c r="AP53" s="57">
        <f>AO52*$CT53+AP52*$CU53-0.001*$CT53*$L53</f>
        <v>0</v>
      </c>
      <c r="AQ53" s="56">
        <f t="shared" si="8"/>
        <v>0.36901361651405401</v>
      </c>
      <c r="AR53" s="56">
        <f t="shared" si="9"/>
        <v>3.0605571907362364E-2</v>
      </c>
      <c r="AS53" s="56">
        <f t="shared" si="10"/>
        <v>0.18042976415335349</v>
      </c>
      <c r="AT53" s="56">
        <f t="shared" si="11"/>
        <v>9.8720499839061952E-3</v>
      </c>
      <c r="AU53" s="56">
        <f t="shared" si="12"/>
        <v>66.277782220591618</v>
      </c>
      <c r="AV53" s="59">
        <f t="shared" si="74"/>
        <v>3.7012216628845733</v>
      </c>
      <c r="AW53" s="59">
        <f t="shared" si="74"/>
        <v>3.7012216628845733E-2</v>
      </c>
      <c r="AX53" s="59">
        <f t="shared" si="74"/>
        <v>1.0629909222129516E-3</v>
      </c>
      <c r="AY53" s="55">
        <f>AD53</f>
        <v>0.25697482089215068</v>
      </c>
      <c r="AZ53" s="55">
        <f>0.5*(AE52+AE53)</f>
        <v>0.12518663074374906</v>
      </c>
      <c r="BA53" s="430">
        <f>V53</f>
        <v>16.630623658695882</v>
      </c>
      <c r="BB53" s="55">
        <f t="shared" si="14"/>
        <v>2.8279812380173288</v>
      </c>
      <c r="BC53" s="442">
        <f>VaveBetax*AY53</f>
        <v>4.2736515360181375</v>
      </c>
      <c r="BD53" s="442"/>
      <c r="BE53" s="442"/>
      <c r="BF53" s="430">
        <f>Z53</f>
        <v>25.307887964934899</v>
      </c>
      <c r="BG53" s="442">
        <f t="shared" si="15"/>
        <v>1.326295718835337</v>
      </c>
      <c r="BH53" s="442">
        <f>VaveBetaz*AY53</f>
        <v>6.5034899769477619</v>
      </c>
      <c r="BI53" s="442"/>
      <c r="BJ53" s="442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>
        <f>AY53^2*VaveBetaz*VHl^2</f>
        <v>10.528181057307382</v>
      </c>
      <c r="CB53" s="57"/>
      <c r="CC53" s="57">
        <f>VaveBetax*VaveBetaz*VKl^2</f>
        <v>0</v>
      </c>
      <c r="CD53" s="57">
        <f>(VaveBetax*VKl)^2</f>
        <v>0</v>
      </c>
      <c r="CE53" s="57">
        <f>(VaveBetaz*VKl)^2</f>
        <v>0</v>
      </c>
      <c r="CF53" s="56">
        <f>-0.001*$E53*$K53</f>
        <v>0</v>
      </c>
      <c r="CG53" s="56">
        <f>$E53</f>
        <v>-2.5099100000000001</v>
      </c>
      <c r="CH53" s="57"/>
      <c r="CI53" s="60"/>
      <c r="CJ53" s="57"/>
      <c r="CK53" s="61">
        <v>1</v>
      </c>
      <c r="CL53" s="61">
        <v>0</v>
      </c>
      <c r="CM53" s="56">
        <f>-VKl</f>
        <v>0</v>
      </c>
      <c r="CN53" s="61">
        <v>1</v>
      </c>
      <c r="CO53" s="57"/>
      <c r="CP53" s="57"/>
      <c r="CQ53" s="57"/>
      <c r="CR53" s="61">
        <v>1</v>
      </c>
      <c r="CS53" s="61">
        <v>0</v>
      </c>
      <c r="CT53" s="61">
        <f>VKl</f>
        <v>0</v>
      </c>
      <c r="CU53" s="61">
        <v>1</v>
      </c>
      <c r="CV53" s="57"/>
      <c r="CW53" s="61">
        <f t="shared" si="88"/>
        <v>-0.65459907231815828</v>
      </c>
      <c r="CX53" s="61">
        <f t="shared" si="89"/>
        <v>7.4553171764767523</v>
      </c>
      <c r="CY53" s="61">
        <f t="shared" si="90"/>
        <v>-0.33183349964151665</v>
      </c>
      <c r="CZ53" s="61">
        <f t="shared" si="91"/>
        <v>2.2516438717032154</v>
      </c>
      <c r="DA53" s="57"/>
      <c r="DB53" s="61">
        <f t="shared" si="92"/>
        <v>0.76648782728866061</v>
      </c>
      <c r="DC53" s="61">
        <f t="shared" si="93"/>
        <v>7.7550080126598395</v>
      </c>
      <c r="DD53" s="61">
        <f t="shared" si="94"/>
        <v>-0.36676684515380342</v>
      </c>
      <c r="DE53" s="61">
        <f t="shared" si="95"/>
        <v>-2.4061436558876457</v>
      </c>
      <c r="DF53" s="61"/>
      <c r="DG53" s="57"/>
      <c r="DH53" s="57"/>
      <c r="DI53" s="57"/>
      <c r="DJ53" s="57"/>
      <c r="DK53" s="57"/>
      <c r="DL53" s="62"/>
      <c r="DM53" s="62"/>
      <c r="DN53" s="55">
        <f>-VaveBetax*VKl+2*VHl*$BC53</f>
        <v>-21.452961453534567</v>
      </c>
      <c r="DO53" s="55">
        <f>VaveBetaz*VKl-2*VHl*$BH53</f>
        <v>32.646349056081917</v>
      </c>
      <c r="DP53" s="430" t="str">
        <f>IMPRODUCT(1/8*V53*(-CM53+2*VHl*AD53),COMPLEX(COS(2*VmidMux),SIN(2*VmidMux)))</f>
        <v>-2.17120205688083+1.57383875509956i</v>
      </c>
      <c r="DQ53" s="430" t="str">
        <f>IMPRODUCT(-1/8*Z53*(-CM53+2*VHl*AD53),COMPLEX(COS(2*VmidMuz),SIN(2*VmidMuz)))</f>
        <v>-3.6025347063989+1.91692992992616i</v>
      </c>
      <c r="DR53" s="430" t="str">
        <f>IMPRODUCT(1/2*SQRT(V53)*AD53*(-CM53+2*VHl*AD53),COMPLEX(COS(Y53),SIN(Y53)))</f>
        <v>0.642949883426911-0.208517723167548i</v>
      </c>
      <c r="DS53" s="430" t="str">
        <f>IMPRODUCT(-1/8*VHl*V53^(3/2),COMPLEX(COS(Y53),SIN(Y53)))</f>
        <v>-20.2401872814068+6.56417844872893i</v>
      </c>
      <c r="DT53" s="430" t="str">
        <f>IMPRODUCT(-1/24*VHl*V53^(3/2),COMPLEX(COS(3*Y53),SIN(3*Y53)))</f>
        <v>-4.17839161172549+5.73123034827345i</v>
      </c>
      <c r="DU53" s="430" t="str">
        <f>IMPRODUCT(1/4*VHl*V53^(1/2)*Z53,COMPLEX(COS(Y53),SIN(Y53)))</f>
        <v>61.6015854389565-19.9782637346144i</v>
      </c>
      <c r="DV53" s="430" t="str">
        <f>IMPRODUCT(1/8*VHl*V53^(1/2)*Z53,COMPLEX(COS(Y53-2*AC53),SIN(Y53-2*AC53)))</f>
        <v>-31.8833546461025-5.65006939086309i</v>
      </c>
      <c r="DW53" s="430" t="str">
        <f>IMPRODUCT(1/8*VHl*V53^(1/2)*Z53,COMPLEX(COS(Y53+2*AC53),SIN(Y53+2*AC53)))</f>
        <v>-22.4986772636358+23.2869300037053i</v>
      </c>
      <c r="DX53" s="430"/>
      <c r="DY53" s="430"/>
      <c r="DZ53" s="430"/>
      <c r="EA53" s="430"/>
      <c r="EB53" s="57"/>
      <c r="EC53" s="57"/>
      <c r="ED53" s="57"/>
      <c r="EE53" s="58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W53" s="61" t="str">
        <f>IMPRODUCT(VKl*VaveBetax^(ABS(EW$5)/2)*VaveBetaz^(ABS(EW$6)/2),COMPLEX(COS(EW$5*VmidMux+EW$6*VmidMuz+EW$23*$R53),SIN(EW$5*VmidMux+EW$6*VmidMuz+EW$23*$R53)))</f>
        <v>0</v>
      </c>
      <c r="EX53" s="61" t="str">
        <f>IMPRODUCT(VKl*VaveBetax^(ABS(EX$5)/2)*VaveBetaz^(ABS(EX$6)/2),COMPLEX(COS(EX$5*VmidMux+EX$6*VmidMuz+EX$23*$R53),SIN(EX$5*VmidMux+EX$6*VmidMuz+EX$23*$R53)))</f>
        <v>0</v>
      </c>
      <c r="EY53" s="61" t="str">
        <f t="shared" ref="EY53:FA53" si="99">IMPRODUCT(VHl*VaveBetax^(ABS(EY$5)/2)*VaveBetaz^(ABS(EY$6)/2),COMPLEX(COS(EY$5*VmidMux+EY$6*VmidMuz+EY$23*$R53),SIN(EY$5*VmidMux+EY$6*VmidMuz+EY$23*$R53)))</f>
        <v>-160.763320726718+55.9587918211396i</v>
      </c>
      <c r="EZ53" s="61" t="str">
        <f t="shared" si="99"/>
        <v>83.5656042905314+245.191703339742i</v>
      </c>
      <c r="FA53" s="61" t="str">
        <f t="shared" si="99"/>
        <v>-91.6622502755148-242.281269357568i</v>
      </c>
      <c r="FB53" s="61"/>
    </row>
    <row r="54" spans="1:158" s="7" customFormat="1" ht="15.75" customHeight="1" outlineLevel="1">
      <c r="A54" s="31"/>
      <c r="B54" s="31"/>
      <c r="C54" s="37"/>
      <c r="D54" s="25" t="s">
        <v>567</v>
      </c>
      <c r="E54" s="395">
        <v>0.42019000000000001</v>
      </c>
      <c r="F54" s="396"/>
      <c r="G54" s="396"/>
      <c r="H54" s="396"/>
      <c r="I54" s="540"/>
      <c r="K54" s="396"/>
      <c r="L54" s="396"/>
      <c r="M54" s="396"/>
      <c r="N54" s="525"/>
      <c r="O54" s="36"/>
      <c r="P54" s="458"/>
      <c r="Q54" s="458"/>
      <c r="R54" s="101">
        <f>R53+Vlength</f>
        <v>12.183754597606303</v>
      </c>
      <c r="S54" s="101">
        <f>S53+U53*Vlength/SQRT(1+(U53)^2)</f>
        <v>-0.29650982467881465</v>
      </c>
      <c r="T54" s="101">
        <f>T53+Vlength/SQRT(1+(U53)^2)</f>
        <v>12.170563335541344</v>
      </c>
      <c r="U54" s="101">
        <f>U53</f>
        <v>-9.849143422908091E-2</v>
      </c>
      <c r="V54" s="112">
        <f t="shared" si="80"/>
        <v>24.151132886327296</v>
      </c>
      <c r="W54" s="112">
        <f t="shared" si="81"/>
        <v>-9.7916909368464378</v>
      </c>
      <c r="X54" s="112">
        <f t="shared" si="82"/>
        <v>4.0112905617593562</v>
      </c>
      <c r="Y54" s="112">
        <f t="shared" si="83"/>
        <v>2.8489491176267956</v>
      </c>
      <c r="Z54" s="112">
        <f t="shared" si="84"/>
        <v>18.964230979466009</v>
      </c>
      <c r="AA54" s="112">
        <f t="shared" si="85"/>
        <v>6.9953537766927774</v>
      </c>
      <c r="AB54" s="112">
        <f t="shared" si="86"/>
        <v>2.6331135976543543</v>
      </c>
      <c r="AC54" s="112">
        <f t="shared" si="87"/>
        <v>1.3454769630174657</v>
      </c>
      <c r="AD54" s="101">
        <f>AD53+AE53*$CL54</f>
        <v>0.30957699126436661</v>
      </c>
      <c r="AE54" s="112">
        <f>AE53</f>
        <v>0.12518663074374906</v>
      </c>
      <c r="AF54" s="238">
        <f>AF53</f>
        <v>3.9708306785324696E-3</v>
      </c>
      <c r="AG54" s="112">
        <f>AG53+AH53*$CL54</f>
        <v>0.41666227988835702</v>
      </c>
      <c r="AH54" s="112">
        <f>AH53</f>
        <v>0.1699385772112959</v>
      </c>
      <c r="AI54" s="112">
        <f>AI53+AJ53*$CL54</f>
        <v>0</v>
      </c>
      <c r="AJ54" s="112">
        <f>AJ53</f>
        <v>0</v>
      </c>
      <c r="AK54" s="112">
        <f>AK53+AL53*$CL54</f>
        <v>0</v>
      </c>
      <c r="AL54" s="112">
        <f>AL53</f>
        <v>0</v>
      </c>
      <c r="AM54" s="112">
        <f>AM53+AN53*$CS54</f>
        <v>0</v>
      </c>
      <c r="AN54" s="112">
        <f>AN53</f>
        <v>0</v>
      </c>
      <c r="AO54" s="112">
        <f>AO53+AP53*$CS54</f>
        <v>0</v>
      </c>
      <c r="AP54" s="112">
        <f>AP53</f>
        <v>0</v>
      </c>
      <c r="AQ54" s="101">
        <f t="shared" si="8"/>
        <v>0.44461299792149123</v>
      </c>
      <c r="AR54" s="101">
        <f t="shared" si="9"/>
        <v>2.6493550634285754E-2</v>
      </c>
      <c r="AS54" s="101">
        <f t="shared" si="10"/>
        <v>0.18042976415335349</v>
      </c>
      <c r="AT54" s="101">
        <f t="shared" si="11"/>
        <v>9.8720499839061934E-3</v>
      </c>
      <c r="AU54" s="101">
        <f t="shared" si="12"/>
        <v>79.865358146220018</v>
      </c>
      <c r="AV54" s="239">
        <f t="shared" si="74"/>
        <v>3.7012216628845733</v>
      </c>
      <c r="AW54" s="239">
        <f t="shared" si="74"/>
        <v>3.7012216628845733E-2</v>
      </c>
      <c r="AX54" s="239">
        <f t="shared" si="74"/>
        <v>1.0629909222129516E-3</v>
      </c>
      <c r="AY54" s="434">
        <f>0.5*(AD53+AD54)</f>
        <v>0.28327590607825864</v>
      </c>
      <c r="AZ54" s="356">
        <f>0.5*(AE53+AE54)</f>
        <v>0.12518663074374906</v>
      </c>
      <c r="BA54" s="425">
        <f>0.5*(V54+V53)-X53*Vlength*Vlength/6</f>
        <v>20.272839605532322</v>
      </c>
      <c r="BB54" s="356">
        <f t="shared" si="14"/>
        <v>2.8384651778220622</v>
      </c>
      <c r="BC54" s="434"/>
      <c r="BD54" s="434"/>
      <c r="BE54" s="434"/>
      <c r="BF54" s="425">
        <f>0.5*(Z54+Z53)-AB53*Vlength*Vlength/6</f>
        <v>22.05857587576515</v>
      </c>
      <c r="BG54" s="434">
        <f t="shared" si="15"/>
        <v>1.3358863409264012</v>
      </c>
      <c r="BH54" s="434"/>
      <c r="BI54" s="434"/>
      <c r="BJ54" s="434"/>
      <c r="BK54" s="239"/>
      <c r="BL54" s="239"/>
      <c r="BM54" s="239"/>
      <c r="BN54" s="239"/>
      <c r="BO54" s="239"/>
      <c r="BP54" s="239"/>
      <c r="BQ54" s="239"/>
      <c r="BR54" s="239"/>
      <c r="BS54" s="239"/>
      <c r="BT54" s="239"/>
      <c r="BU54" s="239"/>
      <c r="BV54" s="239"/>
      <c r="BW54" s="239"/>
      <c r="BX54" s="239"/>
      <c r="BY54" s="239"/>
      <c r="BZ54" s="239"/>
      <c r="CA54" s="239"/>
      <c r="CB54" s="239"/>
      <c r="CC54" s="239"/>
      <c r="CD54" s="239"/>
      <c r="CE54" s="239"/>
      <c r="CF54" s="101"/>
      <c r="CG54" s="101"/>
      <c r="CH54" s="112">
        <f>E54</f>
        <v>0.42019000000000001</v>
      </c>
      <c r="CI54" s="240"/>
      <c r="CJ54" s="112"/>
      <c r="CK54" s="30">
        <v>1</v>
      </c>
      <c r="CL54" s="30">
        <f>E54</f>
        <v>0.42019000000000001</v>
      </c>
      <c r="CM54" s="30">
        <v>0</v>
      </c>
      <c r="CN54" s="30">
        <v>1</v>
      </c>
      <c r="CO54" s="112"/>
      <c r="CP54" s="112"/>
      <c r="CQ54" s="112"/>
      <c r="CR54" s="30">
        <v>1</v>
      </c>
      <c r="CS54" s="30">
        <f>CL54</f>
        <v>0.42019000000000001</v>
      </c>
      <c r="CT54" s="30">
        <v>0</v>
      </c>
      <c r="CU54" s="30">
        <v>1</v>
      </c>
      <c r="CV54" s="112"/>
      <c r="CW54" s="30">
        <f t="shared" si="88"/>
        <v>-0.79403219053252716</v>
      </c>
      <c r="CX54" s="30">
        <f t="shared" si="89"/>
        <v>8.4014354149277271</v>
      </c>
      <c r="CY54" s="30">
        <f t="shared" si="90"/>
        <v>-0.33183349964151665</v>
      </c>
      <c r="CZ54" s="30">
        <f t="shared" si="91"/>
        <v>2.2516438717032154</v>
      </c>
      <c r="DA54" s="112"/>
      <c r="DB54" s="30">
        <f t="shared" si="92"/>
        <v>0.61237606662348398</v>
      </c>
      <c r="DC54" s="30">
        <f t="shared" si="93"/>
        <v>6.7439705098924101</v>
      </c>
      <c r="DD54" s="30">
        <f t="shared" si="94"/>
        <v>-0.36676684515380342</v>
      </c>
      <c r="DE54" s="30">
        <f t="shared" si="95"/>
        <v>-2.4061436558876457</v>
      </c>
      <c r="DF54" s="30">
        <f>AZ54^2*Vlength</f>
        <v>6.5850884787063708E-3</v>
      </c>
      <c r="DG54" s="112"/>
      <c r="DH54" s="112"/>
      <c r="DI54" s="112"/>
      <c r="DJ54" s="112"/>
      <c r="DK54" s="112"/>
      <c r="DL54" s="36"/>
      <c r="DM54" s="36"/>
      <c r="DN54" s="356"/>
      <c r="DO54" s="356"/>
      <c r="DP54" s="425"/>
      <c r="DQ54" s="425"/>
      <c r="DR54" s="425"/>
      <c r="DS54" s="425"/>
      <c r="DT54" s="425"/>
      <c r="DU54" s="425"/>
      <c r="DV54" s="425"/>
      <c r="DW54" s="425"/>
      <c r="DX54" s="425"/>
      <c r="DY54" s="425"/>
      <c r="DZ54" s="425"/>
      <c r="EA54" s="425"/>
      <c r="EB54" s="112">
        <f>E54*(1/AQ54+1/AQ53)/2</f>
        <v>1.0418766777520843</v>
      </c>
      <c r="EC54" s="112">
        <f>E54*(1/AR54+1/AR53)/2</f>
        <v>14.794642869023681</v>
      </c>
      <c r="ED54" s="112">
        <f>E54*(AS54+AS53)/2</f>
        <v>7.5814782599597605E-2</v>
      </c>
      <c r="EE54" s="238">
        <f>(X54*AD54*AD54+2*W54*AD54*AE54+V54*AE54*AE54)*CH54</f>
        <v>1.6685033428125431E-3</v>
      </c>
      <c r="EF54" s="112">
        <f>SQRT(VaveBetax/VaveBetaz*T_Coupling)</f>
        <v>9.5866871939432025E-2</v>
      </c>
      <c r="EG54" s="112">
        <f>IF(EF54&lt;=1,EF54^(0.021-0.044*LN(EF54)),EF54^(-0.021-0.044*LN(EF54)))/(VaveBetax*VaveBetaz)^(1/4)</f>
        <v>0.16252859534100417</v>
      </c>
      <c r="EH54" s="239">
        <f t="shared" ref="EH54:ET56" si="100">$EG54*Vlength/SQRT(1+EH$7*EH$7/EH$8*1000000000/Vlength*$EE54)</f>
        <v>3.7455417251630138E-2</v>
      </c>
      <c r="EI54" s="239" t="e">
        <f t="shared" si="100"/>
        <v>#DIV/0!</v>
      </c>
      <c r="EJ54" s="239" t="e">
        <f t="shared" si="100"/>
        <v>#DIV/0!</v>
      </c>
      <c r="EK54" s="239" t="e">
        <f t="shared" si="100"/>
        <v>#DIV/0!</v>
      </c>
      <c r="EL54" s="239" t="e">
        <f t="shared" si="100"/>
        <v>#DIV/0!</v>
      </c>
      <c r="EM54" s="239" t="e">
        <f t="shared" si="100"/>
        <v>#DIV/0!</v>
      </c>
      <c r="EN54" s="239" t="e">
        <f t="shared" si="100"/>
        <v>#DIV/0!</v>
      </c>
      <c r="EO54" s="239" t="e">
        <f t="shared" si="100"/>
        <v>#DIV/0!</v>
      </c>
      <c r="EP54" s="239" t="e">
        <f t="shared" si="100"/>
        <v>#DIV/0!</v>
      </c>
      <c r="EQ54" s="239" t="e">
        <f t="shared" si="100"/>
        <v>#DIV/0!</v>
      </c>
      <c r="ER54" s="239" t="e">
        <f t="shared" si="100"/>
        <v>#DIV/0!</v>
      </c>
      <c r="ES54" s="239" t="e">
        <f t="shared" si="100"/>
        <v>#DIV/0!</v>
      </c>
      <c r="ET54" s="239" t="e">
        <f t="shared" si="100"/>
        <v>#DIV/0!</v>
      </c>
      <c r="EU54" s="112">
        <f>Vlength*VaveBetaz</f>
        <v>9.2687929972377585</v>
      </c>
      <c r="EW54" s="30"/>
      <c r="EX54" s="30"/>
      <c r="EY54" s="30"/>
      <c r="EZ54" s="30"/>
      <c r="FA54" s="30"/>
      <c r="FB54" s="30"/>
    </row>
    <row r="55" spans="1:158" s="42" customFormat="1" ht="15.75" customHeight="1" outlineLevel="1">
      <c r="A55" s="39"/>
      <c r="B55" s="39"/>
      <c r="C55" s="40" t="s">
        <v>578</v>
      </c>
      <c r="D55" s="41" t="s">
        <v>670</v>
      </c>
      <c r="E55" s="392">
        <v>0.51961999999999997</v>
      </c>
      <c r="F55" s="393">
        <v>0.74956100000000003</v>
      </c>
      <c r="G55" s="392"/>
      <c r="H55" s="507"/>
      <c r="I55" s="541"/>
      <c r="J55" s="536"/>
      <c r="K55" s="394"/>
      <c r="L55" s="394"/>
      <c r="M55" s="507"/>
      <c r="N55" s="527"/>
      <c r="O55" s="429">
        <f>T_Energy/0.2998*F55</f>
        <v>15.101228952635092</v>
      </c>
      <c r="P55" s="459">
        <f>2*T_Energy/0.2998*G55</f>
        <v>0</v>
      </c>
      <c r="Q55" s="459">
        <f>O55*Vlength</f>
        <v>7.8469005883682454</v>
      </c>
      <c r="R55" s="44">
        <f>R54+Vlength</f>
        <v>12.703374597606302</v>
      </c>
      <c r="S55" s="44">
        <f>S54+U54*Vlength/SQRT(1+(U54)^2)</f>
        <v>-0.34744150694790527</v>
      </c>
      <c r="T55" s="44">
        <f>T54+Vlength/SQRT(1+(U54)^2)</f>
        <v>12.687681221657499</v>
      </c>
      <c r="U55" s="44">
        <f>U54</f>
        <v>-9.849143422908091E-2</v>
      </c>
      <c r="V55" s="45">
        <f t="shared" si="80"/>
        <v>29.453680278042739</v>
      </c>
      <c r="W55" s="45">
        <f t="shared" si="81"/>
        <v>0.28492257443572022</v>
      </c>
      <c r="X55" s="45">
        <f t="shared" si="82"/>
        <v>3.670783627773274E-2</v>
      </c>
      <c r="Y55" s="45">
        <f t="shared" si="83"/>
        <v>2.8677823017217601</v>
      </c>
      <c r="Z55" s="45">
        <f t="shared" si="84"/>
        <v>15.537349831988926</v>
      </c>
      <c r="AA55" s="45">
        <f t="shared" si="85"/>
        <v>3.8640655524075918E-2</v>
      </c>
      <c r="AB55" s="45">
        <f t="shared" si="86"/>
        <v>6.4457137870283107E-2</v>
      </c>
      <c r="AC55" s="45">
        <f t="shared" si="87"/>
        <v>1.3767847428571116</v>
      </c>
      <c r="AD55" s="44">
        <f>AD54*$CK55+AE54*$CL55</f>
        <v>0.34165228333280029</v>
      </c>
      <c r="AE55" s="45">
        <f>AD54*$CM55+AE54*$CN55</f>
        <v>-3.819112643110148E-3</v>
      </c>
      <c r="AF55" s="46">
        <f>AF54</f>
        <v>3.9708306785324696E-3</v>
      </c>
      <c r="AG55" s="45">
        <f>AG54*$CK55+AH54*$CL55</f>
        <v>0.4605603917134018</v>
      </c>
      <c r="AH55" s="45">
        <f>AG54*$CM55+AH54*$CN55</f>
        <v>-3.8354948093353713E-3</v>
      </c>
      <c r="AI55" s="45">
        <f>AI54*$CK55+AJ54*$CL55+0.001*(1-$CK55)*$K55</f>
        <v>0</v>
      </c>
      <c r="AJ55" s="45">
        <f>AI54*$CM55+AJ54*$CN55-0.001*$CM55*$K55</f>
        <v>0</v>
      </c>
      <c r="AK55" s="45">
        <f>AK54*$CK55+AL54*$CL55+0.001*(1-$CK55)*$K55</f>
        <v>0</v>
      </c>
      <c r="AL55" s="45">
        <f>AK54*$CM55+AL54*$CN55-0.001*$CM55*$K55</f>
        <v>0</v>
      </c>
      <c r="AM55" s="45">
        <f>AM54*$CR55+AN54*$CS55+0.001*(1-$CR55)*$L55</f>
        <v>0</v>
      </c>
      <c r="AN55" s="45">
        <f>AM54*$CT55+AN54*$CU55-0.001*$CT55*$L55</f>
        <v>0</v>
      </c>
      <c r="AO55" s="45">
        <f>AO54*$CR55+AP54*$CS55+0.001*(1-$CR55)*$L55</f>
        <v>0</v>
      </c>
      <c r="AP55" s="45">
        <f>AO54*$CT55+AP54*$CU55-0.001*$CT55*$L55</f>
        <v>0</v>
      </c>
      <c r="AQ55" s="44">
        <f t="shared" si="8"/>
        <v>0.4908252516992711</v>
      </c>
      <c r="AR55" s="44">
        <f t="shared" si="9"/>
        <v>2.3980653823858389E-2</v>
      </c>
      <c r="AS55" s="44">
        <f t="shared" si="10"/>
        <v>1.2342805894227872E-2</v>
      </c>
      <c r="AT55" s="44">
        <f t="shared" si="11"/>
        <v>1.5445716396885883E-3</v>
      </c>
      <c r="AU55" s="44">
        <f t="shared" si="12"/>
        <v>6.0435978486806325</v>
      </c>
      <c r="AV55" s="47">
        <f t="shared" si="74"/>
        <v>3.7012216628845733</v>
      </c>
      <c r="AW55" s="47">
        <f t="shared" si="74"/>
        <v>3.7012216628845733E-2</v>
      </c>
      <c r="AX55" s="47">
        <f t="shared" si="74"/>
        <v>1.0629909222129516E-3</v>
      </c>
      <c r="AY55" s="43">
        <f>IF(VKl=0,0.5*(AD54+AD55),(AE55-AE54)/CJ55/Vlength)</f>
        <v>0.33121973486742512</v>
      </c>
      <c r="AZ55" s="43">
        <f>IF(VKl=0,AE55,(AD55-AD54)/Vlength)</f>
        <v>6.1728363166224709E-2</v>
      </c>
      <c r="BA55" s="429">
        <f>IF($CJ55=0,0.5*(V55+V54)-X54*Vlength*Vlength/6,-0.5*(($X55-$CJ55*$V55)*Vlength+($W55-$W54))/$CJ55/Vlength)</f>
        <v>27.687080879853397</v>
      </c>
      <c r="BB55" s="428">
        <f t="shared" si="14"/>
        <v>2.8583657096742776</v>
      </c>
      <c r="BC55" s="43">
        <f>IF(CJ55=0,AY55*BA55-(2*W54-X54*Vlength)*AE54*Vlength*Vlength/12,-(2*(X55-CJ55*V55)*AY55+(2*W55*AD55+V55*AE55-2*W54*AD54-V54*AE54)/Vlength)/3/CJ55)</f>
        <v>9.1859239378972202</v>
      </c>
      <c r="BD55" s="43"/>
      <c r="BE55" s="43"/>
      <c r="BF55" s="429">
        <f>IF($CQ55=0,0.5*(Z55+Z54)-AB54*Vlength*Vlength/6,-0.5*(($AB55-$CQ55*$Z55)*Vlength+$AA55-$AA54)/$CQ55/Vlength)</f>
        <v>16.656291081603765</v>
      </c>
      <c r="BG55" s="43">
        <f t="shared" si="15"/>
        <v>1.3611308529372885</v>
      </c>
      <c r="BH55" s="43">
        <f>IF(CQ55=0,AY55*BF55-(2*AA54-AB54*Vlength)*AE54*Vlength*Vlength/12,-(2*(AB55-CQ55*Z55)*AY55+(2*AA55*AD55+Z55*AE55-2*AA54*AD54-Z54*AE54)/Vlength)/5/CQ55)</f>
        <v>5.5071596748674869</v>
      </c>
      <c r="BI55" s="43"/>
      <c r="BJ55" s="43"/>
      <c r="BK55" s="47"/>
      <c r="BL55" s="47"/>
      <c r="BM55" s="47"/>
      <c r="BN55" s="47"/>
      <c r="BO55" s="47"/>
      <c r="BP55" s="47">
        <f>VaveBetax*BR55</f>
        <v>116.28937054186812</v>
      </c>
      <c r="BQ55" s="47">
        <f>VaveBetaz*BS55</f>
        <v>42.086449056113572</v>
      </c>
      <c r="BR55" s="47">
        <f>VaveBetax*VKl^2</f>
        <v>4.2001311386527025</v>
      </c>
      <c r="BS55" s="47">
        <f>VaveBetaz*VKl^2</f>
        <v>2.5267599401283545</v>
      </c>
      <c r="BT55" s="47">
        <f>BS55*AY55^2</f>
        <v>0.27720202162741775</v>
      </c>
      <c r="BU55" s="47">
        <f>(CJ55*(V55-V54))^2</f>
        <v>15.797307841696895</v>
      </c>
      <c r="BV55" s="47">
        <f>(CQ55*(Z55-Z54))^2</f>
        <v>6.5979960083904308</v>
      </c>
      <c r="BW55" s="47">
        <f>1/VaveBetax*(CJ55*Vlength^3)^2</f>
        <v>3.9944036133667909E-4</v>
      </c>
      <c r="BX55" s="47">
        <f>1/VaveBetaz*(CQ55*Vlength^3)^2</f>
        <v>6.6397360233582336E-4</v>
      </c>
      <c r="BY55" s="47">
        <f>(CJ55*VaveBetax*(Y55-Y54))^2</f>
        <v>0.15276216542836898</v>
      </c>
      <c r="BZ55" s="47">
        <f>(CQ55*VaveBetaz*(AC55-AC54))^2</f>
        <v>0.15278302688646825</v>
      </c>
      <c r="CA55" s="45">
        <f>AY55^2*VaveBetaz*VHl^2</f>
        <v>0</v>
      </c>
      <c r="CB55" s="47">
        <f>VaveBetax*BS55</f>
        <v>69.958606826307275</v>
      </c>
      <c r="CC55" s="45">
        <f>VaveBetax*VaveBetaz*VHl^2</f>
        <v>0</v>
      </c>
      <c r="CD55" s="45">
        <f>(VaveBetax*VHl)^2</f>
        <v>0</v>
      </c>
      <c r="CE55" s="45">
        <f>(VaveBetaz*VHl)^2</f>
        <v>0</v>
      </c>
      <c r="CF55" s="44">
        <f>$CQ55*Vlength</f>
        <v>0.38948688681999999</v>
      </c>
      <c r="CG55" s="44">
        <f>$G55*Vlength</f>
        <v>0</v>
      </c>
      <c r="CH55" s="45">
        <f>$E55</f>
        <v>0.51961999999999997</v>
      </c>
      <c r="CI55" s="48"/>
      <c r="CJ55" s="49">
        <f>-$CQ55</f>
        <v>-0.74956100000000003</v>
      </c>
      <c r="CK55" s="49">
        <f>IF(CJ55=0,1,IF(CJ55&gt;0,COSH(Vlength*SQRT(CJ55)),COS(Vlength*SQRT(-CJ55))))</f>
        <v>0.90050259669787924</v>
      </c>
      <c r="CL55" s="49">
        <f>IF(CJ55=0,Vlength,IF(CJ55&gt;0,SINH(Vlength*SQRT(CJ55))/SQRT(CJ55),SIN(Vlength*SQRT(-CJ55))/SQRT(-CJ55)))</f>
        <v>0.50226927945707289</v>
      </c>
      <c r="CM55" s="49">
        <f>CL55*CJ55</f>
        <v>-0.37648146337912303</v>
      </c>
      <c r="CN55" s="49">
        <f>CK55</f>
        <v>0.90050259669787924</v>
      </c>
      <c r="CO55" s="45"/>
      <c r="CP55" s="45"/>
      <c r="CQ55" s="49">
        <f>$F55-0.001*$G55*$K55</f>
        <v>0.74956100000000003</v>
      </c>
      <c r="CR55" s="49">
        <f>IF(CQ55=0,1,IF(CQ55&gt;0,COSH(Vlength*SQRT(CQ55)),COS(Vlength*SQRT(-CQ55))))</f>
        <v>1.1029107998148255</v>
      </c>
      <c r="CS55" s="49">
        <f>IF(CQ55=0,Vlength,IF(CQ55&gt;0,SINH(Vlength*SQRT(CQ55))/SQRT(CQ55),SIN(Vlength*SQRT(-CQ55))/SQRT(-CQ55)))</f>
        <v>0.53732545051832314</v>
      </c>
      <c r="CT55" s="49">
        <f>CS55*CQ55</f>
        <v>0.40275820201596485</v>
      </c>
      <c r="CU55" s="49">
        <f>CR55</f>
        <v>1.1029107998148255</v>
      </c>
      <c r="CV55" s="45"/>
      <c r="CW55" s="49">
        <f t="shared" si="88"/>
        <v>-0.88169782220090931</v>
      </c>
      <c r="CX55" s="49">
        <f t="shared" si="89"/>
        <v>8.6964459521662505</v>
      </c>
      <c r="CY55" s="49">
        <f t="shared" si="90"/>
        <v>1.2147296328596235E-4</v>
      </c>
      <c r="CZ55" s="49">
        <f t="shared" si="91"/>
        <v>-1.1353735461895686</v>
      </c>
      <c r="DA55" s="45"/>
      <c r="DB55" s="49">
        <f t="shared" si="92"/>
        <v>0.47832301711971215</v>
      </c>
      <c r="DC55" s="49">
        <f t="shared" si="93"/>
        <v>6.1451156850814002</v>
      </c>
      <c r="DD55" s="49">
        <f t="shared" si="94"/>
        <v>-0.15787163098325852</v>
      </c>
      <c r="DE55" s="49">
        <f t="shared" si="95"/>
        <v>6.242761302854527E-2</v>
      </c>
      <c r="DF55" s="49">
        <f>AZ55^2*Vlength</f>
        <v>1.9799552774630012E-3</v>
      </c>
      <c r="DG55" s="45"/>
      <c r="DH55" s="45"/>
      <c r="DI55" s="45"/>
      <c r="DJ55" s="45"/>
      <c r="DK55" s="45"/>
      <c r="DL55" s="50"/>
      <c r="DM55" s="50"/>
      <c r="DN55" s="428">
        <f>-VKl*VaveBetax+2*VHl*$BC55</f>
        <v>-10.783754937027647</v>
      </c>
      <c r="DO55" s="428">
        <f>VaveBetaz*VKl-2*VHl*$BH55</f>
        <v>6.4874069593415804</v>
      </c>
      <c r="DP55" s="43" t="str">
        <f>IMPRODUCT(-1/8*(VaveBetax*VKl-2*$BC55*VHl),COMPLEX(COS(2*VmidMux),SIN(2*VmidMux)))</f>
        <v>-1.13742905239972+0.723378576869515i</v>
      </c>
      <c r="DQ55" s="429" t="str">
        <f>IMPRODUCT(1/8*(VaveBetaz*VKl-2*BH55*VHl),COMPLEX(COS(2*VmidMuz),SIN(2*VmidMuz)))</f>
        <v>-0.740668508665135+0.33016802809106i</v>
      </c>
      <c r="DR55" s="429" t="str">
        <f>IMPRODUCT(-1/2*SQRT(VaveBetax)*(VKl-2*VHl*$AY55)*AY55,COMPLEX(COS(VmidMux),SIN(VmidMux)))</f>
        <v>0.325882196119223-0.0948484546395534i</v>
      </c>
      <c r="DS55" s="429" t="str">
        <f>IMPRODUCT(-1/8*VHl*VaveBetax^(3/2),COMPLEX(COS(VmidMux),SIN(VmidMux)))</f>
        <v>0</v>
      </c>
      <c r="DT55" s="429" t="str">
        <f>IMPRODUCT(-1/24*VHl*VaveBetax^(3/2),COMPLEX(COS(3*VmidMux),SIN(3*VmidMux)))</f>
        <v>0</v>
      </c>
      <c r="DU55" s="429" t="str">
        <f>IMPRODUCT(1/4*VHl*VaveBetax^(1/2)*VaveBetaz,COMPLEX(COS(VmidMux),SIN(VmidMux)))</f>
        <v>0</v>
      </c>
      <c r="DV55" s="429" t="str">
        <f>IMPRODUCT(1/8*VHl*VaveBetax^(1/2)*VaveBetaz,COMPLEX(COS(VmidMux-2*VmidMuz),SIN(VmidMux-2*VmidMuz)))</f>
        <v>0</v>
      </c>
      <c r="DW55" s="429" t="str">
        <f>IMPRODUCT(1/8*VHl*VaveBetax^(1/2)*VaveBetaz,COMPLEX(COS(VmidMux+2*VmidMuz),SIN(VmidMux+2*VmidMuz)))</f>
        <v>0</v>
      </c>
      <c r="DX55" s="429">
        <f>VaveBetax^2*F55^2*E55/8/PI()/2</f>
        <v>4.4522988315459742</v>
      </c>
      <c r="DY55" s="429">
        <f>2*VaveBetax*VaveBetaz*F55^2*E55/8/PI()</f>
        <v>10.713846742070375</v>
      </c>
      <c r="DZ55" s="429">
        <f>VaveBetaz^2*F55^2*E55/8/PI()</f>
        <v>3.2226754187991751</v>
      </c>
      <c r="EA55" s="429">
        <f>ABS(F55)</f>
        <v>0.74956100000000003</v>
      </c>
      <c r="EB55" s="45">
        <f>E55*(1/AQ55+1/AQ54)/2</f>
        <v>1.1136838816326218</v>
      </c>
      <c r="EC55" s="45">
        <f>E55*(1/AR55+1/AR54)/2</f>
        <v>20.640687556821401</v>
      </c>
      <c r="ED55" s="45">
        <f>E55*(AS55+AS54)/2</f>
        <v>5.0084241424062113E-2</v>
      </c>
      <c r="EE55" s="46">
        <f>(X55*AD55*AD55+2*W55*AD55*AE55+V55*AE55*AE55)*CH55</f>
        <v>2.0633230371790421E-3</v>
      </c>
      <c r="EF55" s="45">
        <f>SQRT(VaveBetax/VaveBetaz*T_Coupling)</f>
        <v>0.1289286495619181</v>
      </c>
      <c r="EG55" s="45">
        <f>IF(EF55&lt;=1,EF55^(0.021-0.044*LN(EF55)),EF55^(-0.021-0.044*LN(EF55)))/(VaveBetax*VaveBetaz)^(1/4)</f>
        <v>0.17185645837085645</v>
      </c>
      <c r="EH55" s="47">
        <f t="shared" si="100"/>
        <v>4.897685130300744E-2</v>
      </c>
      <c r="EI55" s="47" t="e">
        <f t="shared" si="100"/>
        <v>#DIV/0!</v>
      </c>
      <c r="EJ55" s="47" t="e">
        <f t="shared" si="100"/>
        <v>#DIV/0!</v>
      </c>
      <c r="EK55" s="47" t="e">
        <f t="shared" si="100"/>
        <v>#DIV/0!</v>
      </c>
      <c r="EL55" s="47" t="e">
        <f t="shared" si="100"/>
        <v>#DIV/0!</v>
      </c>
      <c r="EM55" s="47" t="e">
        <f t="shared" si="100"/>
        <v>#DIV/0!</v>
      </c>
      <c r="EN55" s="47" t="e">
        <f t="shared" si="100"/>
        <v>#DIV/0!</v>
      </c>
      <c r="EO55" s="47" t="e">
        <f t="shared" si="100"/>
        <v>#DIV/0!</v>
      </c>
      <c r="EP55" s="47" t="e">
        <f t="shared" si="100"/>
        <v>#DIV/0!</v>
      </c>
      <c r="EQ55" s="47" t="e">
        <f t="shared" si="100"/>
        <v>#DIV/0!</v>
      </c>
      <c r="ER55" s="47" t="e">
        <f t="shared" si="100"/>
        <v>#DIV/0!</v>
      </c>
      <c r="ES55" s="47" t="e">
        <f t="shared" si="100"/>
        <v>#DIV/0!</v>
      </c>
      <c r="ET55" s="47" t="e">
        <f t="shared" si="100"/>
        <v>#DIV/0!</v>
      </c>
      <c r="EU55" s="45">
        <f>Vlength*VaveBetaz</f>
        <v>8.6549419718229483</v>
      </c>
      <c r="EW55" s="49" t="str">
        <f>IMPRODUCT(VKl*VaveBetax^(ABS(EW$5)/2)*VaveBetaz^(ABS(EW$6)/2),COMPLEX(COS(EW$5*VmidMux+EW$6*VmidMuz+EW$23*$R55),SIN(EW$5*VmidMux+EW$6*VmidMuz+EW$23*$R55)))</f>
        <v>-6.44540657357806+0.737009604679856i</v>
      </c>
      <c r="EX55" s="49" t="str">
        <f>IMPRODUCT(VKl*VaveBetax^(ABS(EX$5)/2)*VaveBetaz^(ABS(EX$6)/2),COMPLEX(COS(EX$5*VmidMux+EX$6*VmidMuz+EX$23*$R55),SIN(EX$5*VmidMux+EX$6*VmidMuz+EX$23*$R55)))</f>
        <v>10.728798580709+1.08731391807723i</v>
      </c>
      <c r="EY55" s="49" t="str">
        <f>IMPRODUCT(VHl*VaveBetax^(ABS(EY$5)/2)*VaveBetaz^(ABS(EY$6)/2),COMPLEX(COS(EY$5*VmidMux+EY$6*VmidMuz+EY$23*$R55),SIN(EY$5*VmidMux+EY$6*VmidMuz+EY$23*$R55)))</f>
        <v>0</v>
      </c>
      <c r="EZ55" s="49" t="str">
        <f>IMPRODUCT(VHl*VaveBetax^(ABS(EZ$5)/2)*VaveBetaz^(ABS(EZ$6)/2),COMPLEX(COS(EZ$5*VmidMux+EZ$6*VmidMuz+EZ$23*$R55),SIN(EZ$5*VmidMux+EZ$6*VmidMuz+EZ$23*$R55)))</f>
        <v>0</v>
      </c>
      <c r="FA55" s="49" t="str">
        <f>IMPRODUCT(VHl*VaveBetax^(ABS(FA$5)/2)*VaveBetaz^(ABS(FA$6)/2),COMPLEX(COS(FA$5*VmidMux+FA$6*VmidMuz+FA$23*$R55),SIN(FA$5*VmidMux+FA$6*VmidMuz+FA$23*$R55)))</f>
        <v>0</v>
      </c>
      <c r="FB55" s="49"/>
    </row>
    <row r="56" spans="1:158" s="7" customFormat="1" ht="15.75" customHeight="1" outlineLevel="1">
      <c r="A56" s="31"/>
      <c r="B56" s="31"/>
      <c r="C56" s="37"/>
      <c r="D56" s="25" t="s">
        <v>567</v>
      </c>
      <c r="E56" s="395">
        <v>0.10718999999999999</v>
      </c>
      <c r="F56" s="396"/>
      <c r="G56" s="396"/>
      <c r="H56" s="396"/>
      <c r="I56" s="540"/>
      <c r="K56" s="396"/>
      <c r="L56" s="396"/>
      <c r="M56" s="396"/>
      <c r="N56" s="525"/>
      <c r="O56" s="36"/>
      <c r="P56" s="458"/>
      <c r="Q56" s="458"/>
      <c r="R56" s="101">
        <f>R55+Vlength</f>
        <v>12.810564597606302</v>
      </c>
      <c r="S56" s="101">
        <f>S55+U55*Vlength/SQRT(1+(U55)^2)</f>
        <v>-0.35794796748141788</v>
      </c>
      <c r="T56" s="101">
        <f>T55+Vlength/SQRT(1+(U55)^2)</f>
        <v>12.794355072188253</v>
      </c>
      <c r="U56" s="101">
        <f>U55</f>
        <v>-9.849143422908091E-2</v>
      </c>
      <c r="V56" s="112">
        <f t="shared" si="80"/>
        <v>29.39302033841853</v>
      </c>
      <c r="W56" s="112">
        <f t="shared" si="81"/>
        <v>0.28098786146511007</v>
      </c>
      <c r="X56" s="112">
        <f t="shared" si="82"/>
        <v>3.670783627773274E-2</v>
      </c>
      <c r="Y56" s="112">
        <f t="shared" si="83"/>
        <v>2.8714253366897484</v>
      </c>
      <c r="Z56" s="112">
        <f t="shared" si="84"/>
        <v>15.529806641183281</v>
      </c>
      <c r="AA56" s="112">
        <f t="shared" si="85"/>
        <v>3.1731494915760272E-2</v>
      </c>
      <c r="AB56" s="112">
        <f t="shared" si="86"/>
        <v>6.4457137870283107E-2</v>
      </c>
      <c r="AC56" s="112">
        <f t="shared" si="87"/>
        <v>1.3836853328068233</v>
      </c>
      <c r="AD56" s="101">
        <f>AD55+AE55*$CL56</f>
        <v>0.34124291264858531</v>
      </c>
      <c r="AE56" s="112">
        <f>AE55</f>
        <v>-3.819112643110148E-3</v>
      </c>
      <c r="AF56" s="238">
        <f>AF55</f>
        <v>3.9708306785324696E-3</v>
      </c>
      <c r="AG56" s="112">
        <f>AG55+AH55*$CL56</f>
        <v>0.46014926502478914</v>
      </c>
      <c r="AH56" s="112">
        <f>AH55</f>
        <v>-3.8354948093353713E-3</v>
      </c>
      <c r="AI56" s="112">
        <f>AI55+AJ55*$CL56</f>
        <v>0</v>
      </c>
      <c r="AJ56" s="112">
        <f>AJ55</f>
        <v>0</v>
      </c>
      <c r="AK56" s="112">
        <f>AK55+AL55*$CL56</f>
        <v>0</v>
      </c>
      <c r="AL56" s="112">
        <f>AL55</f>
        <v>0</v>
      </c>
      <c r="AM56" s="112">
        <f>AM55+AN55*$CS56</f>
        <v>0</v>
      </c>
      <c r="AN56" s="112">
        <f>AN55</f>
        <v>0</v>
      </c>
      <c r="AO56" s="112">
        <f>AO55+AP55*$CS56</f>
        <v>0</v>
      </c>
      <c r="AP56" s="112">
        <f>AP55</f>
        <v>0</v>
      </c>
      <c r="AQ56" s="101">
        <f t="shared" si="8"/>
        <v>0.49027443964108741</v>
      </c>
      <c r="AR56" s="101">
        <f t="shared" si="9"/>
        <v>2.3974831962029739E-2</v>
      </c>
      <c r="AS56" s="101">
        <f t="shared" si="10"/>
        <v>1.2342805894227872E-2</v>
      </c>
      <c r="AT56" s="101">
        <f t="shared" si="11"/>
        <v>1.5445716396885883E-3</v>
      </c>
      <c r="AU56" s="101">
        <f t="shared" si="12"/>
        <v>6.0358793542928755</v>
      </c>
      <c r="AV56" s="239">
        <f t="shared" si="74"/>
        <v>3.7012216628845733</v>
      </c>
      <c r="AW56" s="239">
        <f t="shared" si="74"/>
        <v>3.7012216628845733E-2</v>
      </c>
      <c r="AX56" s="239">
        <f t="shared" si="74"/>
        <v>1.0629909222129516E-3</v>
      </c>
      <c r="AY56" s="434">
        <f>0.5*(AD55+AD56)</f>
        <v>0.3414475979906928</v>
      </c>
      <c r="AZ56" s="356">
        <f>0.5*(AE55+AE56)</f>
        <v>-3.819112643110148E-3</v>
      </c>
      <c r="BA56" s="425">
        <f>0.5*(V56+V55)-X55*Vlength*Vlength/6</f>
        <v>29.423280014583415</v>
      </c>
      <c r="BB56" s="356">
        <f t="shared" si="14"/>
        <v>2.8696038192057545</v>
      </c>
      <c r="BC56" s="434"/>
      <c r="BD56" s="434"/>
      <c r="BE56" s="434"/>
      <c r="BF56" s="425">
        <f>0.5*(Z56+Z55)-AB55*Vlength*Vlength/6</f>
        <v>15.533454804431836</v>
      </c>
      <c r="BG56" s="434">
        <f t="shared" si="15"/>
        <v>1.3802350378319674</v>
      </c>
      <c r="BH56" s="434"/>
      <c r="BI56" s="434"/>
      <c r="BJ56" s="434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39"/>
      <c r="CB56" s="239"/>
      <c r="CC56" s="239"/>
      <c r="CD56" s="239"/>
      <c r="CE56" s="239"/>
      <c r="CF56" s="101"/>
      <c r="CG56" s="101"/>
      <c r="CH56" s="112">
        <f>E56</f>
        <v>0.10718999999999999</v>
      </c>
      <c r="CI56" s="240"/>
      <c r="CJ56" s="112"/>
      <c r="CK56" s="30">
        <v>1</v>
      </c>
      <c r="CL56" s="30">
        <f>E56</f>
        <v>0.10718999999999999</v>
      </c>
      <c r="CM56" s="30">
        <v>0</v>
      </c>
      <c r="CN56" s="30">
        <v>1</v>
      </c>
      <c r="CO56" s="112"/>
      <c r="CP56" s="112"/>
      <c r="CQ56" s="112"/>
      <c r="CR56" s="30">
        <v>1</v>
      </c>
      <c r="CS56" s="30">
        <f>CL56</f>
        <v>0.10718999999999999</v>
      </c>
      <c r="CT56" s="30">
        <v>0</v>
      </c>
      <c r="CU56" s="30">
        <v>1</v>
      </c>
      <c r="CV56" s="112"/>
      <c r="CW56" s="30">
        <f t="shared" si="88"/>
        <v>-0.88168480151397466</v>
      </c>
      <c r="CX56" s="30">
        <f t="shared" si="89"/>
        <v>8.5747452617501914</v>
      </c>
      <c r="CY56" s="30">
        <f t="shared" si="90"/>
        <v>1.2147296328596235E-4</v>
      </c>
      <c r="CZ56" s="30">
        <f t="shared" si="91"/>
        <v>-1.1353735461895686</v>
      </c>
      <c r="DA56" s="112"/>
      <c r="DB56" s="30">
        <f t="shared" si="92"/>
        <v>0.46140075699461669</v>
      </c>
      <c r="DC56" s="30">
        <f t="shared" si="93"/>
        <v>6.1518073009219298</v>
      </c>
      <c r="DD56" s="30">
        <f t="shared" si="94"/>
        <v>-0.15787163098325852</v>
      </c>
      <c r="DE56" s="30">
        <f t="shared" si="95"/>
        <v>6.242761302854527E-2</v>
      </c>
      <c r="DF56" s="30">
        <f>AZ56^2*Vlength</f>
        <v>1.5634327558040696E-6</v>
      </c>
      <c r="DG56" s="112"/>
      <c r="DH56" s="112"/>
      <c r="DI56" s="112"/>
      <c r="DJ56" s="112"/>
      <c r="DK56" s="112"/>
      <c r="DL56" s="36"/>
      <c r="DM56" s="36"/>
      <c r="DN56" s="356"/>
      <c r="DO56" s="356"/>
      <c r="DP56" s="425"/>
      <c r="DQ56" s="425"/>
      <c r="DR56" s="425"/>
      <c r="DS56" s="425"/>
      <c r="DT56" s="425"/>
      <c r="DU56" s="425"/>
      <c r="DV56" s="425"/>
      <c r="DW56" s="425"/>
      <c r="DX56" s="425"/>
      <c r="DY56" s="425"/>
      <c r="DZ56" s="425"/>
      <c r="EA56" s="425"/>
      <c r="EB56" s="112">
        <f>E56*(1/AQ56+1/AQ55)/2</f>
        <v>0.21850997351639456</v>
      </c>
      <c r="EC56" s="112">
        <f>E56*(1/AR56+1/AR55)/2</f>
        <v>4.4703958190885649</v>
      </c>
      <c r="ED56" s="112">
        <f>E56*(AS56+AS55)/2</f>
        <v>1.3230253638022856E-3</v>
      </c>
      <c r="EE56" s="238">
        <f>(X56*AD56*AD56+2*W56*AD56*AE56+V56*AE56*AE56)*CH56</f>
        <v>4.2563334043189548E-4</v>
      </c>
      <c r="EF56" s="112">
        <f>SQRT(VaveBetax/VaveBetaz*T_Coupling)</f>
        <v>0.13762949405723954</v>
      </c>
      <c r="EG56" s="112">
        <f>IF(EF56&lt;=1,EF56^(0.021-0.044*LN(EF56)),EF56^(-0.021-0.044*LN(EF56)))/(VaveBetax*VaveBetaz)^(1/4)</f>
        <v>0.17448850090400134</v>
      </c>
      <c r="EH56" s="239">
        <f t="shared" si="100"/>
        <v>1.025794172109229E-2</v>
      </c>
      <c r="EI56" s="239" t="e">
        <f t="shared" si="100"/>
        <v>#DIV/0!</v>
      </c>
      <c r="EJ56" s="239" t="e">
        <f t="shared" si="100"/>
        <v>#DIV/0!</v>
      </c>
      <c r="EK56" s="239" t="e">
        <f t="shared" si="100"/>
        <v>#DIV/0!</v>
      </c>
      <c r="EL56" s="239" t="e">
        <f t="shared" si="100"/>
        <v>#DIV/0!</v>
      </c>
      <c r="EM56" s="239" t="e">
        <f t="shared" si="100"/>
        <v>#DIV/0!</v>
      </c>
      <c r="EN56" s="239" t="e">
        <f t="shared" si="100"/>
        <v>#DIV/0!</v>
      </c>
      <c r="EO56" s="239" t="e">
        <f t="shared" si="100"/>
        <v>#DIV/0!</v>
      </c>
      <c r="EP56" s="239" t="e">
        <f t="shared" si="100"/>
        <v>#DIV/0!</v>
      </c>
      <c r="EQ56" s="239" t="e">
        <f t="shared" si="100"/>
        <v>#DIV/0!</v>
      </c>
      <c r="ER56" s="239" t="e">
        <f t="shared" si="100"/>
        <v>#DIV/0!</v>
      </c>
      <c r="ES56" s="239" t="e">
        <f t="shared" si="100"/>
        <v>#DIV/0!</v>
      </c>
      <c r="ET56" s="239" t="e">
        <f t="shared" si="100"/>
        <v>#DIV/0!</v>
      </c>
      <c r="EU56" s="112">
        <f>Vlength*VaveBetaz</f>
        <v>1.6650310204870484</v>
      </c>
      <c r="EW56" s="30"/>
      <c r="EX56" s="30"/>
      <c r="EY56" s="30"/>
      <c r="EZ56" s="30"/>
      <c r="FA56" s="30"/>
      <c r="FB56" s="30"/>
    </row>
    <row r="57" spans="1:158" s="129" customFormat="1" ht="15.75" customHeight="1" outlineLevel="1">
      <c r="A57" s="119"/>
      <c r="B57" s="119"/>
      <c r="C57" s="120"/>
      <c r="D57" s="121" t="s">
        <v>729</v>
      </c>
      <c r="E57" s="521"/>
      <c r="F57" s="400"/>
      <c r="G57" s="400"/>
      <c r="H57" s="400"/>
      <c r="I57" s="511"/>
      <c r="J57" s="400"/>
      <c r="K57" s="400"/>
      <c r="L57" s="400"/>
      <c r="M57" s="512"/>
      <c r="N57" s="526"/>
      <c r="O57" s="128"/>
      <c r="P57" s="457"/>
      <c r="Q57" s="457"/>
      <c r="R57" s="122">
        <f t="shared" ref="R57:AE57" si="101">R56</f>
        <v>12.810564597606302</v>
      </c>
      <c r="S57" s="122">
        <f t="shared" si="101"/>
        <v>-0.35794796748141788</v>
      </c>
      <c r="T57" s="122">
        <f t="shared" si="101"/>
        <v>12.794355072188253</v>
      </c>
      <c r="U57" s="122">
        <f t="shared" si="101"/>
        <v>-9.849143422908091E-2</v>
      </c>
      <c r="V57" s="123">
        <f t="shared" si="101"/>
        <v>29.39302033841853</v>
      </c>
      <c r="W57" s="123">
        <f t="shared" si="101"/>
        <v>0.28098786146511007</v>
      </c>
      <c r="X57" s="123">
        <f t="shared" si="101"/>
        <v>3.670783627773274E-2</v>
      </c>
      <c r="Y57" s="123">
        <f t="shared" si="101"/>
        <v>2.8714253366897484</v>
      </c>
      <c r="Z57" s="123">
        <f t="shared" si="101"/>
        <v>15.529806641183281</v>
      </c>
      <c r="AA57" s="123">
        <f t="shared" si="101"/>
        <v>3.1731494915760272E-2</v>
      </c>
      <c r="AB57" s="123">
        <f t="shared" si="101"/>
        <v>6.4457137870283107E-2</v>
      </c>
      <c r="AC57" s="123">
        <f t="shared" si="101"/>
        <v>1.3836853328068233</v>
      </c>
      <c r="AD57" s="123">
        <f t="shared" si="101"/>
        <v>0.34124291264858531</v>
      </c>
      <c r="AE57" s="123">
        <f t="shared" si="101"/>
        <v>-3.819112643110148E-3</v>
      </c>
      <c r="AF57" s="124">
        <f>AF56</f>
        <v>3.9708306785324696E-3</v>
      </c>
      <c r="AG57" s="123">
        <f t="shared" ref="AG57:AP57" si="102">AG56</f>
        <v>0.46014926502478914</v>
      </c>
      <c r="AH57" s="123">
        <f t="shared" si="102"/>
        <v>-3.8354948093353713E-3</v>
      </c>
      <c r="AI57" s="123">
        <f t="shared" si="102"/>
        <v>0</v>
      </c>
      <c r="AJ57" s="123">
        <f t="shared" si="102"/>
        <v>0</v>
      </c>
      <c r="AK57" s="123">
        <f t="shared" si="102"/>
        <v>0</v>
      </c>
      <c r="AL57" s="123">
        <f t="shared" si="102"/>
        <v>0</v>
      </c>
      <c r="AM57" s="123">
        <f t="shared" si="102"/>
        <v>0</v>
      </c>
      <c r="AN57" s="123">
        <f t="shared" si="102"/>
        <v>0</v>
      </c>
      <c r="AO57" s="123">
        <f t="shared" si="102"/>
        <v>0</v>
      </c>
      <c r="AP57" s="123">
        <f t="shared" si="102"/>
        <v>0</v>
      </c>
      <c r="AQ57" s="122">
        <f t="shared" ref="AQ57:AQ93" si="103">SQRT(AV57*V57/1000000000+AX57*AX57*AD57*AD57)*1000</f>
        <v>0.49027443964108741</v>
      </c>
      <c r="AR57" s="122">
        <f t="shared" ref="AR57:AR93" si="104">SQRT(AW57*Z57/1000000000)*1000</f>
        <v>2.3974831962029739E-2</v>
      </c>
      <c r="AS57" s="122">
        <f t="shared" ref="AS57:AS93" si="105">SQRT(AV57/1000000000*X57+AX57*AX57*AE57*AE57)*1000</f>
        <v>1.2342805894227872E-2</v>
      </c>
      <c r="AT57" s="122">
        <f t="shared" ref="AT57:AT93" si="106">SQRT(AW57/1000000000*AB57)*1000</f>
        <v>1.5445716396885883E-3</v>
      </c>
      <c r="AU57" s="122">
        <f t="shared" ref="AU57:AU88" si="107">SQRT((V57*AV57*0.000000001+AD57*AD57*AX57^2)*(X57*AV57*0.000000001+AE57*AE57*AX57^2)-(W57*AV57*0.000000001+AD57*AE57*AX57^2)^2)*1000000000</f>
        <v>6.0358793542928755</v>
      </c>
      <c r="AV57" s="125">
        <f t="shared" si="74"/>
        <v>3.7012216628845733</v>
      </c>
      <c r="AW57" s="125">
        <f t="shared" si="74"/>
        <v>3.7012216628845733E-2</v>
      </c>
      <c r="AX57" s="125">
        <f t="shared" si="74"/>
        <v>1.0629909222129516E-3</v>
      </c>
      <c r="AY57" s="426">
        <f>AD57</f>
        <v>0.34124291264858531</v>
      </c>
      <c r="AZ57" s="426">
        <f>0.5*(AE56+AE57)</f>
        <v>-3.819112643110148E-3</v>
      </c>
      <c r="BA57" s="427">
        <f>V57</f>
        <v>29.39302033841853</v>
      </c>
      <c r="BB57" s="426">
        <f t="shared" ref="BB57:BB93" si="108">0.5*(Y57+Y56)</f>
        <v>2.8714253366897484</v>
      </c>
      <c r="BC57" s="467"/>
      <c r="BD57" s="467"/>
      <c r="BE57" s="467"/>
      <c r="BF57" s="427">
        <f>Z57</f>
        <v>15.529806641183281</v>
      </c>
      <c r="BG57" s="467">
        <f t="shared" ref="BG57:BG93" si="109">0.5*(AC57+AC56)</f>
        <v>1.3836853328068233</v>
      </c>
      <c r="BH57" s="467"/>
      <c r="BI57" s="467"/>
      <c r="BJ57" s="467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2"/>
      <c r="CG57" s="122"/>
      <c r="CH57" s="123"/>
      <c r="CI57" s="126"/>
      <c r="CJ57" s="123"/>
      <c r="CK57" s="127"/>
      <c r="CL57" s="127"/>
      <c r="CM57" s="127"/>
      <c r="CN57" s="127"/>
      <c r="CO57" s="123"/>
      <c r="CP57" s="123"/>
      <c r="CQ57" s="123"/>
      <c r="CR57" s="127"/>
      <c r="CS57" s="127"/>
      <c r="CT57" s="127"/>
      <c r="CU57" s="127"/>
      <c r="CV57" s="123"/>
      <c r="CW57" s="127">
        <f t="shared" ref="CW57:CZ57" si="110">CW56</f>
        <v>-0.88168480151397466</v>
      </c>
      <c r="CX57" s="127">
        <f t="shared" si="110"/>
        <v>8.5747452617501914</v>
      </c>
      <c r="CY57" s="127">
        <f t="shared" si="110"/>
        <v>1.2147296328596235E-4</v>
      </c>
      <c r="CZ57" s="127">
        <f t="shared" si="110"/>
        <v>-1.1353735461895686</v>
      </c>
      <c r="DA57" s="123"/>
      <c r="DB57" s="127">
        <f t="shared" ref="DB57:DE57" si="111">DB56</f>
        <v>0.46140075699461669</v>
      </c>
      <c r="DC57" s="127">
        <f t="shared" si="111"/>
        <v>6.1518073009219298</v>
      </c>
      <c r="DD57" s="127">
        <f t="shared" si="111"/>
        <v>-0.15787163098325852</v>
      </c>
      <c r="DE57" s="127">
        <f t="shared" si="111"/>
        <v>6.242761302854527E-2</v>
      </c>
      <c r="DF57" s="127"/>
      <c r="DG57" s="123"/>
      <c r="DH57" s="123"/>
      <c r="DI57" s="123"/>
      <c r="DJ57" s="123"/>
      <c r="DK57" s="123"/>
      <c r="DL57" s="128"/>
      <c r="DM57" s="128"/>
      <c r="DN57" s="426"/>
      <c r="DO57" s="426"/>
      <c r="DP57" s="427"/>
      <c r="DQ57" s="427"/>
      <c r="DR57" s="427"/>
      <c r="DS57" s="427"/>
      <c r="DT57" s="427"/>
      <c r="DU57" s="427"/>
      <c r="DV57" s="427"/>
      <c r="DW57" s="427"/>
      <c r="DX57" s="427"/>
      <c r="DY57" s="427"/>
      <c r="DZ57" s="427"/>
      <c r="EA57" s="427"/>
      <c r="EB57" s="123"/>
      <c r="EC57" s="123"/>
      <c r="ED57" s="123"/>
      <c r="EE57" s="124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W57" s="127"/>
      <c r="EX57" s="127"/>
      <c r="EY57" s="127"/>
      <c r="EZ57" s="127"/>
      <c r="FA57" s="127"/>
      <c r="FB57" s="127"/>
    </row>
    <row r="58" spans="1:158" s="7" customFormat="1" ht="15.75" customHeight="1" outlineLevel="1">
      <c r="A58" s="31"/>
      <c r="B58" s="31"/>
      <c r="C58" s="37"/>
      <c r="D58" s="25" t="s">
        <v>567</v>
      </c>
      <c r="E58" s="395">
        <v>0.38300000000000001</v>
      </c>
      <c r="F58" s="396"/>
      <c r="G58" s="396"/>
      <c r="H58" s="396"/>
      <c r="I58" s="540"/>
      <c r="K58" s="396"/>
      <c r="L58" s="396"/>
      <c r="M58" s="396"/>
      <c r="N58" s="525"/>
      <c r="O58" s="36"/>
      <c r="P58" s="458"/>
      <c r="Q58" s="458"/>
      <c r="R58" s="101">
        <f>R57+Vlength</f>
        <v>13.193564597606301</v>
      </c>
      <c r="S58" s="101">
        <f>S57+U57*Vlength/SQRT(1+(U57)^2)</f>
        <v>-0.39548854388159821</v>
      </c>
      <c r="T58" s="101">
        <f>T57+Vlength/SQRT(1+(U57)^2)</f>
        <v>13.175510821355889</v>
      </c>
      <c r="U58" s="101">
        <f>U57</f>
        <v>-9.849143422908091E-2</v>
      </c>
      <c r="V58" s="112">
        <f>V57*CK58*CK58-2*W57*CK58*CL58+X57*CL58*CL58</f>
        <v>29.183168272332001</v>
      </c>
      <c r="W58" s="112">
        <f>-CM58*CK58*V57+(CK58*CN58+CL58*CM58)*W57-X57*CL58*CN58</f>
        <v>0.26692876017073841</v>
      </c>
      <c r="X58" s="112">
        <f>(1+W58^2)/V58</f>
        <v>3.670783627773274E-2</v>
      </c>
      <c r="Y58" s="112">
        <f>ATAN2(CN58*V58+CL58*W58,CL58)+Y57</f>
        <v>2.8845027793837015</v>
      </c>
      <c r="Z58" s="112">
        <f>Z57*CR58*CR58-2*AA57*CR58*CS58+AB57*CS58*CS58</f>
        <v>15.514955469174863</v>
      </c>
      <c r="AA58" s="112">
        <f>-CT58*CR58*Z57+(CR58*CU58+CS58*CT58)*AA57-AB57*CS58*CU58</f>
        <v>7.0444111114418423E-3</v>
      </c>
      <c r="AB58" s="112">
        <f>(1+AA58^2)/Z58</f>
        <v>6.4457137870283107E-2</v>
      </c>
      <c r="AC58" s="112">
        <f>ATAN2(CU58*Z58+CS58*AA58,CS58)+AC57</f>
        <v>1.4083618895423387</v>
      </c>
      <c r="AD58" s="101">
        <f>AD57+AE57*$CL58</f>
        <v>0.33978019250627411</v>
      </c>
      <c r="AE58" s="112">
        <f>AE57</f>
        <v>-3.819112643110148E-3</v>
      </c>
      <c r="AF58" s="238">
        <f>AF57</f>
        <v>3.9708306785324696E-3</v>
      </c>
      <c r="AG58" s="112">
        <f>AG57+AH57*$CL58</f>
        <v>0.45868027051281368</v>
      </c>
      <c r="AH58" s="112">
        <f>AH57</f>
        <v>-3.8354948093353713E-3</v>
      </c>
      <c r="AI58" s="112">
        <f>AI57+AJ57*$CL58</f>
        <v>0</v>
      </c>
      <c r="AJ58" s="112">
        <f>AJ57</f>
        <v>0</v>
      </c>
      <c r="AK58" s="112">
        <f>AK57+AL57*$CL58</f>
        <v>0</v>
      </c>
      <c r="AL58" s="112">
        <f>AL57</f>
        <v>0</v>
      </c>
      <c r="AM58" s="112">
        <f>AM57+AN57*$CS58</f>
        <v>0</v>
      </c>
      <c r="AN58" s="112">
        <f>AN57</f>
        <v>0</v>
      </c>
      <c r="AO58" s="112">
        <f>AO57+AP57*$CS58</f>
        <v>0</v>
      </c>
      <c r="AP58" s="112">
        <f>AP57</f>
        <v>0</v>
      </c>
      <c r="AQ58" s="101">
        <f t="shared" si="103"/>
        <v>0.48833054587729297</v>
      </c>
      <c r="AR58" s="101">
        <f t="shared" si="104"/>
        <v>2.3963365640326795E-2</v>
      </c>
      <c r="AS58" s="101">
        <f t="shared" si="105"/>
        <v>1.2342805894227872E-2</v>
      </c>
      <c r="AT58" s="101">
        <f t="shared" si="106"/>
        <v>1.5445716396885883E-3</v>
      </c>
      <c r="AU58" s="101">
        <f t="shared" si="107"/>
        <v>6.0083593702105675</v>
      </c>
      <c r="AV58" s="239">
        <f t="shared" si="74"/>
        <v>3.7012216628845733</v>
      </c>
      <c r="AW58" s="239">
        <f t="shared" si="74"/>
        <v>3.7012216628845733E-2</v>
      </c>
      <c r="AX58" s="239">
        <f t="shared" si="74"/>
        <v>1.0629909222129516E-3</v>
      </c>
      <c r="AY58" s="434">
        <f>0.5*(AD57+AD58)</f>
        <v>0.34051155257742971</v>
      </c>
      <c r="AZ58" s="356">
        <f>0.5*(AE57+AE58)</f>
        <v>-3.819112643110148E-3</v>
      </c>
      <c r="BA58" s="425">
        <f>0.5*(V58+V57)-X57*Vlength*Vlength/6</f>
        <v>29.287196866075977</v>
      </c>
      <c r="BB58" s="356">
        <f t="shared" si="108"/>
        <v>2.8779640580367252</v>
      </c>
      <c r="BC58" s="434"/>
      <c r="BD58" s="434"/>
      <c r="BE58" s="434"/>
      <c r="BF58" s="425">
        <f>0.5*(Z58+Z57)-AB57*Vlength*Vlength/6</f>
        <v>15.520805196329562</v>
      </c>
      <c r="BG58" s="434">
        <f t="shared" si="109"/>
        <v>1.396023611174581</v>
      </c>
      <c r="BH58" s="434"/>
      <c r="BI58" s="434"/>
      <c r="BJ58" s="434"/>
      <c r="BK58" s="239"/>
      <c r="BL58" s="239"/>
      <c r="BM58" s="239"/>
      <c r="BN58" s="239"/>
      <c r="BO58" s="239"/>
      <c r="BP58" s="239"/>
      <c r="BQ58" s="239"/>
      <c r="BR58" s="239"/>
      <c r="BS58" s="239"/>
      <c r="BT58" s="239"/>
      <c r="BU58" s="239"/>
      <c r="BV58" s="239"/>
      <c r="BW58" s="239"/>
      <c r="BX58" s="239"/>
      <c r="BY58" s="239"/>
      <c r="BZ58" s="239"/>
      <c r="CA58" s="239"/>
      <c r="CB58" s="239"/>
      <c r="CC58" s="239"/>
      <c r="CD58" s="239"/>
      <c r="CE58" s="239"/>
      <c r="CF58" s="101"/>
      <c r="CG58" s="101"/>
      <c r="CH58" s="112">
        <f>E58</f>
        <v>0.38300000000000001</v>
      </c>
      <c r="CI58" s="240"/>
      <c r="CJ58" s="112"/>
      <c r="CK58" s="30">
        <v>1</v>
      </c>
      <c r="CL58" s="30">
        <f>E58</f>
        <v>0.38300000000000001</v>
      </c>
      <c r="CM58" s="30">
        <v>0</v>
      </c>
      <c r="CN58" s="30">
        <v>1</v>
      </c>
      <c r="CO58" s="112"/>
      <c r="CP58" s="112"/>
      <c r="CQ58" s="112"/>
      <c r="CR58" s="30">
        <v>1</v>
      </c>
      <c r="CS58" s="30">
        <f>CL58</f>
        <v>0.38300000000000001</v>
      </c>
      <c r="CT58" s="30">
        <v>0</v>
      </c>
      <c r="CU58" s="30">
        <v>1</v>
      </c>
      <c r="CV58" s="112"/>
      <c r="CW58" s="30">
        <f>CW57*CK58+CY57*CL58</f>
        <v>-0.88163827736903611</v>
      </c>
      <c r="CX58" s="30">
        <f>CX57*CK58+CZ57*CL58</f>
        <v>8.1398971935595874</v>
      </c>
      <c r="CY58" s="30">
        <f>CW57*CM58+CY57*CN58</f>
        <v>1.2147296328596235E-4</v>
      </c>
      <c r="CZ58" s="30">
        <f>CX57*CM58+CZ57*CN58</f>
        <v>-1.1353735461895686</v>
      </c>
      <c r="DA58" s="112"/>
      <c r="DB58" s="30">
        <f>DB57*CR58+DD57*CS58</f>
        <v>0.40093592232802866</v>
      </c>
      <c r="DC58" s="30">
        <f>DC57*CR58+DE57*CS58</f>
        <v>6.1757170767118623</v>
      </c>
      <c r="DD58" s="30">
        <f>DB57*CT58+DD57*CU58</f>
        <v>-0.15787163098325852</v>
      </c>
      <c r="DE58" s="30">
        <f>DC57*CT58+DE57*CU58</f>
        <v>6.242761302854527E-2</v>
      </c>
      <c r="DF58" s="30">
        <f>AZ58^2*Vlength</f>
        <v>5.5862929888325281E-6</v>
      </c>
      <c r="DG58" s="112"/>
      <c r="DH58" s="112"/>
      <c r="DI58" s="112"/>
      <c r="DJ58" s="112"/>
      <c r="DK58" s="112"/>
      <c r="DL58" s="36"/>
      <c r="DM58" s="36"/>
      <c r="DN58" s="356"/>
      <c r="DO58" s="356"/>
      <c r="DP58" s="425"/>
      <c r="DQ58" s="425"/>
      <c r="DR58" s="425"/>
      <c r="DS58" s="425"/>
      <c r="DT58" s="425"/>
      <c r="DU58" s="425"/>
      <c r="DV58" s="425"/>
      <c r="DW58" s="425"/>
      <c r="DX58" s="425"/>
      <c r="DY58" s="425"/>
      <c r="DZ58" s="425"/>
      <c r="EA58" s="425"/>
      <c r="EB58" s="112">
        <f>E58*(1/AQ58+1/AQ57)/2</f>
        <v>0.78274996939149799</v>
      </c>
      <c r="EC58" s="112">
        <f>E58*(1/AR58+1/AR57)/2</f>
        <v>15.978907888403983</v>
      </c>
      <c r="ED58" s="112">
        <f>E58*(AS58+AS57)/2</f>
        <v>4.7272946574892756E-3</v>
      </c>
      <c r="EE58" s="238">
        <f>(X58*AD58*AD58+2*W58*AD58*AE58+V58*AE58*AE58)*CH58</f>
        <v>1.5208281498779361E-3</v>
      </c>
      <c r="EF58" s="112">
        <f>SQRT(VaveBetax/VaveBetaz*T_Coupling)</f>
        <v>0.13736679932884685</v>
      </c>
      <c r="EG58" s="112">
        <f>IF(EF58&lt;=1,EF58^(0.021-0.044*LN(EF58)),EF58^(-0.021-0.044*LN(EF58)))/(VaveBetax*VaveBetaz)^(1/4)</f>
        <v>0.1746611372581279</v>
      </c>
      <c r="EH58" s="239">
        <f t="shared" ref="EH58:ET58" si="112">$EG58*Vlength/SQRT(1+EH$7*EH$7/EH$8*1000000000/Vlength*$EE58)</f>
        <v>3.6688858735231596E-2</v>
      </c>
      <c r="EI58" s="239" t="e">
        <f t="shared" si="112"/>
        <v>#DIV/0!</v>
      </c>
      <c r="EJ58" s="239" t="e">
        <f t="shared" si="112"/>
        <v>#DIV/0!</v>
      </c>
      <c r="EK58" s="239" t="e">
        <f t="shared" si="112"/>
        <v>#DIV/0!</v>
      </c>
      <c r="EL58" s="239" t="e">
        <f t="shared" si="112"/>
        <v>#DIV/0!</v>
      </c>
      <c r="EM58" s="239" t="e">
        <f t="shared" si="112"/>
        <v>#DIV/0!</v>
      </c>
      <c r="EN58" s="239" t="e">
        <f t="shared" si="112"/>
        <v>#DIV/0!</v>
      </c>
      <c r="EO58" s="239" t="e">
        <f t="shared" si="112"/>
        <v>#DIV/0!</v>
      </c>
      <c r="EP58" s="239" t="e">
        <f t="shared" si="112"/>
        <v>#DIV/0!</v>
      </c>
      <c r="EQ58" s="239" t="e">
        <f t="shared" si="112"/>
        <v>#DIV/0!</v>
      </c>
      <c r="ER58" s="239" t="e">
        <f t="shared" si="112"/>
        <v>#DIV/0!</v>
      </c>
      <c r="ES58" s="239" t="e">
        <f t="shared" si="112"/>
        <v>#DIV/0!</v>
      </c>
      <c r="ET58" s="239" t="e">
        <f t="shared" si="112"/>
        <v>#DIV/0!</v>
      </c>
      <c r="EU58" s="112">
        <f>Vlength*VaveBetaz</f>
        <v>5.9444683901942224</v>
      </c>
      <c r="EW58" s="30"/>
      <c r="EX58" s="30"/>
      <c r="EY58" s="30"/>
      <c r="EZ58" s="30"/>
      <c r="FA58" s="30"/>
      <c r="FB58" s="30"/>
    </row>
    <row r="59" spans="1:158" s="54" customFormat="1" ht="15.75" customHeight="1" outlineLevel="1">
      <c r="A59" s="51"/>
      <c r="B59" s="51"/>
      <c r="C59" s="52" t="s">
        <v>758</v>
      </c>
      <c r="D59" s="53" t="s">
        <v>1125</v>
      </c>
      <c r="E59" s="397">
        <v>4.2526700000000002</v>
      </c>
      <c r="F59" s="54">
        <v>0</v>
      </c>
      <c r="G59" s="399"/>
      <c r="H59" s="399"/>
      <c r="I59" s="548"/>
      <c r="K59" s="398"/>
      <c r="L59" s="398"/>
      <c r="M59" s="509"/>
      <c r="N59" s="528"/>
      <c r="O59" s="430"/>
      <c r="P59" s="465"/>
      <c r="Q59" s="465"/>
      <c r="R59" s="56">
        <f t="shared" ref="R59:AG60" si="113">R58</f>
        <v>13.193564597606301</v>
      </c>
      <c r="S59" s="56">
        <f t="shared" si="113"/>
        <v>-0.39548854388159821</v>
      </c>
      <c r="T59" s="56">
        <f t="shared" si="113"/>
        <v>13.175510821355889</v>
      </c>
      <c r="U59" s="56">
        <f t="shared" si="113"/>
        <v>-9.849143422908091E-2</v>
      </c>
      <c r="V59" s="57">
        <f>V58*CK59*CK59-2*W58*CK59*CL59+X58*CL59*CL59</f>
        <v>29.183168272332001</v>
      </c>
      <c r="W59" s="57">
        <f>-CM59*CK59*V58+(CK59*CN59+CL59*CM59)*W58-X58*CL59*CN59</f>
        <v>0.26692876017073841</v>
      </c>
      <c r="X59" s="57">
        <f>(1+W59^2)/V59</f>
        <v>3.670783627773274E-2</v>
      </c>
      <c r="Y59" s="57">
        <f>ATAN2(CN59*V59+CL59*W59,CL59)+Y58</f>
        <v>2.8845027793837015</v>
      </c>
      <c r="Z59" s="57">
        <f>Z58*CR59*CR59-2*AA58*CR59*CS59+AB58*CS59*CS59</f>
        <v>15.514955469174863</v>
      </c>
      <c r="AA59" s="57">
        <f>-CT59*CR59*Z58+(CR59*CU59+CS59*CT59)*AA58-AB58*CS59*CU59</f>
        <v>7.0444111114418423E-3</v>
      </c>
      <c r="AB59" s="57">
        <f>(1+AA59^2)/Z59</f>
        <v>6.4457137870283107E-2</v>
      </c>
      <c r="AC59" s="57">
        <f>ATAN2(CU59*Z59+CS59*AA59,CS59)+AC58</f>
        <v>1.4083618895423387</v>
      </c>
      <c r="AD59" s="56">
        <f>AD58</f>
        <v>0.33978019250627411</v>
      </c>
      <c r="AE59" s="57">
        <f>AD58*$CM59+AE58</f>
        <v>-3.819112643110148E-3</v>
      </c>
      <c r="AF59" s="58">
        <f t="shared" ref="AF59:AG59" si="114">AF58</f>
        <v>3.9708306785324696E-3</v>
      </c>
      <c r="AG59" s="57">
        <f t="shared" si="114"/>
        <v>0.45868027051281368</v>
      </c>
      <c r="AH59" s="57">
        <f>AG58*$CM59+AH58</f>
        <v>-3.8354948093353713E-3</v>
      </c>
      <c r="AI59" s="57">
        <f>AI58*$CK59+AJ58*$CL59+0.001*(1-$CK59)*$K59</f>
        <v>0</v>
      </c>
      <c r="AJ59" s="57">
        <f>AI58*$CM59+AJ58*$CN59-0.001*$CM59*$K59</f>
        <v>0</v>
      </c>
      <c r="AK59" s="57">
        <f>AK58*$CK59+AL58*$CL59+0.001*(1-$CK59)*$K59</f>
        <v>0</v>
      </c>
      <c r="AL59" s="57">
        <f>AK58*$CM59+AL58*$CN59-0.001*$CM59*$K59</f>
        <v>0</v>
      </c>
      <c r="AM59" s="57">
        <f>AM58*$CR59+AN58*$CS59+0.001*(1-$CR59)*$L59</f>
        <v>0</v>
      </c>
      <c r="AN59" s="57">
        <f>AM58*$CT59+AN58*$CU59-0.001*$CT59*$L59</f>
        <v>0</v>
      </c>
      <c r="AO59" s="57">
        <f>AO58*$CR59+AP58*$CS59+0.001*(1-$CR59)*$L59</f>
        <v>0</v>
      </c>
      <c r="AP59" s="57">
        <f>AO58*$CT59+AP58*$CU59-0.001*$CT59*$L59</f>
        <v>0</v>
      </c>
      <c r="AQ59" s="56">
        <f t="shared" si="103"/>
        <v>0.48833054587729297</v>
      </c>
      <c r="AR59" s="56">
        <f t="shared" si="104"/>
        <v>2.3963365640326795E-2</v>
      </c>
      <c r="AS59" s="56">
        <f t="shared" si="105"/>
        <v>1.2342805894227872E-2</v>
      </c>
      <c r="AT59" s="56">
        <f t="shared" si="106"/>
        <v>1.5445716396885883E-3</v>
      </c>
      <c r="AU59" s="56">
        <f t="shared" si="107"/>
        <v>6.0083593702105675</v>
      </c>
      <c r="AV59" s="59">
        <f t="shared" si="74"/>
        <v>3.7012216628845733</v>
      </c>
      <c r="AW59" s="59">
        <f t="shared" si="74"/>
        <v>3.7012216628845733E-2</v>
      </c>
      <c r="AX59" s="59">
        <f t="shared" si="74"/>
        <v>1.0629909222129516E-3</v>
      </c>
      <c r="AY59" s="55">
        <f>AD59</f>
        <v>0.33978019250627411</v>
      </c>
      <c r="AZ59" s="55">
        <f>0.5*(AE58+AE59)</f>
        <v>-3.819112643110148E-3</v>
      </c>
      <c r="BA59" s="430">
        <f>V59</f>
        <v>29.183168272332001</v>
      </c>
      <c r="BB59" s="55">
        <f t="shared" si="108"/>
        <v>2.8845027793837015</v>
      </c>
      <c r="BC59" s="442">
        <f>VaveBetax*AY59</f>
        <v>9.9158625335159574</v>
      </c>
      <c r="BD59" s="442"/>
      <c r="BE59" s="442"/>
      <c r="BF59" s="430">
        <f>Z59</f>
        <v>15.514955469174863</v>
      </c>
      <c r="BG59" s="442">
        <f t="shared" si="109"/>
        <v>1.4083618895423387</v>
      </c>
      <c r="BH59" s="442">
        <f>VaveBetaz*AY59</f>
        <v>5.2716745560425053</v>
      </c>
      <c r="BI59" s="442"/>
      <c r="BJ59" s="442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>
        <f>AY59^2*VaveBetaz*VHl^2</f>
        <v>32.394405674729242</v>
      </c>
      <c r="CB59" s="57"/>
      <c r="CC59" s="57">
        <f>VaveBetax*VaveBetaz*VKl^2</f>
        <v>0</v>
      </c>
      <c r="CD59" s="57">
        <f>(VaveBetax*VKl)^2</f>
        <v>0</v>
      </c>
      <c r="CE59" s="57">
        <f>(VaveBetaz*VKl)^2</f>
        <v>0</v>
      </c>
      <c r="CF59" s="56">
        <f>-0.001*$E59*$K59</f>
        <v>0</v>
      </c>
      <c r="CG59" s="56">
        <f>$E59</f>
        <v>4.2526700000000002</v>
      </c>
      <c r="CH59" s="57"/>
      <c r="CI59" s="60"/>
      <c r="CJ59" s="57"/>
      <c r="CK59" s="61">
        <v>1</v>
      </c>
      <c r="CL59" s="61">
        <v>0</v>
      </c>
      <c r="CM59" s="56">
        <f>-VKl</f>
        <v>0</v>
      </c>
      <c r="CN59" s="61">
        <v>1</v>
      </c>
      <c r="CO59" s="57"/>
      <c r="CP59" s="57"/>
      <c r="CQ59" s="57"/>
      <c r="CR59" s="61">
        <v>1</v>
      </c>
      <c r="CS59" s="61">
        <v>0</v>
      </c>
      <c r="CT59" s="61">
        <f>VKl</f>
        <v>0</v>
      </c>
      <c r="CU59" s="61">
        <v>1</v>
      </c>
      <c r="CV59" s="57"/>
      <c r="CW59" s="61">
        <f>CW58*CK59+CY58*CL59</f>
        <v>-0.88163827736903611</v>
      </c>
      <c r="CX59" s="61">
        <f>CX58*CK59+CZ58*CL59</f>
        <v>8.1398971935595874</v>
      </c>
      <c r="CY59" s="61">
        <f>CW58*CM59+CY58*CN59</f>
        <v>1.2147296328596235E-4</v>
      </c>
      <c r="CZ59" s="61">
        <f>CX58*CM59+CZ58*CN59</f>
        <v>-1.1353735461895686</v>
      </c>
      <c r="DA59" s="57"/>
      <c r="DB59" s="61">
        <f>DB58*CR59+DD58*CS59</f>
        <v>0.40093592232802866</v>
      </c>
      <c r="DC59" s="61">
        <f>DC58*CR59+DE58*CS59</f>
        <v>6.1757170767118623</v>
      </c>
      <c r="DD59" s="61">
        <f>DB58*CT59+DD58*CU59</f>
        <v>-0.15787163098325852</v>
      </c>
      <c r="DE59" s="61">
        <f>DC58*CT59+DE58*CU59</f>
        <v>6.242761302854527E-2</v>
      </c>
      <c r="DF59" s="61"/>
      <c r="DG59" s="57"/>
      <c r="DH59" s="57"/>
      <c r="DI59" s="57"/>
      <c r="DJ59" s="57"/>
      <c r="DK59" s="57"/>
      <c r="DL59" s="62"/>
      <c r="DM59" s="62"/>
      <c r="DN59" s="55">
        <f>-VaveBetax*VKl+2*VHl*$BC59</f>
        <v>84.337782240814619</v>
      </c>
      <c r="DO59" s="55">
        <f>VaveBetaz*VKl-2*VHl*$BH59</f>
        <v>-44.837384468490562</v>
      </c>
      <c r="DP59" s="430" t="str">
        <f>IMPRODUCT(1/8*V59*(-CM59+2*VHl*AD59),COMPLEX(COS(2*VmidMux),SIN(2*VmidMux)))</f>
        <v>9.17907575969674-5.18488469910814i</v>
      </c>
      <c r="DQ59" s="430" t="str">
        <f>IMPRODUCT(-1/8*Z59*(-CM59+2*VHl*AD59),COMPLEX(COS(2*VmidMuz),SIN(2*VmidMuz)))</f>
        <v>5.31150711458688-1.78892489083697i</v>
      </c>
      <c r="DR59" s="430" t="str">
        <f>IMPRODUCT(1/2*SQRT(V59)*AD59*(-CM59+2*VHl*AD59),COMPLEX(COS(Y59),SIN(Y59)))</f>
        <v>-2.56513768131076+0.67439489788636i</v>
      </c>
      <c r="DS59" s="430" t="str">
        <f>IMPRODUCT(-1/8*VHl*V59^(3/2),COMPLEX(COS(Y59),SIN(Y59)))</f>
        <v>81.0507460220284-21.3088794357457i</v>
      </c>
      <c r="DT59" s="430" t="str">
        <f>IMPRODUCT(-1/24*VHl*V59^(3/2),COMPLEX(COS(3*Y59),SIN(3*Y59)))</f>
        <v>20.0301482393982-19.4720033412764i</v>
      </c>
      <c r="DU59" s="430" t="str">
        <f>IMPRODUCT(1/4*VHl*V59^(1/2)*Z59,COMPLEX(COS(Y59),SIN(Y59)))</f>
        <v>-86.1797254869947+22.6573285298191i</v>
      </c>
      <c r="DV59" s="430" t="str">
        <f>IMPRODUCT(1/8*VHl*V59^(1/2)*Z59,COMPLEX(COS(Y59-2*AC59),SIN(Y59-2*AC59)))</f>
        <v>44.4518778185506+3.01752608690058i</v>
      </c>
      <c r="DW59" s="430" t="str">
        <f>IMPRODUCT(1/8*VHl*V59^(1/2)*Z59,COMPLEX(COS(Y59+2*AC59),SIN(Y59+2*AC59)))</f>
        <v>37.2200092432821-24.4897083937412i</v>
      </c>
      <c r="DX59" s="430"/>
      <c r="DY59" s="430"/>
      <c r="DZ59" s="430"/>
      <c r="EA59" s="430"/>
      <c r="EB59" s="57"/>
      <c r="EC59" s="57"/>
      <c r="ED59" s="57"/>
      <c r="EE59" s="58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W59" s="61" t="str">
        <f>IMPRODUCT(VKl*VaveBetax^(ABS(EW$5)/2)*VaveBetaz^(ABS(EW$6)/2),COMPLEX(COS(EW$5*VmidMux+EW$6*VmidMuz+EW$23*$R59),SIN(EW$5*VmidMux+EW$6*VmidMuz+EW$23*$R59)))</f>
        <v>0</v>
      </c>
      <c r="EX59" s="61" t="str">
        <f>IMPRODUCT(VKl*VaveBetax^(ABS(EX$5)/2)*VaveBetaz^(ABS(EX$6)/2),COMPLEX(COS(EX$5*VmidMux+EX$6*VmidMuz+EX$23*$R59),SIN(EX$5*VmidMux+EX$6*VmidMuz+EX$23*$R59)))</f>
        <v>0</v>
      </c>
      <c r="EY59" s="61" t="str">
        <f t="shared" ref="EY59:FA59" si="115">IMPRODUCT(VHl*VaveBetax^(ABS(EY$5)/2)*VaveBetaz^(ABS(EY$6)/2),COMPLEX(COS(EY$5*VmidMux+EY$6*VmidMuz+EY$23*$R59),SIN(EY$5*VmidMux+EY$6*VmidMuz+EY$23*$R59)))</f>
        <v>331.296129547836+582.866664043186i</v>
      </c>
      <c r="EZ59" s="61" t="str">
        <f t="shared" si="115"/>
        <v>-226.410219658517-275.28749766768i</v>
      </c>
      <c r="FA59" s="61" t="str">
        <f t="shared" si="115"/>
        <v>-271.813338312937+230.569518915939i</v>
      </c>
      <c r="FB59" s="61"/>
    </row>
    <row r="60" spans="1:158" s="140" customFormat="1" ht="15.75" customHeight="1" outlineLevel="1">
      <c r="A60" s="130"/>
      <c r="B60" s="130"/>
      <c r="C60" s="131" t="s">
        <v>209</v>
      </c>
      <c r="D60" s="132" t="s">
        <v>698</v>
      </c>
      <c r="E60" s="406">
        <v>0</v>
      </c>
      <c r="F60" s="406">
        <v>0</v>
      </c>
      <c r="G60" s="407"/>
      <c r="H60" s="407"/>
      <c r="I60" s="545"/>
      <c r="K60" s="407"/>
      <c r="L60" s="407"/>
      <c r="M60" s="407"/>
      <c r="N60" s="529"/>
      <c r="O60" s="134"/>
      <c r="P60" s="460"/>
      <c r="Q60" s="460"/>
      <c r="R60" s="133">
        <f t="shared" si="113"/>
        <v>13.193564597606301</v>
      </c>
      <c r="S60" s="133">
        <f t="shared" si="113"/>
        <v>-0.39548854388159821</v>
      </c>
      <c r="T60" s="133">
        <f t="shared" si="113"/>
        <v>13.175510821355889</v>
      </c>
      <c r="U60" s="133">
        <f t="shared" si="113"/>
        <v>-9.849143422908091E-2</v>
      </c>
      <c r="V60" s="134">
        <f t="shared" si="113"/>
        <v>29.183168272332001</v>
      </c>
      <c r="W60" s="134">
        <f t="shared" si="113"/>
        <v>0.26692876017073841</v>
      </c>
      <c r="X60" s="134">
        <f t="shared" si="113"/>
        <v>3.670783627773274E-2</v>
      </c>
      <c r="Y60" s="134">
        <f t="shared" si="113"/>
        <v>2.8845027793837015</v>
      </c>
      <c r="Z60" s="134">
        <f t="shared" si="113"/>
        <v>15.514955469174863</v>
      </c>
      <c r="AA60" s="134">
        <f t="shared" si="113"/>
        <v>7.0444111114418423E-3</v>
      </c>
      <c r="AB60" s="134">
        <f t="shared" si="113"/>
        <v>6.4457137870283107E-2</v>
      </c>
      <c r="AC60" s="134">
        <f t="shared" si="113"/>
        <v>1.4083618895423387</v>
      </c>
      <c r="AD60" s="134">
        <f t="shared" si="113"/>
        <v>0.33978019250627411</v>
      </c>
      <c r="AE60" s="134">
        <f t="shared" si="113"/>
        <v>-3.819112643110148E-3</v>
      </c>
      <c r="AF60" s="135">
        <f t="shared" si="113"/>
        <v>3.9708306785324696E-3</v>
      </c>
      <c r="AG60" s="134">
        <f t="shared" si="113"/>
        <v>0.45868027051281368</v>
      </c>
      <c r="AH60" s="134">
        <f t="shared" ref="AH60:AI60" si="116">AH59</f>
        <v>-3.8354948093353713E-3</v>
      </c>
      <c r="AI60" s="134">
        <f t="shared" si="116"/>
        <v>0</v>
      </c>
      <c r="AJ60" s="134">
        <f>AJ59+$E60</f>
        <v>0</v>
      </c>
      <c r="AK60" s="134">
        <f>AK59</f>
        <v>0</v>
      </c>
      <c r="AL60" s="134">
        <f>AL59+$E60</f>
        <v>0</v>
      </c>
      <c r="AM60" s="134">
        <f>AM59</f>
        <v>0</v>
      </c>
      <c r="AN60" s="134">
        <f>AN59+$F60</f>
        <v>0</v>
      </c>
      <c r="AO60" s="134">
        <f>AO59</f>
        <v>0</v>
      </c>
      <c r="AP60" s="134">
        <f>AP59+$F60</f>
        <v>0</v>
      </c>
      <c r="AQ60" s="133">
        <f t="shared" si="103"/>
        <v>0.48833054587729297</v>
      </c>
      <c r="AR60" s="133">
        <f t="shared" si="104"/>
        <v>2.3963365640326795E-2</v>
      </c>
      <c r="AS60" s="133">
        <f t="shared" si="105"/>
        <v>1.2342805894227872E-2</v>
      </c>
      <c r="AT60" s="133">
        <f t="shared" si="106"/>
        <v>1.5445716396885883E-3</v>
      </c>
      <c r="AU60" s="133">
        <f t="shared" si="107"/>
        <v>6.0083593702105675</v>
      </c>
      <c r="AV60" s="136">
        <f t="shared" si="74"/>
        <v>3.7012216628845733</v>
      </c>
      <c r="AW60" s="136">
        <f t="shared" si="74"/>
        <v>3.7012216628845733E-2</v>
      </c>
      <c r="AX60" s="136">
        <f t="shared" si="74"/>
        <v>1.0629909222129516E-3</v>
      </c>
      <c r="AY60" s="431">
        <f>AD60</f>
        <v>0.33978019250627411</v>
      </c>
      <c r="AZ60" s="431">
        <f>(AE60+AE59)/2</f>
        <v>-3.819112643110148E-3</v>
      </c>
      <c r="BA60" s="432">
        <f>V60</f>
        <v>29.183168272332001</v>
      </c>
      <c r="BB60" s="431">
        <f t="shared" si="108"/>
        <v>2.8845027793837015</v>
      </c>
      <c r="BC60" s="501"/>
      <c r="BD60" s="502"/>
      <c r="BE60" s="502"/>
      <c r="BF60" s="432">
        <f>Z60</f>
        <v>15.514955469174863</v>
      </c>
      <c r="BG60" s="502">
        <f t="shared" si="109"/>
        <v>1.4083618895423387</v>
      </c>
      <c r="BH60" s="502"/>
      <c r="BI60" s="502"/>
      <c r="BJ60" s="502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4"/>
      <c r="CF60" s="133"/>
      <c r="CG60" s="133"/>
      <c r="CH60" s="134"/>
      <c r="CI60" s="137"/>
      <c r="CJ60" s="134"/>
      <c r="CK60" s="138"/>
      <c r="CL60" s="138"/>
      <c r="CM60" s="138"/>
      <c r="CN60" s="138"/>
      <c r="CO60" s="134"/>
      <c r="CP60" s="134"/>
      <c r="CQ60" s="134"/>
      <c r="CR60" s="138"/>
      <c r="CS60" s="138"/>
      <c r="CT60" s="138"/>
      <c r="CU60" s="138"/>
      <c r="CV60" s="134"/>
      <c r="CW60" s="127">
        <f>CW59</f>
        <v>-0.88163827736903611</v>
      </c>
      <c r="CX60" s="127">
        <f>CX59</f>
        <v>8.1398971935595874</v>
      </c>
      <c r="CY60" s="127">
        <f>CY59</f>
        <v>1.2147296328596235E-4</v>
      </c>
      <c r="CZ60" s="127">
        <f>CZ59</f>
        <v>-1.1353735461895686</v>
      </c>
      <c r="DA60" s="134"/>
      <c r="DB60" s="127">
        <f>DB59</f>
        <v>0.40093592232802866</v>
      </c>
      <c r="DC60" s="127">
        <f>DC59</f>
        <v>6.1757170767118623</v>
      </c>
      <c r="DD60" s="127">
        <f>DD59</f>
        <v>-0.15787163098325852</v>
      </c>
      <c r="DE60" s="127">
        <f>DE59</f>
        <v>6.242761302854527E-2</v>
      </c>
      <c r="DF60" s="138"/>
      <c r="DG60" s="134"/>
      <c r="DH60" s="134"/>
      <c r="DI60" s="134"/>
      <c r="DJ60" s="134"/>
      <c r="DK60" s="134"/>
      <c r="DL60" s="139"/>
      <c r="DM60" s="139"/>
      <c r="DN60" s="431"/>
      <c r="DO60" s="431"/>
      <c r="DP60" s="432"/>
      <c r="DQ60" s="432"/>
      <c r="DR60" s="432"/>
      <c r="DS60" s="432"/>
      <c r="DT60" s="432"/>
      <c r="DU60" s="432"/>
      <c r="DV60" s="432"/>
      <c r="DW60" s="432"/>
      <c r="DX60" s="432"/>
      <c r="DY60" s="432"/>
      <c r="DZ60" s="432"/>
      <c r="EA60" s="432"/>
      <c r="EB60" s="134"/>
      <c r="EC60" s="134"/>
      <c r="ED60" s="134"/>
      <c r="EE60" s="135"/>
      <c r="EF60" s="135"/>
      <c r="EG60" s="135"/>
      <c r="EH60" s="134"/>
      <c r="EI60" s="134"/>
      <c r="EJ60" s="134"/>
      <c r="EK60" s="134"/>
      <c r="EL60" s="134"/>
      <c r="EM60" s="134"/>
      <c r="EN60" s="134"/>
      <c r="EO60" s="134"/>
      <c r="EP60" s="134"/>
      <c r="EQ60" s="134"/>
      <c r="ER60" s="134"/>
      <c r="ES60" s="134"/>
      <c r="ET60" s="134"/>
      <c r="EU60" s="134"/>
      <c r="EW60" s="138"/>
      <c r="EX60" s="138"/>
      <c r="EY60" s="138"/>
      <c r="EZ60" s="138"/>
      <c r="FA60" s="138"/>
      <c r="FB60" s="138"/>
    </row>
    <row r="61" spans="1:158" s="7" customFormat="1" ht="15.75" customHeight="1" outlineLevel="1">
      <c r="A61" s="31"/>
      <c r="B61" s="31"/>
      <c r="C61" s="37"/>
      <c r="D61" s="25" t="s">
        <v>567</v>
      </c>
      <c r="E61" s="395">
        <v>0.49019000000000001</v>
      </c>
      <c r="F61" s="396"/>
      <c r="G61" s="396"/>
      <c r="H61" s="396"/>
      <c r="I61" s="540"/>
      <c r="K61" s="396"/>
      <c r="L61" s="396"/>
      <c r="M61" s="396"/>
      <c r="N61" s="525"/>
      <c r="O61" s="36"/>
      <c r="P61" s="458"/>
      <c r="Q61" s="458"/>
      <c r="R61" s="101">
        <f>R60+Vlength</f>
        <v>13.683754597606301</v>
      </c>
      <c r="S61" s="101">
        <f>S60+U60*Vlength/SQRT(1+(U60)^2)</f>
        <v>-0.44353558081529115</v>
      </c>
      <c r="T61" s="101">
        <f>T60+Vlength/SQRT(1+(U60)^2)</f>
        <v>13.663340421054279</v>
      </c>
      <c r="U61" s="101">
        <f>U60</f>
        <v>-9.849143422908091E-2</v>
      </c>
      <c r="V61" s="112">
        <f t="shared" ref="V61:V67" si="117">V60*CK61*CK61-2*W60*CK61*CL61+X60*CL61*CL61</f>
        <v>28.930297042250363</v>
      </c>
      <c r="W61" s="112">
        <f t="shared" ref="W61:W67" si="118">-CM61*CK61*V60+(CK61*CN61+CL61*CM61)*W60-X60*CL61*CN61</f>
        <v>0.2489349459057566</v>
      </c>
      <c r="X61" s="112">
        <f t="shared" ref="X61:X67" si="119">(1+W61^2)/V61</f>
        <v>3.670783627773274E-2</v>
      </c>
      <c r="Y61" s="112">
        <f t="shared" ref="Y61:Y67" si="120">ATAN2(CN61*V61+CL61*W61,CL61)+Y60</f>
        <v>2.9013738399229569</v>
      </c>
      <c r="Z61" s="112">
        <f t="shared" ref="Z61:Z67" si="121">Z60*CR61*CR61-2*AA60*CR61*CS61+AB60*CS61*CS61</f>
        <v>15.523537432458056</v>
      </c>
      <c r="AA61" s="112">
        <f t="shared" ref="AA61:AA67" si="122">-CT61*CR61*Z60+(CR61*CU61+CS61*CT61)*AA60-AB60*CS61*CU61</f>
        <v>-2.4551833301192233E-2</v>
      </c>
      <c r="AB61" s="112">
        <f t="shared" ref="AB61:AB67" si="123">(1+AA61^2)/Z61</f>
        <v>6.4457137870283107E-2</v>
      </c>
      <c r="AC61" s="112">
        <f t="shared" ref="AC61:AC67" si="124">ATAN2(CU61*Z61+CS61*AA61,CS61)+AC60</f>
        <v>1.4399530859981098</v>
      </c>
      <c r="AD61" s="101">
        <f>AD60+AE60*$CL61</f>
        <v>0.33790810167974794</v>
      </c>
      <c r="AE61" s="112">
        <f>AE60</f>
        <v>-3.819112643110148E-3</v>
      </c>
      <c r="AF61" s="238">
        <f>AF60</f>
        <v>3.9708306785324696E-3</v>
      </c>
      <c r="AG61" s="112">
        <f>AG60+AH60*$CL61</f>
        <v>0.45680014931222557</v>
      </c>
      <c r="AH61" s="112">
        <f>AH60</f>
        <v>-3.8354948093353713E-3</v>
      </c>
      <c r="AI61" s="112">
        <f>AI60+AJ60*$CL61</f>
        <v>0</v>
      </c>
      <c r="AJ61" s="112">
        <f>AJ60</f>
        <v>0</v>
      </c>
      <c r="AK61" s="112">
        <f>AK60+AL60*$CL61</f>
        <v>0</v>
      </c>
      <c r="AL61" s="112">
        <f>AL60</f>
        <v>0</v>
      </c>
      <c r="AM61" s="112">
        <f>AM60+AN60*$CS61</f>
        <v>0</v>
      </c>
      <c r="AN61" s="112">
        <f>AN60</f>
        <v>0</v>
      </c>
      <c r="AO61" s="112">
        <f>AO60+AP60*$CS61</f>
        <v>0</v>
      </c>
      <c r="AP61" s="112">
        <f>AP60</f>
        <v>0</v>
      </c>
      <c r="AQ61" s="101">
        <f t="shared" si="103"/>
        <v>0.48589837323528562</v>
      </c>
      <c r="AR61" s="101">
        <f t="shared" si="104"/>
        <v>2.3969992288195113E-2</v>
      </c>
      <c r="AS61" s="101">
        <f t="shared" si="105"/>
        <v>1.2342805894227872E-2</v>
      </c>
      <c r="AT61" s="101">
        <f t="shared" si="106"/>
        <v>1.5445716396885883E-3</v>
      </c>
      <c r="AU61" s="101">
        <f t="shared" si="107"/>
        <v>5.9732733094182366</v>
      </c>
      <c r="AV61" s="239">
        <f t="shared" si="74"/>
        <v>3.7012216628845733</v>
      </c>
      <c r="AW61" s="239">
        <f t="shared" si="74"/>
        <v>3.7012216628845733E-2</v>
      </c>
      <c r="AX61" s="239">
        <f t="shared" si="74"/>
        <v>1.0629909222129516E-3</v>
      </c>
      <c r="AY61" s="434">
        <f>0.5*(AD60+AD61)</f>
        <v>0.33884414709301103</v>
      </c>
      <c r="AZ61" s="356">
        <f>0.5*(AE60+AE61)</f>
        <v>-3.819112643110148E-3</v>
      </c>
      <c r="BA61" s="425">
        <f>0.5*(V61+V60)-X60*Vlength*Vlength/6</f>
        <v>29.055262592655424</v>
      </c>
      <c r="BB61" s="356">
        <f t="shared" si="108"/>
        <v>2.8929383096533292</v>
      </c>
      <c r="BC61" s="434"/>
      <c r="BD61" s="434"/>
      <c r="BE61" s="434"/>
      <c r="BF61" s="425">
        <f>0.5*(Z61+Z60)-AB60*Vlength*Vlength/6</f>
        <v>15.516665090308356</v>
      </c>
      <c r="BG61" s="434">
        <f t="shared" si="109"/>
        <v>1.4241574877702243</v>
      </c>
      <c r="BH61" s="434"/>
      <c r="BI61" s="434"/>
      <c r="BJ61" s="434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39"/>
      <c r="CB61" s="239"/>
      <c r="CC61" s="239"/>
      <c r="CD61" s="239"/>
      <c r="CE61" s="239"/>
      <c r="CF61" s="101"/>
      <c r="CG61" s="101"/>
      <c r="CH61" s="112">
        <f>E61</f>
        <v>0.49019000000000001</v>
      </c>
      <c r="CI61" s="240"/>
      <c r="CJ61" s="112"/>
      <c r="CK61" s="30">
        <v>1</v>
      </c>
      <c r="CL61" s="30">
        <f>E61</f>
        <v>0.49019000000000001</v>
      </c>
      <c r="CM61" s="30">
        <v>0</v>
      </c>
      <c r="CN61" s="30">
        <v>1</v>
      </c>
      <c r="CO61" s="112"/>
      <c r="CP61" s="112"/>
      <c r="CQ61" s="112"/>
      <c r="CR61" s="30">
        <v>1</v>
      </c>
      <c r="CS61" s="30">
        <f>CL61</f>
        <v>0.49019000000000001</v>
      </c>
      <c r="CT61" s="30">
        <v>0</v>
      </c>
      <c r="CU61" s="30">
        <v>1</v>
      </c>
      <c r="CV61" s="112"/>
      <c r="CW61" s="30">
        <f t="shared" ref="CW61:CW67" si="125">CW60*CK61+CY60*CL61</f>
        <v>-0.88157873253716301</v>
      </c>
      <c r="CX61" s="30">
        <f t="shared" ref="CX61:CX67" si="126">CX60*CK61+CZ60*CL61</f>
        <v>7.5833484349529225</v>
      </c>
      <c r="CY61" s="30">
        <f t="shared" ref="CY61:CY67" si="127">CW60*CM61+CY60*CN61</f>
        <v>1.2147296328596235E-4</v>
      </c>
      <c r="CZ61" s="30">
        <f t="shared" ref="CZ61:CZ67" si="128">CX60*CM61+CZ60*CN61</f>
        <v>-1.1353735461895686</v>
      </c>
      <c r="DA61" s="112"/>
      <c r="DB61" s="30">
        <f t="shared" ref="DB61:DB67" si="129">DB60*CR61+DD60*CS61</f>
        <v>0.32354882753634517</v>
      </c>
      <c r="DC61" s="30">
        <f t="shared" ref="DC61:DC67" si="130">DC60*CR61+DE60*CS61</f>
        <v>6.2063184683423254</v>
      </c>
      <c r="DD61" s="30">
        <f t="shared" ref="DD61:DD67" si="131">DB60*CT61+DD60*CU61</f>
        <v>-0.15787163098325852</v>
      </c>
      <c r="DE61" s="30">
        <f t="shared" ref="DE61:DE67" si="132">DC60*CT61+DE60*CU61</f>
        <v>6.242761302854527E-2</v>
      </c>
      <c r="DF61" s="30">
        <f>AZ61^2*Vlength</f>
        <v>7.1497257446365975E-6</v>
      </c>
      <c r="DG61" s="112"/>
      <c r="DH61" s="112"/>
      <c r="DI61" s="112"/>
      <c r="DJ61" s="112"/>
      <c r="DK61" s="112"/>
      <c r="DL61" s="36"/>
      <c r="DM61" s="36"/>
      <c r="DN61" s="356"/>
      <c r="DO61" s="356"/>
      <c r="DP61" s="425"/>
      <c r="DQ61" s="425"/>
      <c r="DR61" s="425"/>
      <c r="DS61" s="425"/>
      <c r="DT61" s="425"/>
      <c r="DU61" s="425"/>
      <c r="DV61" s="425"/>
      <c r="DW61" s="425"/>
      <c r="DX61" s="425"/>
      <c r="DY61" s="425"/>
      <c r="DZ61" s="425"/>
      <c r="EA61" s="425"/>
      <c r="EB61" s="112">
        <f>E61*(1/AQ61+1/AQ60)/2</f>
        <v>1.0063200661426155</v>
      </c>
      <c r="EC61" s="112">
        <f>E61*(1/AR61+1/AR60)/2</f>
        <v>20.45298016048071</v>
      </c>
      <c r="ED61" s="112">
        <f>E61*(AS61+AS60)/2</f>
        <v>6.0503200212915611E-3</v>
      </c>
      <c r="EE61" s="238">
        <f>(X61*AD61*AD61+2*W61*AD61*AE61+V61*AE61*AE61)*CH61</f>
        <v>1.9464614903098314E-3</v>
      </c>
      <c r="EF61" s="112">
        <f>SQRT(VaveBetax/VaveBetaz*T_Coupling)</f>
        <v>0.13684004526383858</v>
      </c>
      <c r="EG61" s="112">
        <f>IF(EF61&lt;=1,EF61^(0.021-0.044*LN(EF61)),EF61^(-0.021-0.044*LN(EF61)))/(VaveBetax*VaveBetaz)^(1/4)</f>
        <v>0.17488867877483291</v>
      </c>
      <c r="EH61" s="239">
        <f t="shared" ref="EH61:ET63" si="133">$EG61*Vlength/SQRT(1+EH$7*EH$7/EH$8*1000000000/Vlength*$EE61)</f>
        <v>4.7018123141285423E-2</v>
      </c>
      <c r="EI61" s="239" t="e">
        <f t="shared" si="133"/>
        <v>#DIV/0!</v>
      </c>
      <c r="EJ61" s="239" t="e">
        <f t="shared" si="133"/>
        <v>#DIV/0!</v>
      </c>
      <c r="EK61" s="239" t="e">
        <f t="shared" si="133"/>
        <v>#DIV/0!</v>
      </c>
      <c r="EL61" s="239" t="e">
        <f t="shared" si="133"/>
        <v>#DIV/0!</v>
      </c>
      <c r="EM61" s="239" t="e">
        <f t="shared" si="133"/>
        <v>#DIV/0!</v>
      </c>
      <c r="EN61" s="239" t="e">
        <f t="shared" si="133"/>
        <v>#DIV/0!</v>
      </c>
      <c r="EO61" s="239" t="e">
        <f t="shared" si="133"/>
        <v>#DIV/0!</v>
      </c>
      <c r="EP61" s="239" t="e">
        <f t="shared" si="133"/>
        <v>#DIV/0!</v>
      </c>
      <c r="EQ61" s="239" t="e">
        <f t="shared" si="133"/>
        <v>#DIV/0!</v>
      </c>
      <c r="ER61" s="239" t="e">
        <f t="shared" si="133"/>
        <v>#DIV/0!</v>
      </c>
      <c r="ES61" s="239" t="e">
        <f t="shared" si="133"/>
        <v>#DIV/0!</v>
      </c>
      <c r="ET61" s="239" t="e">
        <f t="shared" si="133"/>
        <v>#DIV/0!</v>
      </c>
      <c r="EU61" s="112">
        <f>Vlength*VaveBetaz</f>
        <v>7.6061140606182533</v>
      </c>
      <c r="EW61" s="30"/>
      <c r="EX61" s="30"/>
      <c r="EY61" s="30"/>
      <c r="EZ61" s="30"/>
      <c r="FA61" s="30"/>
      <c r="FB61" s="30"/>
    </row>
    <row r="62" spans="1:158" s="42" customFormat="1" ht="15.75" customHeight="1" outlineLevel="1">
      <c r="A62" s="39"/>
      <c r="B62" s="39"/>
      <c r="C62" s="40" t="s">
        <v>578</v>
      </c>
      <c r="D62" s="41" t="s">
        <v>670</v>
      </c>
      <c r="E62" s="392">
        <v>0.51961999999999997</v>
      </c>
      <c r="F62" s="393">
        <v>0.74956100000000003</v>
      </c>
      <c r="G62" s="392"/>
      <c r="H62" s="507"/>
      <c r="I62" s="541"/>
      <c r="J62" s="536"/>
      <c r="K62" s="394"/>
      <c r="L62" s="394"/>
      <c r="M62" s="507"/>
      <c r="N62" s="527"/>
      <c r="O62" s="429">
        <f>T_Energy/0.2998*F62</f>
        <v>15.101228952635092</v>
      </c>
      <c r="P62" s="459">
        <f>2*T_Energy/0.2998*G62</f>
        <v>0</v>
      </c>
      <c r="Q62" s="459">
        <f>O62*Vlength</f>
        <v>7.8469005883682454</v>
      </c>
      <c r="R62" s="44">
        <f>R61+Vlength</f>
        <v>14.203374597606301</v>
      </c>
      <c r="S62" s="44">
        <f>S61+U61*Vlength/SQRT(1+(U61)^2)</f>
        <v>-0.49446726308438177</v>
      </c>
      <c r="T62" s="44">
        <f>T61+Vlength/SQRT(1+(U61)^2)</f>
        <v>14.180458307170435</v>
      </c>
      <c r="U62" s="44">
        <f>U61</f>
        <v>-9.849143422908091E-2</v>
      </c>
      <c r="V62" s="45">
        <f t="shared" si="117"/>
        <v>23.243796891367403</v>
      </c>
      <c r="W62" s="45">
        <f t="shared" si="118"/>
        <v>9.9462100916888332</v>
      </c>
      <c r="X62" s="45">
        <f t="shared" si="119"/>
        <v>4.2990865758737149</v>
      </c>
      <c r="Y62" s="45">
        <f t="shared" si="120"/>
        <v>2.9207440259766879</v>
      </c>
      <c r="Z62" s="45">
        <f t="shared" si="121"/>
        <v>18.930730714517328</v>
      </c>
      <c r="AA62" s="45">
        <f t="shared" si="122"/>
        <v>-6.9690314116665624</v>
      </c>
      <c r="AB62" s="45">
        <f t="shared" si="123"/>
        <v>2.6183563415639157</v>
      </c>
      <c r="AC62" s="45">
        <f t="shared" si="124"/>
        <v>1.4713025063193537</v>
      </c>
      <c r="AD62" s="44">
        <f>AD61*$CK62+AE61*$CL62</f>
        <v>0.30236890005244371</v>
      </c>
      <c r="AE62" s="45">
        <f>AD61*$CM62+AE61*$CN62</f>
        <v>-0.13065525746025539</v>
      </c>
      <c r="AF62" s="46">
        <f>AF61</f>
        <v>3.9708306785324696E-3</v>
      </c>
      <c r="AG62" s="45">
        <f>AG61*$CK62+AH61*$CL62</f>
        <v>0.40942326941339185</v>
      </c>
      <c r="AH62" s="45">
        <f>AG61*$CM62+AH61*$CN62</f>
        <v>-0.17543066172029631</v>
      </c>
      <c r="AI62" s="45">
        <f>AI61*$CK62+AJ61*$CL62+0.001*(1-$CK62)*$K62</f>
        <v>0</v>
      </c>
      <c r="AJ62" s="45">
        <f>AI61*$CM62+AJ61*$CN62-0.001*$CM62*$K62</f>
        <v>0</v>
      </c>
      <c r="AK62" s="45">
        <f>AK61*$CK62+AL61*$CL62+0.001*(1-$CK62)*$K62</f>
        <v>0</v>
      </c>
      <c r="AL62" s="45">
        <f>AK61*$CM62+AL61*$CN62-0.001*$CM62*$K62</f>
        <v>0</v>
      </c>
      <c r="AM62" s="45">
        <f>AM61*$CR62+AN61*$CS62+0.001*(1-$CR62)*$L62</f>
        <v>0</v>
      </c>
      <c r="AN62" s="45">
        <f>AM61*$CT62+AN61*$CU62-0.001*$CT62*$L62</f>
        <v>0</v>
      </c>
      <c r="AO62" s="45">
        <f>AO61*$CR62+AP61*$CS62+0.001*(1-$CR62)*$L62</f>
        <v>0</v>
      </c>
      <c r="AP62" s="45">
        <f>AO61*$CT62+AP61*$CU62-0.001*$CT62*$L62</f>
        <v>0</v>
      </c>
      <c r="AQ62" s="44">
        <f t="shared" si="103"/>
        <v>0.4351302119060263</v>
      </c>
      <c r="AR62" s="44">
        <f t="shared" si="104"/>
        <v>2.647013989664692E-2</v>
      </c>
      <c r="AS62" s="44">
        <f t="shared" si="105"/>
        <v>0.1876193314600707</v>
      </c>
      <c r="AT62" s="44">
        <f t="shared" si="106"/>
        <v>9.8443472168283277E-3</v>
      </c>
      <c r="AU62" s="44">
        <f t="shared" si="107"/>
        <v>81.262795293497788</v>
      </c>
      <c r="AV62" s="47">
        <f t="shared" si="74"/>
        <v>3.7012216628845733</v>
      </c>
      <c r="AW62" s="47">
        <f t="shared" si="74"/>
        <v>3.7012216628845733E-2</v>
      </c>
      <c r="AX62" s="47">
        <f t="shared" si="74"/>
        <v>1.0629909222129516E-3</v>
      </c>
      <c r="AY62" s="43">
        <f>IF(VKl=0,0.5*(AD61+AD62),(AE62-AE61)/CJ62/Vlength)</f>
        <v>0.32564933277397373</v>
      </c>
      <c r="AZ62" s="43">
        <f>IF(VKl=0,AE62,(AD62-AD61)/Vlength)</f>
        <v>-6.8394599182680094E-2</v>
      </c>
      <c r="BA62" s="429">
        <f>IF($CJ62=0,0.5*(V62+V61)-X61*Vlength*Vlength/6,-0.5*(($X62-$CJ62*$V62)*Vlength+($W62-$W61))/$CJ62/Vlength)</f>
        <v>26.938417327425309</v>
      </c>
      <c r="BB62" s="428">
        <f t="shared" si="108"/>
        <v>2.9110589329498224</v>
      </c>
      <c r="BC62" s="43">
        <f>IF(CJ62=0,AY62*BA62-(2*W61-X61*Vlength)*AE61*Vlength*Vlength/12,-(2*(X62-CJ62*V62)*AY62+(2*W62*AD62+V62*AE62-2*W61*AD61-V61*AE61)/Vlength)/3/CJ62)</f>
        <v>8.7905538688923421</v>
      </c>
      <c r="BD62" s="43"/>
      <c r="BE62" s="43"/>
      <c r="BF62" s="429">
        <f>IF($CQ62=0,0.5*(Z62+Z61)-AB61*Vlength*Vlength/6,-0.5*(($AB62-$CQ62*$Z62)*Vlength+$AA62-$AA61)/$CQ62/Vlength)</f>
        <v>16.633680190336111</v>
      </c>
      <c r="BG62" s="43">
        <f t="shared" si="109"/>
        <v>1.4556277961587316</v>
      </c>
      <c r="BH62" s="43">
        <f>IF(CQ62=0,AY62*BF62-(2*AA61-AB61*Vlength)*AE61*Vlength*Vlength/12,-(2*(AB62-CQ62*Z62)*AY62+(2*AA62*AD62+Z62*AE62-2*AA61*AD61-Z61*AE61)/Vlength)/5/CQ62)</f>
        <v>5.4061048559682368</v>
      </c>
      <c r="BI62" s="43"/>
      <c r="BJ62" s="43"/>
      <c r="BK62" s="47"/>
      <c r="BL62" s="47"/>
      <c r="BM62" s="47"/>
      <c r="BN62" s="47"/>
      <c r="BO62" s="47"/>
      <c r="BP62" s="47">
        <f>VaveBetax*BR62</f>
        <v>110.08542777593824</v>
      </c>
      <c r="BQ62" s="47">
        <f>VaveBetaz*BS62</f>
        <v>41.972262024589732</v>
      </c>
      <c r="BR62" s="47">
        <f>VaveBetax*VKl^2</f>
        <v>4.0865588515425921</v>
      </c>
      <c r="BS62" s="47">
        <f>VaveBetaz*VKl^2</f>
        <v>2.5233298671315629</v>
      </c>
      <c r="BT62" s="47">
        <f>BS62*AY62^2</f>
        <v>0.26759279364352173</v>
      </c>
      <c r="BU62" s="47">
        <f>(CJ62*(V62-V61))^2</f>
        <v>18.16787251975984</v>
      </c>
      <c r="BV62" s="47">
        <f>(CQ62*(Z62-Z61))^2</f>
        <v>6.5224011426269541</v>
      </c>
      <c r="BW62" s="47">
        <f>1/VaveBetax*(CJ62*Vlength^3)^2</f>
        <v>4.1054147526875209E-4</v>
      </c>
      <c r="BX62" s="47">
        <f>1/VaveBetaz*(CQ62*Vlength^3)^2</f>
        <v>6.648761707846102E-4</v>
      </c>
      <c r="BY62" s="47">
        <f>(CJ62*VaveBetax*(Y62-Y61))^2</f>
        <v>0.15297684565522141</v>
      </c>
      <c r="BZ62" s="47">
        <f>(CQ62*VaveBetaz*(AC62-AC61))^2</f>
        <v>0.15277408375448379</v>
      </c>
      <c r="CA62" s="45">
        <f>AY62^2*VaveBetaz*VHl^2</f>
        <v>0</v>
      </c>
      <c r="CB62" s="47">
        <f>VaveBetax*BS62</f>
        <v>67.974513015546705</v>
      </c>
      <c r="CC62" s="45">
        <f>VaveBetax*VaveBetaz*VHl^2</f>
        <v>0</v>
      </c>
      <c r="CD62" s="45">
        <f>(VaveBetax*VHl)^2</f>
        <v>0</v>
      </c>
      <c r="CE62" s="45">
        <f>(VaveBetaz*VHl)^2</f>
        <v>0</v>
      </c>
      <c r="CF62" s="44">
        <f>$CQ62*Vlength</f>
        <v>0.38948688681999999</v>
      </c>
      <c r="CG62" s="44">
        <f>$G62*Vlength</f>
        <v>0</v>
      </c>
      <c r="CH62" s="45">
        <f>$E62</f>
        <v>0.51961999999999997</v>
      </c>
      <c r="CI62" s="48"/>
      <c r="CJ62" s="49">
        <f>-$CQ62</f>
        <v>-0.74956100000000003</v>
      </c>
      <c r="CK62" s="49">
        <f>IF(CJ62=0,1,IF(CJ62&gt;0,COSH(Vlength*SQRT(CJ62)),COS(Vlength*SQRT(-CJ62))))</f>
        <v>0.90050259669787924</v>
      </c>
      <c r="CL62" s="49">
        <f>IF(CJ62=0,Vlength,IF(CJ62&gt;0,SINH(Vlength*SQRT(CJ62))/SQRT(CJ62),SIN(Vlength*SQRT(-CJ62))/SQRT(-CJ62)))</f>
        <v>0.50226927945707289</v>
      </c>
      <c r="CM62" s="49">
        <f>CL62*CJ62</f>
        <v>-0.37648146337912303</v>
      </c>
      <c r="CN62" s="49">
        <f>CK62</f>
        <v>0.90050259669787924</v>
      </c>
      <c r="CO62" s="45"/>
      <c r="CP62" s="45"/>
      <c r="CQ62" s="49">
        <f>$F62-0.001*$G62*$K62</f>
        <v>0.74956100000000003</v>
      </c>
      <c r="CR62" s="49">
        <f>IF(CQ62=0,1,IF(CQ62&gt;0,COSH(Vlength*SQRT(CQ62)),COS(Vlength*SQRT(-CQ62))))</f>
        <v>1.1029107998148255</v>
      </c>
      <c r="CS62" s="49">
        <f>IF(CQ62=0,Vlength,IF(CQ62&gt;0,SINH(Vlength*SQRT(CQ62))/SQRT(CQ62),SIN(Vlength*SQRT(-CQ62))/SQRT(-CQ62)))</f>
        <v>0.53732545051832314</v>
      </c>
      <c r="CT62" s="49">
        <f>CS62*CQ62</f>
        <v>0.40275820201596485</v>
      </c>
      <c r="CU62" s="49">
        <f>CR62</f>
        <v>1.1029107998148255</v>
      </c>
      <c r="CV62" s="45"/>
      <c r="CW62" s="49">
        <f t="shared" si="125"/>
        <v>-0.7938029257055973</v>
      </c>
      <c r="CX62" s="49">
        <f t="shared" si="126"/>
        <v>6.2585617043806492</v>
      </c>
      <c r="CY62" s="49">
        <f t="shared" si="127"/>
        <v>0.33200743802837124</v>
      </c>
      <c r="CZ62" s="49">
        <f t="shared" si="128"/>
        <v>-3.8773969426706447</v>
      </c>
      <c r="DA62" s="45"/>
      <c r="DB62" s="49">
        <f t="shared" si="129"/>
        <v>0.27201705091511769</v>
      </c>
      <c r="DC62" s="49">
        <f t="shared" si="130"/>
        <v>6.8785596111203038</v>
      </c>
      <c r="DD62" s="49">
        <f t="shared" si="131"/>
        <v>-4.3806382752904771E-2</v>
      </c>
      <c r="DE62" s="49">
        <f t="shared" si="132"/>
        <v>2.5684977560638749</v>
      </c>
      <c r="DF62" s="49">
        <f>AZ62^2*Vlength</f>
        <v>2.4306894505719246E-3</v>
      </c>
      <c r="DG62" s="45"/>
      <c r="DH62" s="45"/>
      <c r="DI62" s="45"/>
      <c r="DJ62" s="45"/>
      <c r="DK62" s="45"/>
      <c r="DL62" s="50"/>
      <c r="DM62" s="50"/>
      <c r="DN62" s="428">
        <f>-VKl*VaveBetax+2*VHl*$BC62</f>
        <v>-10.492160300716828</v>
      </c>
      <c r="DO62" s="428">
        <f>VaveBetaz*VKl-2*VHl*$BH62</f>
        <v>6.4786003136935166</v>
      </c>
      <c r="DP62" s="43" t="str">
        <f>IMPRODUCT(-1/8*(VaveBetax*VKl-2*$BC62*VHl),COMPLEX(COS(2*VmidMux),SIN(2*VmidMux)))</f>
        <v>-1.17456862152075+0.58350095315936i</v>
      </c>
      <c r="DQ62" s="429" t="str">
        <f>IMPRODUCT(1/8*(VaveBetaz*VKl-2*BH62*VHl),COMPLEX(COS(2*VmidMuz),SIN(2*VmidMuz)))</f>
        <v>-0.788437152829831+0.184887669063692i</v>
      </c>
      <c r="DR62" s="429" t="str">
        <f>IMPRODUCT(-1/2*SQRT(VaveBetax)*(VKl-2*VHl*$AY62)*AY62,COMPLEX(COS(VmidMux),SIN(VmidMux)))</f>
        <v>0.320446047456609-0.0752107425621707i</v>
      </c>
      <c r="DS62" s="429" t="str">
        <f>IMPRODUCT(-1/8*VHl*VaveBetax^(3/2),COMPLEX(COS(VmidMux),SIN(VmidMux)))</f>
        <v>0</v>
      </c>
      <c r="DT62" s="429" t="str">
        <f>IMPRODUCT(-1/24*VHl*VaveBetax^(3/2),COMPLEX(COS(3*VmidMux),SIN(3*VmidMux)))</f>
        <v>0</v>
      </c>
      <c r="DU62" s="429" t="str">
        <f>IMPRODUCT(1/4*VHl*VaveBetax^(1/2)*VaveBetaz,COMPLEX(COS(VmidMux),SIN(VmidMux)))</f>
        <v>0</v>
      </c>
      <c r="DV62" s="429" t="str">
        <f>IMPRODUCT(1/8*VHl*VaveBetax^(1/2)*VaveBetaz,COMPLEX(COS(VmidMux-2*VmidMuz),SIN(VmidMux-2*VmidMuz)))</f>
        <v>0</v>
      </c>
      <c r="DW62" s="429" t="str">
        <f>IMPRODUCT(1/8*VHl*VaveBetax^(1/2)*VaveBetaz,COMPLEX(COS(VmidMux+2*VmidMuz),SIN(VmidMux+2*VmidMuz)))</f>
        <v>0</v>
      </c>
      <c r="DX62" s="429">
        <f>VaveBetax^2*F62^2*E62/8/PI()/2</f>
        <v>4.2147723319267945</v>
      </c>
      <c r="DY62" s="429">
        <f>2*VaveBetax*VaveBetaz*F62^2*E62/8/PI()</f>
        <v>10.409991677272464</v>
      </c>
      <c r="DZ62" s="429">
        <f>VaveBetaz^2*F62^2*E62/8/PI()</f>
        <v>3.2139318030299546</v>
      </c>
      <c r="EA62" s="429">
        <f>ABS(F62)</f>
        <v>0.74956100000000003</v>
      </c>
      <c r="EB62" s="45">
        <f>E62*(1/AQ62+1/AQ61)/2</f>
        <v>1.1317859253441569</v>
      </c>
      <c r="EC62" s="45">
        <f>E62*(1/AR62+1/AR61)/2</f>
        <v>20.654179547578003</v>
      </c>
      <c r="ED62" s="45">
        <f>E62*(AS62+AS61)/2</f>
        <v>5.1952162906020311E-2</v>
      </c>
      <c r="EE62" s="46">
        <f>(X62*AD62*AD62+2*W62*AD62*AE62+V62*AE62*AE62)*CH62</f>
        <v>2.0633230371790807E-3</v>
      </c>
      <c r="EF62" s="45">
        <f>SQRT(VaveBetax/VaveBetaz*T_Coupling)</f>
        <v>0.12725998412883482</v>
      </c>
      <c r="EG62" s="45">
        <f>IF(EF62&lt;=1,EF62^(0.021-0.044*LN(EF62)),EF62^(-0.021-0.044*LN(EF62)))/(VaveBetax*VaveBetaz)^(1/4)</f>
        <v>0.17264248989141631</v>
      </c>
      <c r="EH62" s="47">
        <f t="shared" si="133"/>
        <v>4.9200860044179132E-2</v>
      </c>
      <c r="EI62" s="47" t="e">
        <f t="shared" si="133"/>
        <v>#DIV/0!</v>
      </c>
      <c r="EJ62" s="47" t="e">
        <f t="shared" si="133"/>
        <v>#DIV/0!</v>
      </c>
      <c r="EK62" s="47" t="e">
        <f t="shared" si="133"/>
        <v>#DIV/0!</v>
      </c>
      <c r="EL62" s="47" t="e">
        <f t="shared" si="133"/>
        <v>#DIV/0!</v>
      </c>
      <c r="EM62" s="47" t="e">
        <f t="shared" si="133"/>
        <v>#DIV/0!</v>
      </c>
      <c r="EN62" s="47" t="e">
        <f t="shared" si="133"/>
        <v>#DIV/0!</v>
      </c>
      <c r="EO62" s="47" t="e">
        <f t="shared" si="133"/>
        <v>#DIV/0!</v>
      </c>
      <c r="EP62" s="47" t="e">
        <f t="shared" si="133"/>
        <v>#DIV/0!</v>
      </c>
      <c r="EQ62" s="47" t="e">
        <f t="shared" si="133"/>
        <v>#DIV/0!</v>
      </c>
      <c r="ER62" s="47" t="e">
        <f t="shared" si="133"/>
        <v>#DIV/0!</v>
      </c>
      <c r="ES62" s="47" t="e">
        <f t="shared" si="133"/>
        <v>#DIV/0!</v>
      </c>
      <c r="ET62" s="47" t="e">
        <f t="shared" si="133"/>
        <v>#DIV/0!</v>
      </c>
      <c r="EU62" s="45">
        <f>Vlength*VaveBetaz</f>
        <v>8.6431929005024504</v>
      </c>
      <c r="EW62" s="49" t="str">
        <f>IMPRODUCT(VKl*VaveBetax^(ABS(EW$5)/2)*VaveBetaz^(ABS(EW$6)/2),COMPLEX(COS(EW$5*VmidMux+EW$6*VmidMuz+EW$23*$R62),SIN(EW$5*VmidMux+EW$6*VmidMuz+EW$23*$R62)))</f>
        <v>-6.43857721569579-0.719017011003799i</v>
      </c>
      <c r="EX62" s="49" t="str">
        <f>IMPRODUCT(VKl*VaveBetax^(ABS(EX$5)/2)*VaveBetaz^(ABS(EX$6)/2),COMPLEX(COS(EX$5*VmidMux+EX$6*VmidMuz+EX$23*$R62),SIN(EX$5*VmidMux+EX$6*VmidMuz+EX$23*$R62)))</f>
        <v>10.0683360289756+2.95195484104515i</v>
      </c>
      <c r="EY62" s="49" t="str">
        <f>IMPRODUCT(VHl*VaveBetax^(ABS(EY$5)/2)*VaveBetaz^(ABS(EY$6)/2),COMPLEX(COS(EY$5*VmidMux+EY$6*VmidMuz+EY$23*$R62),SIN(EY$5*VmidMux+EY$6*VmidMuz+EY$23*$R62)))</f>
        <v>0</v>
      </c>
      <c r="EZ62" s="49" t="str">
        <f>IMPRODUCT(VHl*VaveBetax^(ABS(EZ$5)/2)*VaveBetaz^(ABS(EZ$6)/2),COMPLEX(COS(EZ$5*VmidMux+EZ$6*VmidMuz+EZ$23*$R62),SIN(EZ$5*VmidMux+EZ$6*VmidMuz+EZ$23*$R62)))</f>
        <v>0</v>
      </c>
      <c r="FA62" s="49" t="str">
        <f>IMPRODUCT(VHl*VaveBetax^(ABS(FA$5)/2)*VaveBetaz^(ABS(FA$6)/2),COMPLEX(COS(FA$5*VmidMux+FA$6*VmidMuz+FA$23*$R62),SIN(FA$5*VmidMux+FA$6*VmidMuz+FA$23*$R62)))</f>
        <v>0</v>
      </c>
      <c r="FB62" s="49"/>
    </row>
    <row r="63" spans="1:158" s="7" customFormat="1" ht="15.75" customHeight="1" outlineLevel="1">
      <c r="A63" s="31"/>
      <c r="B63" s="31"/>
      <c r="C63" s="37"/>
      <c r="D63" s="25" t="s">
        <v>567</v>
      </c>
      <c r="E63" s="395">
        <v>0.42019000000000001</v>
      </c>
      <c r="F63" s="396"/>
      <c r="G63" s="396"/>
      <c r="H63" s="396"/>
      <c r="I63" s="540"/>
      <c r="K63" s="396"/>
      <c r="L63" s="396"/>
      <c r="M63" s="396"/>
      <c r="N63" s="525"/>
      <c r="O63" s="36"/>
      <c r="P63" s="458"/>
      <c r="Q63" s="458"/>
      <c r="R63" s="101">
        <f>R62+Vlength</f>
        <v>14.6235645976063</v>
      </c>
      <c r="S63" s="101">
        <f>S62+U62*Vlength/SQRT(1+(U62)^2)</f>
        <v>-0.53565309806503913</v>
      </c>
      <c r="T63" s="101">
        <f>T62+Vlength/SQRT(1+(U62)^2)</f>
        <v>14.598624976211555</v>
      </c>
      <c r="U63" s="101">
        <f>U62</f>
        <v>-9.849143422908091E-2</v>
      </c>
      <c r="V63" s="112">
        <f t="shared" si="117"/>
        <v>15.6442460159126</v>
      </c>
      <c r="W63" s="112">
        <f t="shared" si="118"/>
        <v>8.1397769033724572</v>
      </c>
      <c r="X63" s="112">
        <f t="shared" si="119"/>
        <v>4.2990865758737149</v>
      </c>
      <c r="Y63" s="112">
        <f t="shared" si="120"/>
        <v>2.9427809010344017</v>
      </c>
      <c r="Z63" s="112">
        <f t="shared" si="121"/>
        <v>25.249661375100327</v>
      </c>
      <c r="AA63" s="112">
        <f t="shared" si="122"/>
        <v>-8.0692385628283034</v>
      </c>
      <c r="AB63" s="112">
        <f t="shared" si="123"/>
        <v>2.6183563415639148</v>
      </c>
      <c r="AC63" s="112">
        <f t="shared" si="124"/>
        <v>1.4905228427170369</v>
      </c>
      <c r="AD63" s="101">
        <f>AD62+AE62*$CL63</f>
        <v>0.24746886742021901</v>
      </c>
      <c r="AE63" s="112">
        <f>AE62</f>
        <v>-0.13065525746025539</v>
      </c>
      <c r="AF63" s="238">
        <f>AF62</f>
        <v>3.9708306785324696E-3</v>
      </c>
      <c r="AG63" s="112">
        <f>AG62+AH62*$CL63</f>
        <v>0.33570905966514053</v>
      </c>
      <c r="AH63" s="112">
        <f>AH62</f>
        <v>-0.17543066172029631</v>
      </c>
      <c r="AI63" s="112">
        <f>AI62+AJ62*$CL63</f>
        <v>0</v>
      </c>
      <c r="AJ63" s="112">
        <f>AJ62</f>
        <v>0</v>
      </c>
      <c r="AK63" s="112">
        <f>AK62+AL62*$CL63</f>
        <v>0</v>
      </c>
      <c r="AL63" s="112">
        <f>AL62</f>
        <v>0</v>
      </c>
      <c r="AM63" s="112">
        <f>AM62+AN62*$CS63</f>
        <v>0</v>
      </c>
      <c r="AN63" s="112">
        <f>AN62</f>
        <v>0</v>
      </c>
      <c r="AO63" s="112">
        <f>AO62+AP62*$CS63</f>
        <v>0</v>
      </c>
      <c r="AP63" s="112">
        <f>AP62</f>
        <v>0</v>
      </c>
      <c r="AQ63" s="101">
        <f t="shared" si="103"/>
        <v>0.35651352214097859</v>
      </c>
      <c r="AR63" s="101">
        <f t="shared" si="104"/>
        <v>3.0570344071014513E-2</v>
      </c>
      <c r="AS63" s="101">
        <f t="shared" si="105"/>
        <v>0.1876193314600707</v>
      </c>
      <c r="AT63" s="101">
        <f t="shared" si="106"/>
        <v>9.8443472168283259E-3</v>
      </c>
      <c r="AU63" s="101">
        <f t="shared" si="107"/>
        <v>66.58120752947616</v>
      </c>
      <c r="AV63" s="239">
        <f t="shared" si="74"/>
        <v>3.7012216628845733</v>
      </c>
      <c r="AW63" s="239">
        <f t="shared" si="74"/>
        <v>3.7012216628845733E-2</v>
      </c>
      <c r="AX63" s="239">
        <f t="shared" si="74"/>
        <v>1.0629909222129516E-3</v>
      </c>
      <c r="AY63" s="434">
        <f>0.5*(AD62+AD63)</f>
        <v>0.27491888373633133</v>
      </c>
      <c r="AZ63" s="356">
        <f>0.5*(AE62+AE63)</f>
        <v>-0.13065525746025539</v>
      </c>
      <c r="BA63" s="425">
        <f>0.5*(V63+V62)-X62*Vlength*Vlength/6</f>
        <v>19.317513926740226</v>
      </c>
      <c r="BB63" s="356">
        <f t="shared" si="108"/>
        <v>2.931762463505545</v>
      </c>
      <c r="BC63" s="434"/>
      <c r="BD63" s="434"/>
      <c r="BE63" s="434"/>
      <c r="BF63" s="425">
        <f>0.5*(Z63+Z62)-AB62*Vlength*Vlength/6</f>
        <v>22.013146704334385</v>
      </c>
      <c r="BG63" s="434">
        <f t="shared" si="109"/>
        <v>1.4809126745181953</v>
      </c>
      <c r="BH63" s="434"/>
      <c r="BI63" s="434"/>
      <c r="BJ63" s="434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39"/>
      <c r="CB63" s="239"/>
      <c r="CC63" s="239"/>
      <c r="CD63" s="239"/>
      <c r="CE63" s="239"/>
      <c r="CF63" s="101"/>
      <c r="CG63" s="101"/>
      <c r="CH63" s="112">
        <f>E63</f>
        <v>0.42019000000000001</v>
      </c>
      <c r="CI63" s="240"/>
      <c r="CJ63" s="112"/>
      <c r="CK63" s="30">
        <v>1</v>
      </c>
      <c r="CL63" s="30">
        <f>E63</f>
        <v>0.42019000000000001</v>
      </c>
      <c r="CM63" s="30">
        <v>0</v>
      </c>
      <c r="CN63" s="30">
        <v>1</v>
      </c>
      <c r="CO63" s="112"/>
      <c r="CP63" s="112"/>
      <c r="CQ63" s="112"/>
      <c r="CR63" s="30">
        <v>1</v>
      </c>
      <c r="CS63" s="30">
        <f>CL63</f>
        <v>0.42019000000000001</v>
      </c>
      <c r="CT63" s="30">
        <v>0</v>
      </c>
      <c r="CU63" s="30">
        <v>1</v>
      </c>
      <c r="CV63" s="112"/>
      <c r="CW63" s="30">
        <f t="shared" si="125"/>
        <v>-0.65429672032045594</v>
      </c>
      <c r="CX63" s="30">
        <f t="shared" si="126"/>
        <v>4.6293182830398711</v>
      </c>
      <c r="CY63" s="30">
        <f t="shared" si="127"/>
        <v>0.33200743802837124</v>
      </c>
      <c r="CZ63" s="30">
        <f t="shared" si="128"/>
        <v>-3.8773969426706447</v>
      </c>
      <c r="DA63" s="112"/>
      <c r="DB63" s="30">
        <f t="shared" si="129"/>
        <v>0.25361004694617462</v>
      </c>
      <c r="DC63" s="30">
        <f t="shared" si="130"/>
        <v>7.9578166832407833</v>
      </c>
      <c r="DD63" s="30">
        <f t="shared" si="131"/>
        <v>-4.3806382752904771E-2</v>
      </c>
      <c r="DE63" s="30">
        <f t="shared" si="132"/>
        <v>2.5684977560638749</v>
      </c>
      <c r="DF63" s="30">
        <f>AZ63^2*Vlength</f>
        <v>7.1729778981397419E-3</v>
      </c>
      <c r="DG63" s="112"/>
      <c r="DH63" s="112"/>
      <c r="DI63" s="112"/>
      <c r="DJ63" s="112"/>
      <c r="DK63" s="112"/>
      <c r="DL63" s="36"/>
      <c r="DM63" s="36"/>
      <c r="DN63" s="356"/>
      <c r="DO63" s="356"/>
      <c r="DP63" s="425"/>
      <c r="DQ63" s="425"/>
      <c r="DR63" s="425"/>
      <c r="DS63" s="425"/>
      <c r="DT63" s="425"/>
      <c r="DU63" s="425"/>
      <c r="DV63" s="425"/>
      <c r="DW63" s="425"/>
      <c r="DX63" s="425"/>
      <c r="DY63" s="425"/>
      <c r="DZ63" s="425"/>
      <c r="EA63" s="425"/>
      <c r="EB63" s="112">
        <f>E63*(1/AQ63+1/AQ62)/2</f>
        <v>1.0721369172653954</v>
      </c>
      <c r="EC63" s="112">
        <f>E63*(1/AR63+1/AR62)/2</f>
        <v>14.809566806751825</v>
      </c>
      <c r="ED63" s="112">
        <f>E63*(AS63+AS62)/2</f>
        <v>7.8835766886207109E-2</v>
      </c>
      <c r="EE63" s="238">
        <f>(X63*AD63*AD63+2*W63*AD63*AE63+V63*AE63*AE63)*CH63</f>
        <v>1.6685033428125665E-3</v>
      </c>
      <c r="EF63" s="112">
        <f>SQRT(VaveBetax/VaveBetaz*T_Coupling)</f>
        <v>9.3677340594258598E-2</v>
      </c>
      <c r="EG63" s="112">
        <f>IF(EF63&lt;=1,EF63^(0.021-0.044*LN(EF63)),EF63^(-0.021-0.044*LN(EF63)))/(VaveBetax*VaveBetaz)^(1/4)</f>
        <v>0.16372051605055829</v>
      </c>
      <c r="EH63" s="239">
        <f t="shared" si="133"/>
        <v>3.7730100530677178E-2</v>
      </c>
      <c r="EI63" s="239" t="e">
        <f t="shared" si="133"/>
        <v>#DIV/0!</v>
      </c>
      <c r="EJ63" s="239" t="e">
        <f t="shared" si="133"/>
        <v>#DIV/0!</v>
      </c>
      <c r="EK63" s="239" t="e">
        <f t="shared" si="133"/>
        <v>#DIV/0!</v>
      </c>
      <c r="EL63" s="239" t="e">
        <f t="shared" si="133"/>
        <v>#DIV/0!</v>
      </c>
      <c r="EM63" s="239" t="e">
        <f t="shared" si="133"/>
        <v>#DIV/0!</v>
      </c>
      <c r="EN63" s="239" t="e">
        <f t="shared" si="133"/>
        <v>#DIV/0!</v>
      </c>
      <c r="EO63" s="239" t="e">
        <f t="shared" si="133"/>
        <v>#DIV/0!</v>
      </c>
      <c r="EP63" s="239" t="e">
        <f t="shared" si="133"/>
        <v>#DIV/0!</v>
      </c>
      <c r="EQ63" s="239" t="e">
        <f t="shared" si="133"/>
        <v>#DIV/0!</v>
      </c>
      <c r="ER63" s="239" t="e">
        <f t="shared" si="133"/>
        <v>#DIV/0!</v>
      </c>
      <c r="ES63" s="239" t="e">
        <f t="shared" si="133"/>
        <v>#DIV/0!</v>
      </c>
      <c r="ET63" s="239" t="e">
        <f t="shared" si="133"/>
        <v>#DIV/0!</v>
      </c>
      <c r="EU63" s="112">
        <f>Vlength*VaveBetaz</f>
        <v>9.2497041136942659</v>
      </c>
      <c r="EW63" s="30"/>
      <c r="EX63" s="30"/>
      <c r="EY63" s="30"/>
      <c r="EZ63" s="30"/>
      <c r="FA63" s="30"/>
      <c r="FB63" s="30"/>
    </row>
    <row r="64" spans="1:158" s="54" customFormat="1" ht="15.75" customHeight="1" outlineLevel="1">
      <c r="A64" s="51"/>
      <c r="B64" s="51"/>
      <c r="C64" s="52" t="s">
        <v>264</v>
      </c>
      <c r="D64" s="53" t="s">
        <v>1125</v>
      </c>
      <c r="E64" s="397">
        <v>-2.5099100000000001</v>
      </c>
      <c r="F64" s="54">
        <v>0</v>
      </c>
      <c r="G64" s="399"/>
      <c r="H64" s="399"/>
      <c r="I64" s="548"/>
      <c r="K64" s="398"/>
      <c r="L64" s="398"/>
      <c r="M64" s="509"/>
      <c r="N64" s="528"/>
      <c r="O64" s="430"/>
      <c r="P64" s="465"/>
      <c r="Q64" s="465"/>
      <c r="R64" s="56">
        <f t="shared" ref="R64:U64" si="134">R63</f>
        <v>14.6235645976063</v>
      </c>
      <c r="S64" s="56">
        <f t="shared" si="134"/>
        <v>-0.53565309806503913</v>
      </c>
      <c r="T64" s="56">
        <f t="shared" si="134"/>
        <v>14.598624976211555</v>
      </c>
      <c r="U64" s="56">
        <f t="shared" si="134"/>
        <v>-9.849143422908091E-2</v>
      </c>
      <c r="V64" s="57">
        <f t="shared" si="117"/>
        <v>15.6442460159126</v>
      </c>
      <c r="W64" s="57">
        <f t="shared" si="118"/>
        <v>8.1397769033724572</v>
      </c>
      <c r="X64" s="57">
        <f t="shared" si="119"/>
        <v>4.2990865758737149</v>
      </c>
      <c r="Y64" s="57">
        <f t="shared" si="120"/>
        <v>2.9427809010344017</v>
      </c>
      <c r="Z64" s="57">
        <f t="shared" si="121"/>
        <v>25.249661375100327</v>
      </c>
      <c r="AA64" s="57">
        <f t="shared" si="122"/>
        <v>-8.0692385628283034</v>
      </c>
      <c r="AB64" s="57">
        <f t="shared" si="123"/>
        <v>2.6183563415639148</v>
      </c>
      <c r="AC64" s="57">
        <f t="shared" si="124"/>
        <v>1.4905228427170369</v>
      </c>
      <c r="AD64" s="56">
        <f>AD63</f>
        <v>0.24746886742021901</v>
      </c>
      <c r="AE64" s="57">
        <f>AD63*$CM64+AE63</f>
        <v>-0.13065525746025539</v>
      </c>
      <c r="AF64" s="58">
        <f t="shared" ref="AF64:AG64" si="135">AF63</f>
        <v>3.9708306785324696E-3</v>
      </c>
      <c r="AG64" s="57">
        <f t="shared" si="135"/>
        <v>0.33570905966514053</v>
      </c>
      <c r="AH64" s="57">
        <f>AG63*$CM64+AH63</f>
        <v>-0.17543066172029631</v>
      </c>
      <c r="AI64" s="57">
        <f>AI63*$CK64+AJ63*$CL64+0.001*(1-$CK64)*$K64</f>
        <v>0</v>
      </c>
      <c r="AJ64" s="57">
        <f>AI63*$CM64+AJ63*$CN64-0.001*$CM64*$K64</f>
        <v>0</v>
      </c>
      <c r="AK64" s="57">
        <f>AK63*$CK64+AL63*$CL64+0.001*(1-$CK64)*$K64</f>
        <v>0</v>
      </c>
      <c r="AL64" s="57">
        <f>AK63*$CM64+AL63*$CN64-0.001*$CM64*$K64</f>
        <v>0</v>
      </c>
      <c r="AM64" s="57">
        <f>AM63*$CR64+AN63*$CS64+0.001*(1-$CR64)*$L64</f>
        <v>0</v>
      </c>
      <c r="AN64" s="57">
        <f>AM63*$CT64+AN63*$CU64-0.001*$CT64*$L64</f>
        <v>0</v>
      </c>
      <c r="AO64" s="57">
        <f>AO63*$CR64+AP63*$CS64+0.001*(1-$CR64)*$L64</f>
        <v>0</v>
      </c>
      <c r="AP64" s="57">
        <f>AO63*$CT64+AP63*$CU64-0.001*$CT64*$L64</f>
        <v>0</v>
      </c>
      <c r="AQ64" s="56">
        <f t="shared" si="103"/>
        <v>0.35651352214097859</v>
      </c>
      <c r="AR64" s="56">
        <f t="shared" si="104"/>
        <v>3.0570344071014513E-2</v>
      </c>
      <c r="AS64" s="56">
        <f t="shared" si="105"/>
        <v>0.1876193314600707</v>
      </c>
      <c r="AT64" s="56">
        <f t="shared" si="106"/>
        <v>9.8443472168283259E-3</v>
      </c>
      <c r="AU64" s="56">
        <f t="shared" si="107"/>
        <v>66.58120752947616</v>
      </c>
      <c r="AV64" s="59">
        <f t="shared" ref="AV64:AX69" si="136">AV63</f>
        <v>3.7012216628845733</v>
      </c>
      <c r="AW64" s="59">
        <f t="shared" si="136"/>
        <v>3.7012216628845733E-2</v>
      </c>
      <c r="AX64" s="59">
        <f t="shared" si="136"/>
        <v>1.0629909222129516E-3</v>
      </c>
      <c r="AY64" s="55">
        <f>AD64</f>
        <v>0.24746886742021901</v>
      </c>
      <c r="AZ64" s="55">
        <f>0.5*(AE63+AE64)</f>
        <v>-0.13065525746025539</v>
      </c>
      <c r="BA64" s="430">
        <f>V64</f>
        <v>15.6442460159126</v>
      </c>
      <c r="BB64" s="55">
        <f t="shared" si="108"/>
        <v>2.9427809010344017</v>
      </c>
      <c r="BC64" s="442">
        <f>VaveBetax*AY64</f>
        <v>3.8714638432011648</v>
      </c>
      <c r="BD64" s="442"/>
      <c r="BE64" s="442"/>
      <c r="BF64" s="430">
        <f>Z64</f>
        <v>25.249661375100327</v>
      </c>
      <c r="BG64" s="442">
        <f t="shared" si="109"/>
        <v>1.4905228427170369</v>
      </c>
      <c r="BH64" s="442">
        <f>VaveBetaz*AY64</f>
        <v>6.2485051032401273</v>
      </c>
      <c r="BI64" s="442"/>
      <c r="BJ64" s="442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>
        <f>AY64^2*VaveBetaz*VHl^2</f>
        <v>9.7412120505981576</v>
      </c>
      <c r="CB64" s="57"/>
      <c r="CC64" s="57">
        <f>VaveBetax*VaveBetaz*VKl^2</f>
        <v>0</v>
      </c>
      <c r="CD64" s="57">
        <f>(VaveBetax*VKl)^2</f>
        <v>0</v>
      </c>
      <c r="CE64" s="57">
        <f>(VaveBetaz*VKl)^2</f>
        <v>0</v>
      </c>
      <c r="CF64" s="56">
        <f>-0.001*$E64*$K64</f>
        <v>0</v>
      </c>
      <c r="CG64" s="56">
        <f>$E64</f>
        <v>-2.5099100000000001</v>
      </c>
      <c r="CH64" s="57"/>
      <c r="CI64" s="60"/>
      <c r="CJ64" s="57"/>
      <c r="CK64" s="61">
        <v>1</v>
      </c>
      <c r="CL64" s="61">
        <v>0</v>
      </c>
      <c r="CM64" s="56">
        <f>-VKl</f>
        <v>0</v>
      </c>
      <c r="CN64" s="61">
        <v>1</v>
      </c>
      <c r="CO64" s="57"/>
      <c r="CP64" s="57"/>
      <c r="CQ64" s="57"/>
      <c r="CR64" s="61">
        <v>1</v>
      </c>
      <c r="CS64" s="61">
        <v>0</v>
      </c>
      <c r="CT64" s="61">
        <f>VKl</f>
        <v>0</v>
      </c>
      <c r="CU64" s="61">
        <v>1</v>
      </c>
      <c r="CV64" s="57"/>
      <c r="CW64" s="61">
        <f t="shared" si="125"/>
        <v>-0.65429672032045594</v>
      </c>
      <c r="CX64" s="61">
        <f t="shared" si="126"/>
        <v>4.6293182830398711</v>
      </c>
      <c r="CY64" s="61">
        <f t="shared" si="127"/>
        <v>0.33200743802837124</v>
      </c>
      <c r="CZ64" s="61">
        <f t="shared" si="128"/>
        <v>-3.8773969426706447</v>
      </c>
      <c r="DA64" s="57"/>
      <c r="DB64" s="61">
        <f t="shared" si="129"/>
        <v>0.25361004694617462</v>
      </c>
      <c r="DC64" s="61">
        <f t="shared" si="130"/>
        <v>7.9578166832407833</v>
      </c>
      <c r="DD64" s="61">
        <f t="shared" si="131"/>
        <v>-4.3806382752904771E-2</v>
      </c>
      <c r="DE64" s="61">
        <f t="shared" si="132"/>
        <v>2.5684977560638749</v>
      </c>
      <c r="DF64" s="61"/>
      <c r="DG64" s="57"/>
      <c r="DH64" s="57"/>
      <c r="DI64" s="57"/>
      <c r="DJ64" s="57"/>
      <c r="DK64" s="57"/>
      <c r="DL64" s="62"/>
      <c r="DM64" s="62"/>
      <c r="DN64" s="55">
        <f>-VaveBetax*VKl+2*VHl*$BC64</f>
        <v>-19.434051629378072</v>
      </c>
      <c r="DO64" s="55">
        <f>VaveBetaz*VKl-2*VHl*$BH64</f>
        <v>31.366370887346857</v>
      </c>
      <c r="DP64" s="430" t="str">
        <f>IMPRODUCT(1/8*V64*(-CM64+2*VHl*AD64),COMPLEX(COS(2*VmidMux),SIN(2*VmidMux)))</f>
        <v>-2.23973520050336+0.940676963327199i</v>
      </c>
      <c r="DQ64" s="430" t="str">
        <f>IMPRODUCT(-1/8*Z64*(-CM64+2*VHl*AD64),COMPLEX(COS(2*VmidMuz),SIN(2*VmidMuz)))</f>
        <v>-3.87037489508605+0.626771310190814i</v>
      </c>
      <c r="DR64" s="430" t="str">
        <f>IMPRODUCT(1/2*SQRT(V64)*AD64*(-CM64+2*VHl*AD64),COMPLEX(COS(Y64),SIN(Y64)))</f>
        <v>0.595986575117421-0.120075357419807i</v>
      </c>
      <c r="DS64" s="430" t="str">
        <f>IMPRODUCT(-1/8*VHl*V64^(3/2),COMPLEX(COS(Y64),SIN(Y64)))</f>
        <v>-19.0309288524048+3.83422325164489i</v>
      </c>
      <c r="DT64" s="430" t="str">
        <f>IMPRODUCT(-1/24*VHl*V64^(3/2),COMPLEX(COS(3*Y64),SIN(3*Y64)))</f>
        <v>-5.35382966050487+3.63480234256176i</v>
      </c>
      <c r="DU64" s="430" t="str">
        <f>IMPRODUCT(1/4*VHl*V64^(1/2)*Z64,COMPLEX(COS(Y64),SIN(Y64)))</f>
        <v>61.4314692683918-12.3767982991441i</v>
      </c>
      <c r="DV64" s="430" t="str">
        <f>IMPRODUCT(1/8*VHl*V64^(1/2)*Z64,COMPLEX(COS(Y64-2*AC64),SIN(Y64-2*AC64)))</f>
        <v>-31.309996223962+1.19865533338397i</v>
      </c>
      <c r="DW64" s="430" t="str">
        <f>IMPRODUCT(1/8*VHl*V64^(1/2)*Z64,COMPLEX(COS(Y64+2*AC64),SIN(Y64+2*AC64)))</f>
        <v>-29.3314639637186+11.0189772618807i</v>
      </c>
      <c r="DX64" s="430"/>
      <c r="DY64" s="430"/>
      <c r="DZ64" s="430"/>
      <c r="EA64" s="430"/>
      <c r="EB64" s="57"/>
      <c r="EC64" s="57"/>
      <c r="ED64" s="57"/>
      <c r="EE64" s="58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W64" s="61" t="str">
        <f>IMPRODUCT(VKl*VaveBetax^(ABS(EW$5)/2)*VaveBetaz^(ABS(EW$6)/2),COMPLEX(COS(EW$5*VmidMux+EW$6*VmidMuz+EW$23*$R64),SIN(EW$5*VmidMux+EW$6*VmidMuz+EW$23*$R64)))</f>
        <v>0</v>
      </c>
      <c r="EX64" s="61" t="str">
        <f>IMPRODUCT(VKl*VaveBetax^(ABS(EX$5)/2)*VaveBetaz^(ABS(EX$6)/2),COMPLEX(COS(EX$5*VmidMux+EX$6*VmidMuz+EX$23*$R64),SIN(EX$5*VmidMux+EX$6*VmidMuz+EX$23*$R64)))</f>
        <v>0</v>
      </c>
      <c r="EY64" s="61" t="str">
        <f t="shared" ref="EY64:FA64" si="137">IMPRODUCT(VHl*VaveBetax^(ABS(EY$5)/2)*VaveBetaz^(ABS(EY$6)/2),COMPLEX(COS(EY$5*VmidMux+EY$6*VmidMuz+EY$23*$R64),SIN(EY$5*VmidMux+EY$6*VmidMuz+EY$23*$R64)))</f>
        <v>119.43572011167-99.2737130404951i</v>
      </c>
      <c r="EZ64" s="61" t="str">
        <f t="shared" si="137"/>
        <v>216.996419932542+125.477976466936i</v>
      </c>
      <c r="FA64" s="61" t="str">
        <f t="shared" si="137"/>
        <v>216.595575837558+126.168638612667i</v>
      </c>
      <c r="FB64" s="61"/>
    </row>
    <row r="65" spans="1:158" s="7" customFormat="1" ht="15.75" customHeight="1" outlineLevel="1">
      <c r="A65" s="31"/>
      <c r="B65" s="31"/>
      <c r="C65" s="37"/>
      <c r="D65" s="25" t="s">
        <v>567</v>
      </c>
      <c r="E65" s="395">
        <v>0.338945</v>
      </c>
      <c r="F65" s="396"/>
      <c r="G65" s="396"/>
      <c r="H65" s="396"/>
      <c r="I65" s="540"/>
      <c r="K65" s="396"/>
      <c r="L65" s="396"/>
      <c r="M65" s="396"/>
      <c r="N65" s="525"/>
      <c r="O65" s="36"/>
      <c r="P65" s="458"/>
      <c r="Q65" s="458"/>
      <c r="R65" s="101">
        <f>R64+Vlength</f>
        <v>14.962509597606301</v>
      </c>
      <c r="S65" s="101">
        <f>S64+U64*Vlength/SQRT(1+(U64)^2)</f>
        <v>-0.56887552800749119</v>
      </c>
      <c r="T65" s="101">
        <f>T64+Vlength/SQRT(1+(U64)^2)</f>
        <v>14.935937862377676</v>
      </c>
      <c r="U65" s="101">
        <f>U64</f>
        <v>-9.849143422908091E-2</v>
      </c>
      <c r="V65" s="112">
        <f t="shared" si="117"/>
        <v>10.620267679337751</v>
      </c>
      <c r="W65" s="112">
        <f t="shared" si="118"/>
        <v>6.6826230039129406</v>
      </c>
      <c r="X65" s="112">
        <f t="shared" si="119"/>
        <v>4.2990865758737149</v>
      </c>
      <c r="Y65" s="112">
        <f t="shared" si="120"/>
        <v>2.9690795988055312</v>
      </c>
      <c r="Z65" s="112">
        <f t="shared" si="121"/>
        <v>31.020524002997426</v>
      </c>
      <c r="AA65" s="112">
        <f t="shared" si="122"/>
        <v>-8.956717353019684</v>
      </c>
      <c r="AB65" s="112">
        <f t="shared" si="123"/>
        <v>2.6183563415639144</v>
      </c>
      <c r="AC65" s="112">
        <f t="shared" si="124"/>
        <v>1.5026340518930277</v>
      </c>
      <c r="AD65" s="101">
        <f>AD64+AE64*$CL65</f>
        <v>0.20318392118035275</v>
      </c>
      <c r="AE65" s="112">
        <f>AE64</f>
        <v>-0.13065525746025539</v>
      </c>
      <c r="AF65" s="238">
        <f>AF64</f>
        <v>3.9708306785324696E-3</v>
      </c>
      <c r="AG65" s="112">
        <f>AG64+AH64*$CL65</f>
        <v>0.27624771402835469</v>
      </c>
      <c r="AH65" s="112">
        <f>AH64</f>
        <v>-0.17543066172029631</v>
      </c>
      <c r="AI65" s="112">
        <f>AI64+AJ64*$CL65</f>
        <v>0</v>
      </c>
      <c r="AJ65" s="112">
        <f>AJ64</f>
        <v>0</v>
      </c>
      <c r="AK65" s="112">
        <f>AK64+AL64*$CL65</f>
        <v>0</v>
      </c>
      <c r="AL65" s="112">
        <f>AL64</f>
        <v>0</v>
      </c>
      <c r="AM65" s="112">
        <f>AM64+AN64*$CS65</f>
        <v>0</v>
      </c>
      <c r="AN65" s="112">
        <f>AN64</f>
        <v>0</v>
      </c>
      <c r="AO65" s="112">
        <f>AO64+AP64*$CS65</f>
        <v>0</v>
      </c>
      <c r="AP65" s="112">
        <f>AP64</f>
        <v>0</v>
      </c>
      <c r="AQ65" s="101">
        <f t="shared" si="103"/>
        <v>0.29318334850878047</v>
      </c>
      <c r="AR65" s="101">
        <f t="shared" si="104"/>
        <v>3.3884190330288985E-2</v>
      </c>
      <c r="AS65" s="101">
        <f t="shared" si="105"/>
        <v>0.1876193314600707</v>
      </c>
      <c r="AT65" s="101">
        <f t="shared" si="106"/>
        <v>9.8443472168283242E-3</v>
      </c>
      <c r="AU65" s="101">
        <f t="shared" si="107"/>
        <v>54.754509661381356</v>
      </c>
      <c r="AV65" s="239">
        <f t="shared" si="136"/>
        <v>3.7012216628845733</v>
      </c>
      <c r="AW65" s="239">
        <f t="shared" si="136"/>
        <v>3.7012216628845733E-2</v>
      </c>
      <c r="AX65" s="239">
        <f t="shared" si="136"/>
        <v>1.0629909222129516E-3</v>
      </c>
      <c r="AY65" s="434">
        <f>0.5*(AD64+AD65)</f>
        <v>0.22532639430028589</v>
      </c>
      <c r="AZ65" s="356">
        <f>0.5*(AE64+AE65)</f>
        <v>-0.13065525746025539</v>
      </c>
      <c r="BA65" s="425">
        <f>0.5*(V65+V64)-X64*Vlength*Vlength/6</f>
        <v>13.049941009549791</v>
      </c>
      <c r="BB65" s="356">
        <f t="shared" si="108"/>
        <v>2.9559302499199664</v>
      </c>
      <c r="BC65" s="434"/>
      <c r="BD65" s="434"/>
      <c r="BE65" s="434"/>
      <c r="BF65" s="425">
        <f>0.5*(Z65+Z64)-AB64*Vlength*Vlength/6</f>
        <v>28.084958272625304</v>
      </c>
      <c r="BG65" s="434">
        <f t="shared" si="109"/>
        <v>1.4965784473050323</v>
      </c>
      <c r="BH65" s="434"/>
      <c r="BI65" s="434"/>
      <c r="BJ65" s="434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39"/>
      <c r="CB65" s="239"/>
      <c r="CC65" s="239"/>
      <c r="CD65" s="239"/>
      <c r="CE65" s="239"/>
      <c r="CF65" s="101"/>
      <c r="CG65" s="101"/>
      <c r="CH65" s="112">
        <f>E65</f>
        <v>0.338945</v>
      </c>
      <c r="CI65" s="240"/>
      <c r="CJ65" s="112"/>
      <c r="CK65" s="30">
        <v>1</v>
      </c>
      <c r="CL65" s="30">
        <f>E65</f>
        <v>0.338945</v>
      </c>
      <c r="CM65" s="30">
        <v>0</v>
      </c>
      <c r="CN65" s="30">
        <v>1</v>
      </c>
      <c r="CO65" s="112"/>
      <c r="CP65" s="112"/>
      <c r="CQ65" s="112"/>
      <c r="CR65" s="30">
        <v>1</v>
      </c>
      <c r="CS65" s="30">
        <f>CL65</f>
        <v>0.338945</v>
      </c>
      <c r="CT65" s="30">
        <v>0</v>
      </c>
      <c r="CU65" s="30">
        <v>1</v>
      </c>
      <c r="CV65" s="112"/>
      <c r="CW65" s="30">
        <f t="shared" si="125"/>
        <v>-0.5417644592379296</v>
      </c>
      <c r="CX65" s="30">
        <f t="shared" si="126"/>
        <v>3.3150939763063692</v>
      </c>
      <c r="CY65" s="30">
        <f t="shared" si="127"/>
        <v>0.33200743802837124</v>
      </c>
      <c r="CZ65" s="30">
        <f t="shared" si="128"/>
        <v>-3.8773969426706447</v>
      </c>
      <c r="DA65" s="112"/>
      <c r="DB65" s="30">
        <f t="shared" si="129"/>
        <v>0.23876209254399131</v>
      </c>
      <c r="DC65" s="30">
        <f t="shared" si="130"/>
        <v>8.8283961551698535</v>
      </c>
      <c r="DD65" s="30">
        <f t="shared" si="131"/>
        <v>-4.3806382752904771E-2</v>
      </c>
      <c r="DE65" s="30">
        <f t="shared" si="132"/>
        <v>2.5684977560638749</v>
      </c>
      <c r="DF65" s="30">
        <f>AZ65^2*Vlength</f>
        <v>5.7860610525832948E-3</v>
      </c>
      <c r="DG65" s="112"/>
      <c r="DH65" s="112"/>
      <c r="DI65" s="112"/>
      <c r="DJ65" s="112"/>
      <c r="DK65" s="112"/>
      <c r="DL65" s="36"/>
      <c r="DM65" s="36"/>
      <c r="DN65" s="356"/>
      <c r="DO65" s="356"/>
      <c r="DP65" s="425"/>
      <c r="DQ65" s="425"/>
      <c r="DR65" s="425"/>
      <c r="DS65" s="425"/>
      <c r="DT65" s="425"/>
      <c r="DU65" s="425"/>
      <c r="DV65" s="425"/>
      <c r="DW65" s="425"/>
      <c r="DX65" s="425"/>
      <c r="DY65" s="425"/>
      <c r="DZ65" s="425"/>
      <c r="EA65" s="425"/>
      <c r="EB65" s="112">
        <f>E65*(1/AQ65+1/AQ64)/2</f>
        <v>1.0534033702824952</v>
      </c>
      <c r="EC65" s="112">
        <f>E65*(1/AR65+1/AR64)/2</f>
        <v>10.54521095896715</v>
      </c>
      <c r="ED65" s="112">
        <f>E65*(AS65+AS64)/2</f>
        <v>6.3592634301733661E-2</v>
      </c>
      <c r="EE65" s="238">
        <f>(X65*AD65*AD65+2*W65*AD65*AE65+V65*AE65*AE65)*CH65</f>
        <v>1.3458932043351943E-3</v>
      </c>
      <c r="EF65" s="112">
        <f>SQRT(VaveBetax/VaveBetaz*T_Coupling)</f>
        <v>6.8165932908730645E-2</v>
      </c>
      <c r="EG65" s="112">
        <f>IF(EF65&lt;=1,EF65^(0.021-0.044*LN(EF65)),EF65^(-0.021-0.044*LN(EF65)))/(VaveBetax*VaveBetaz)^(1/4)</f>
        <v>0.15726801049661057</v>
      </c>
      <c r="EH65" s="239">
        <f t="shared" ref="EH65:ET67" si="138">$EG65*Vlength/SQRT(1+EH$7*EH$7/EH$8*1000000000/Vlength*$EE65)</f>
        <v>2.9235381774923339E-2</v>
      </c>
      <c r="EI65" s="239" t="e">
        <f t="shared" si="138"/>
        <v>#DIV/0!</v>
      </c>
      <c r="EJ65" s="239" t="e">
        <f t="shared" si="138"/>
        <v>#DIV/0!</v>
      </c>
      <c r="EK65" s="239" t="e">
        <f t="shared" si="138"/>
        <v>#DIV/0!</v>
      </c>
      <c r="EL65" s="239" t="e">
        <f t="shared" si="138"/>
        <v>#DIV/0!</v>
      </c>
      <c r="EM65" s="239" t="e">
        <f t="shared" si="138"/>
        <v>#DIV/0!</v>
      </c>
      <c r="EN65" s="239" t="e">
        <f t="shared" si="138"/>
        <v>#DIV/0!</v>
      </c>
      <c r="EO65" s="239" t="e">
        <f t="shared" si="138"/>
        <v>#DIV/0!</v>
      </c>
      <c r="EP65" s="239" t="e">
        <f t="shared" si="138"/>
        <v>#DIV/0!</v>
      </c>
      <c r="EQ65" s="239" t="e">
        <f t="shared" si="138"/>
        <v>#DIV/0!</v>
      </c>
      <c r="ER65" s="239" t="e">
        <f t="shared" si="138"/>
        <v>#DIV/0!</v>
      </c>
      <c r="ES65" s="239" t="e">
        <f t="shared" si="138"/>
        <v>#DIV/0!</v>
      </c>
      <c r="ET65" s="239" t="e">
        <f t="shared" si="138"/>
        <v>#DIV/0!</v>
      </c>
      <c r="EU65" s="112">
        <f>Vlength*VaveBetaz</f>
        <v>9.519256181714983</v>
      </c>
      <c r="EW65" s="30"/>
      <c r="EX65" s="30"/>
      <c r="EY65" s="30"/>
      <c r="EZ65" s="30"/>
      <c r="FA65" s="30"/>
      <c r="FB65" s="30"/>
    </row>
    <row r="66" spans="1:158" s="42" customFormat="1" ht="15.75" customHeight="1" outlineLevel="1">
      <c r="A66" s="39"/>
      <c r="B66" s="39"/>
      <c r="C66" s="40" t="s">
        <v>507</v>
      </c>
      <c r="D66" s="41" t="s">
        <v>670</v>
      </c>
      <c r="E66" s="392">
        <v>0.42210999999999999</v>
      </c>
      <c r="F66" s="393">
        <v>-0.66051000000000004</v>
      </c>
      <c r="G66" s="392"/>
      <c r="H66" s="507"/>
      <c r="I66" s="541"/>
      <c r="J66" s="536"/>
      <c r="K66" s="394"/>
      <c r="L66" s="394"/>
      <c r="M66" s="507"/>
      <c r="N66" s="527"/>
      <c r="O66" s="429">
        <f>T_Energy/0.2998*F66</f>
        <v>-13.30713942628419</v>
      </c>
      <c r="P66" s="459">
        <f>2*T_Energy/0.2998*G66</f>
        <v>0</v>
      </c>
      <c r="Q66" s="459">
        <f>O66*Vlength</f>
        <v>-5.6170766232288187</v>
      </c>
      <c r="R66" s="44">
        <f>R65+Vlength</f>
        <v>15.384619597606301</v>
      </c>
      <c r="S66" s="44">
        <f>S65+U65*Vlength/SQRT(1+(U65)^2)</f>
        <v>-0.61024955595600328</v>
      </c>
      <c r="T66" s="44">
        <f>T65+Vlength/SQRT(1+(U65)^2)</f>
        <v>15.356015286088253</v>
      </c>
      <c r="U66" s="44">
        <f>U65</f>
        <v>-9.849143422908091E-2</v>
      </c>
      <c r="V66" s="45">
        <f t="shared" si="117"/>
        <v>6.6217003802142207</v>
      </c>
      <c r="W66" s="45">
        <f t="shared" si="118"/>
        <v>3.1589131270647726</v>
      </c>
      <c r="X66" s="45">
        <f t="shared" si="119"/>
        <v>1.6579928891296292</v>
      </c>
      <c r="Y66" s="45">
        <f t="shared" si="120"/>
        <v>3.0204306540677601</v>
      </c>
      <c r="Z66" s="45">
        <f t="shared" si="121"/>
        <v>34.94128343455705</v>
      </c>
      <c r="AA66" s="45">
        <f t="shared" si="122"/>
        <v>3.551021807257837E-2</v>
      </c>
      <c r="AB66" s="45">
        <f t="shared" si="123"/>
        <v>2.8655529424466177E-2</v>
      </c>
      <c r="AC66" s="45">
        <f t="shared" si="124"/>
        <v>1.5152056621298093</v>
      </c>
      <c r="AD66" s="44">
        <f>AD65*$CK66+AE65*$CL66</f>
        <v>0.15901871590125924</v>
      </c>
      <c r="AE66" s="45">
        <f>AD65*$CM66+AE65*$CN66</f>
        <v>-8.0652219044452897E-2</v>
      </c>
      <c r="AF66" s="46">
        <f>AF65</f>
        <v>3.9708306785324696E-3</v>
      </c>
      <c r="AG66" s="45">
        <f>AG65*$CK66+AH65*$CL66</f>
        <v>0.21715113822862678</v>
      </c>
      <c r="AH66" s="45">
        <f>AG65*$CM66+AH65*$CN66</f>
        <v>-0.10731563648882707</v>
      </c>
      <c r="AI66" s="45">
        <f>AI65*$CK66+AJ65*$CL66+0.001*(1-$CK66)*$K66</f>
        <v>0</v>
      </c>
      <c r="AJ66" s="45">
        <f>AI65*$CM66+AJ65*$CN66-0.001*$CM66*$K66</f>
        <v>0</v>
      </c>
      <c r="AK66" s="45">
        <f>AK65*$CK66+AL65*$CL66+0.001*(1-$CK66)*$K66</f>
        <v>0</v>
      </c>
      <c r="AL66" s="45">
        <f>AK65*$CM66+AL65*$CN66-0.001*$CM66*$K66</f>
        <v>0</v>
      </c>
      <c r="AM66" s="45">
        <f>AM65*$CR66+AN65*$CS66+0.001*(1-$CR66)*$L66</f>
        <v>0</v>
      </c>
      <c r="AN66" s="45">
        <f>AM65*$CT66+AN65*$CU66-0.001*$CT66*$L66</f>
        <v>0</v>
      </c>
      <c r="AO66" s="45">
        <f>AO65*$CR66+AP65*$CS66+0.001*(1-$CR66)*$L66</f>
        <v>0</v>
      </c>
      <c r="AP66" s="45">
        <f>AO65*$CT66+AP65*$CU66-0.001*$CT66*$L66</f>
        <v>0</v>
      </c>
      <c r="AQ66" s="44">
        <f t="shared" si="103"/>
        <v>0.23039393382716458</v>
      </c>
      <c r="AR66" s="44">
        <f t="shared" si="104"/>
        <v>3.5961845778126077E-2</v>
      </c>
      <c r="AS66" s="44">
        <f t="shared" si="105"/>
        <v>0.11613213984886644</v>
      </c>
      <c r="AT66" s="44">
        <f t="shared" si="106"/>
        <v>1.029856622386148E-3</v>
      </c>
      <c r="AU66" s="44">
        <f t="shared" si="107"/>
        <v>26.609228041520065</v>
      </c>
      <c r="AV66" s="47">
        <f t="shared" si="136"/>
        <v>3.7012216628845733</v>
      </c>
      <c r="AW66" s="47">
        <f t="shared" si="136"/>
        <v>3.7012216628845733E-2</v>
      </c>
      <c r="AX66" s="47">
        <f t="shared" si="136"/>
        <v>1.0629909222129516E-3</v>
      </c>
      <c r="AY66" s="43">
        <f>IF(VKl=0,0.5*(AD65+AD66),(AE66-AE65)/CJ66/Vlength)</f>
        <v>0.17934586036539335</v>
      </c>
      <c r="AZ66" s="43">
        <f>IF(VKl=0,AE66,(AD66-AD65)/Vlength)</f>
        <v>-0.10462961142615317</v>
      </c>
      <c r="BA66" s="429">
        <f>IF($CJ66=0,0.5*(V66+V65)-X65*Vlength*Vlength/6,-0.5*(($X66-$CJ66*$V66)*Vlength+($W66-$W65))/$CJ66/Vlength)</f>
        <v>8.3750085953826279</v>
      </c>
      <c r="BB66" s="428">
        <f t="shared" si="108"/>
        <v>2.9947551264366457</v>
      </c>
      <c r="BC66" s="43">
        <f>IF(CJ66=0,AY66*BA66-(2*W65-X65*Vlength)*AE65*Vlength*Vlength/12,-(2*(X66-CJ66*V66)*AY66+(2*W66*AD66+V66*AE66-2*W65*AD65-V65*AE65)/Vlength)/3/CJ66)</f>
        <v>1.516682932987252</v>
      </c>
      <c r="BD66" s="43"/>
      <c r="BE66" s="43"/>
      <c r="BF66" s="429">
        <f>IF($CQ66=0,0.5*(Z66+Z65)-AB65*Vlength*Vlength/6,-0.5*(($AB66-$CQ66*$Z66)*Vlength+$AA66-$AA65)/$CQ66/Vlength)</f>
        <v>33.618541630600994</v>
      </c>
      <c r="BG66" s="43">
        <f t="shared" si="109"/>
        <v>1.5089198570114184</v>
      </c>
      <c r="BH66" s="43">
        <f>IF(CQ66=0,AY66*BF66-(2*AA65-AB65*Vlength)*AE65*Vlength*Vlength/12,-(2*(AB66-CQ66*Z66)*AY66+(2*AA66*AD66+Z66*AE66-2*AA65*AD65-Z65*AE65)/Vlength)/5/CQ66)</f>
        <v>6.0146057851772303</v>
      </c>
      <c r="BI66" s="43"/>
      <c r="BJ66" s="43"/>
      <c r="BK66" s="47"/>
      <c r="BL66" s="47"/>
      <c r="BM66" s="47"/>
      <c r="BN66" s="47"/>
      <c r="BO66" s="47"/>
      <c r="BP66" s="47">
        <f>VaveBetax*BR66</f>
        <v>5.4523107359231213</v>
      </c>
      <c r="BQ66" s="47">
        <f>VaveBetaz*BS66</f>
        <v>87.855269611417611</v>
      </c>
      <c r="BR66" s="47">
        <f>VaveBetax*VKl^2</f>
        <v>0.65102150927094327</v>
      </c>
      <c r="BS66" s="47">
        <f>VaveBetaz*VKl^2</f>
        <v>2.6132980596471826</v>
      </c>
      <c r="BT66" s="47">
        <f>BS66*AY66^2</f>
        <v>8.4056569097682596E-2</v>
      </c>
      <c r="BU66" s="47">
        <f>(CJ66*(V66-V65))^2</f>
        <v>6.9753758621594528</v>
      </c>
      <c r="BV66" s="47">
        <f>(CQ66*(Z66-Z65))^2</f>
        <v>6.7065502963957133</v>
      </c>
      <c r="BW66" s="47">
        <f>1/VaveBetax*(CJ66*Vlength^3)^2</f>
        <v>2.9466420248478169E-4</v>
      </c>
      <c r="BX66" s="47">
        <f>1/VaveBetaz*(CQ66*Vlength^3)^2</f>
        <v>7.3406373651714436E-5</v>
      </c>
      <c r="BY66" s="47">
        <f>(CJ66*VaveBetax*(Y66-Y65))^2</f>
        <v>8.0691550886764662E-2</v>
      </c>
      <c r="BZ66" s="47">
        <f>(CQ66*VaveBetaz*(AC66-AC65))^2</f>
        <v>7.7928864797677119E-2</v>
      </c>
      <c r="CA66" s="45">
        <f>AY66^2*VaveBetaz*VHl^2</f>
        <v>0</v>
      </c>
      <c r="CB66" s="47">
        <f>VaveBetax*BS66</f>
        <v>21.886393711841897</v>
      </c>
      <c r="CC66" s="45">
        <f>VaveBetax*VaveBetaz*VHl^2</f>
        <v>0</v>
      </c>
      <c r="CD66" s="45">
        <f>(VaveBetax*VHl)^2</f>
        <v>0</v>
      </c>
      <c r="CE66" s="45">
        <f>(VaveBetaz*VHl)^2</f>
        <v>0</v>
      </c>
      <c r="CF66" s="44">
        <f>$CQ66*Vlength</f>
        <v>-0.27880787610000002</v>
      </c>
      <c r="CG66" s="44">
        <f>$G66*Vlength</f>
        <v>0</v>
      </c>
      <c r="CH66" s="45">
        <f>$E66</f>
        <v>0.42210999999999999</v>
      </c>
      <c r="CI66" s="48"/>
      <c r="CJ66" s="49">
        <f>-$CQ66</f>
        <v>0.66051000000000004</v>
      </c>
      <c r="CK66" s="49">
        <f>IF(CJ66=0,1,IF(CJ66&gt;0,COSH(Vlength*SQRT(CJ66)),COS(Vlength*SQRT(-CJ66))))</f>
        <v>1.0594231636932396</v>
      </c>
      <c r="CL66" s="49">
        <f>IF(CJ66=0,Vlength,IF(CJ66&gt;0,SINH(Vlength*SQRT(CJ66))/SQRT(CJ66),SIN(Vlength*SQRT(-CJ66))/SQRT(-CJ66)))</f>
        <v>0.43043837485327002</v>
      </c>
      <c r="CM66" s="49">
        <f>CL66*CJ66</f>
        <v>0.28430885097433339</v>
      </c>
      <c r="CN66" s="49">
        <f>CK66</f>
        <v>1.0594231636932396</v>
      </c>
      <c r="CO66" s="45"/>
      <c r="CP66" s="45"/>
      <c r="CQ66" s="49">
        <f>$F66-0.001*$G66*$K66</f>
        <v>-0.66051000000000004</v>
      </c>
      <c r="CR66" s="49">
        <f>IF(CQ66=0,1,IF(CQ66&gt;0,COSH(Vlength*SQRT(CQ66)),COS(Vlength*SQRT(-CQ66))))</f>
        <v>0.94173104327623502</v>
      </c>
      <c r="CS66" s="49">
        <f>IF(CQ66=0,Vlength,IF(CQ66&gt;0,SINH(Vlength*SQRT(CQ66))/SQRT(CQ66),SIN(Vlength*SQRT(-CQ66))/SQRT(-CQ66)))</f>
        <v>0.41387906525047591</v>
      </c>
      <c r="CT66" s="49">
        <f>CS66*CQ66</f>
        <v>-0.27337126138859186</v>
      </c>
      <c r="CU66" s="49">
        <f>CR66</f>
        <v>0.94173104327623502</v>
      </c>
      <c r="CV66" s="45"/>
      <c r="CW66" s="49">
        <f t="shared" si="125"/>
        <v>-0.43104907531827474</v>
      </c>
      <c r="CX66" s="49">
        <f t="shared" si="126"/>
        <v>1.843106909654705</v>
      </c>
      <c r="CY66" s="49">
        <f t="shared" si="127"/>
        <v>0.19770793946103743</v>
      </c>
      <c r="CZ66" s="49">
        <f t="shared" si="128"/>
        <v>-3.1652935766230312</v>
      </c>
      <c r="DA66" s="45"/>
      <c r="DB66" s="49">
        <f t="shared" si="129"/>
        <v>0.20671912976049311</v>
      </c>
      <c r="DC66" s="49">
        <f t="shared" si="130"/>
        <v>9.37702217204167</v>
      </c>
      <c r="DD66" s="49">
        <f t="shared" si="131"/>
        <v>-0.10652452494258169</v>
      </c>
      <c r="DE66" s="49">
        <f t="shared" si="132"/>
        <v>5.4042784937240462E-3</v>
      </c>
      <c r="DF66" s="49">
        <f>AZ66^2*Vlength</f>
        <v>4.6209882669078425E-3</v>
      </c>
      <c r="DG66" s="45"/>
      <c r="DH66" s="45"/>
      <c r="DI66" s="45"/>
      <c r="DJ66" s="45"/>
      <c r="DK66" s="45"/>
      <c r="DL66" s="50"/>
      <c r="DM66" s="50"/>
      <c r="DN66" s="428">
        <f>-VKl*VaveBetax+2*VHl*$BC66</f>
        <v>2.3350183587978748</v>
      </c>
      <c r="DO66" s="428">
        <f>VaveBetaz*VKl-2*VHl*$BH66</f>
        <v>-9.3731141896072945</v>
      </c>
      <c r="DP66" s="43" t="str">
        <f>IMPRODUCT(-1/8*(VaveBetax*VKl-2*$BC66*VHl),COMPLEX(COS(2*VmidMux),SIN(2*VmidMux)))</f>
        <v>0.279381011218479-0.0844902705602175i</v>
      </c>
      <c r="DQ66" s="429" t="str">
        <f>IMPRODUCT(1/8*(VaveBetaz*VKl-2*BH66*VHl),COMPLEX(COS(2*VmidMuz),SIN(2*VmidMuz)))</f>
        <v>1.1626790130922-0.14462399591127i</v>
      </c>
      <c r="DR66" s="429" t="str">
        <f>IMPRODUCT(-1/2*SQRT(VaveBetax)*(VKl-2*VHl*$AY66)*AY66,COMPLEX(COS(VmidMux),SIN(VmidMux)))</f>
        <v>-0.0715747994330284+0.0105860590649648i</v>
      </c>
      <c r="DS66" s="429" t="str">
        <f>IMPRODUCT(-1/8*VHl*VaveBetax^(3/2),COMPLEX(COS(VmidMux),SIN(VmidMux)))</f>
        <v>0</v>
      </c>
      <c r="DT66" s="429" t="str">
        <f>IMPRODUCT(-1/24*VHl*VaveBetax^(3/2),COMPLEX(COS(3*VmidMux),SIN(3*VmidMux)))</f>
        <v>0</v>
      </c>
      <c r="DU66" s="429" t="str">
        <f>IMPRODUCT(1/4*VHl*VaveBetax^(1/2)*VaveBetaz,COMPLEX(COS(VmidMux),SIN(VmidMux)))</f>
        <v>0</v>
      </c>
      <c r="DV66" s="429" t="str">
        <f>IMPRODUCT(1/8*VHl*VaveBetax^(1/2)*VaveBetaz,COMPLEX(COS(VmidMux-2*VmidMuz),SIN(VmidMux-2*VmidMuz)))</f>
        <v>0</v>
      </c>
      <c r="DW66" s="429" t="str">
        <f>IMPRODUCT(1/8*VHl*VaveBetax^(1/2)*VaveBetaz,COMPLEX(COS(VmidMux+2*VmidMuz),SIN(VmidMux+2*VmidMuz)))</f>
        <v>0</v>
      </c>
      <c r="DX66" s="429">
        <f>VaveBetax^2*F66^2*E66/8/PI()/2</f>
        <v>0.25697158468621162</v>
      </c>
      <c r="DY66" s="429">
        <f>2*VaveBetax*VaveBetaz*F66^2*E66/8/PI()</f>
        <v>4.1260900543638082</v>
      </c>
      <c r="DZ66" s="429">
        <f>VaveBetaz^2*F66^2*E66/8/PI()</f>
        <v>8.2813724120065206</v>
      </c>
      <c r="EA66" s="429">
        <f>ABS(F66)</f>
        <v>0.66051000000000004</v>
      </c>
      <c r="EB66" s="45">
        <f>E66*(1/AQ66+1/AQ65)/2</f>
        <v>1.6359352070967794</v>
      </c>
      <c r="EC66" s="45">
        <f>E66*(1/AR66+1/AR65)/2</f>
        <v>12.097574982918237</v>
      </c>
      <c r="ED66" s="45">
        <f>E66*(AS66+AS65)/2</f>
        <v>6.4108266777107722E-2</v>
      </c>
      <c r="EE66" s="46">
        <f>(X66*AD66*AD66+2*W66*AD66*AE66+V66*AE66*AE66)*CH66</f>
        <v>1.67612733771534E-3</v>
      </c>
      <c r="EF66" s="45">
        <f>SQRT(VaveBetax/VaveBetaz*T_Coupling)</f>
        <v>4.9911795794839418E-2</v>
      </c>
      <c r="EG66" s="45">
        <f>IF(EF66&lt;=1,EF66^(0.021-0.044*LN(EF66)),EF66^(-0.021-0.044*LN(EF66)))/(VaveBetax*VaveBetaz)^(1/4)</f>
        <v>0.1543751431009377</v>
      </c>
      <c r="EH66" s="47">
        <f t="shared" si="138"/>
        <v>3.5738980461641943E-2</v>
      </c>
      <c r="EI66" s="47" t="e">
        <f t="shared" si="138"/>
        <v>#DIV/0!</v>
      </c>
      <c r="EJ66" s="47" t="e">
        <f t="shared" si="138"/>
        <v>#DIV/0!</v>
      </c>
      <c r="EK66" s="47" t="e">
        <f t="shared" si="138"/>
        <v>#DIV/0!</v>
      </c>
      <c r="EL66" s="47" t="e">
        <f t="shared" si="138"/>
        <v>#DIV/0!</v>
      </c>
      <c r="EM66" s="47" t="e">
        <f t="shared" si="138"/>
        <v>#DIV/0!</v>
      </c>
      <c r="EN66" s="47" t="e">
        <f t="shared" si="138"/>
        <v>#DIV/0!</v>
      </c>
      <c r="EO66" s="47" t="e">
        <f t="shared" si="138"/>
        <v>#DIV/0!</v>
      </c>
      <c r="EP66" s="47" t="e">
        <f t="shared" si="138"/>
        <v>#DIV/0!</v>
      </c>
      <c r="EQ66" s="47" t="e">
        <f t="shared" si="138"/>
        <v>#DIV/0!</v>
      </c>
      <c r="ER66" s="47" t="e">
        <f t="shared" si="138"/>
        <v>#DIV/0!</v>
      </c>
      <c r="ES66" s="47" t="e">
        <f t="shared" si="138"/>
        <v>#DIV/0!</v>
      </c>
      <c r="ET66" s="47" t="e">
        <f t="shared" si="138"/>
        <v>#DIV/0!</v>
      </c>
      <c r="EU66" s="45">
        <f>Vlength*VaveBetaz</f>
        <v>14.190722607692985</v>
      </c>
      <c r="EW66" s="49" t="str">
        <f>IMPRODUCT(VKl*VaveBetax^(ABS(EW$5)/2)*VaveBetaz^(ABS(EW$6)/2),COMPLEX(COS(EW$5*VmidMux+EW$6*VmidMuz+EW$23*$R66),SIN(EW$5*VmidMux+EW$6*VmidMuz+EW$23*$R66)))</f>
        <v>9.09046837248524+2.28443743189944i</v>
      </c>
      <c r="EX66" s="49" t="str">
        <f>IMPRODUCT(VKl*VaveBetax^(ABS(EX$5)/2)*VaveBetaz^(ABS(EX$6)/2),COMPLEX(COS(EX$5*VmidMux+EX$6*VmidMuz+EX$23*$R66),SIN(EX$5*VmidMux+EX$6*VmidMuz+EX$23*$R66)))</f>
        <v>-2.03254500549984-1.14937876113175i</v>
      </c>
      <c r="EY66" s="49" t="str">
        <f>IMPRODUCT(VHl*VaveBetax^(ABS(EY$5)/2)*VaveBetaz^(ABS(EY$6)/2),COMPLEX(COS(EY$5*VmidMux+EY$6*VmidMuz+EY$23*$R66),SIN(EY$5*VmidMux+EY$6*VmidMuz+EY$23*$R66)))</f>
        <v>0</v>
      </c>
      <c r="EZ66" s="49" t="str">
        <f>IMPRODUCT(VHl*VaveBetax^(ABS(EZ$5)/2)*VaveBetaz^(ABS(EZ$6)/2),COMPLEX(COS(EZ$5*VmidMux+EZ$6*VmidMuz+EZ$23*$R66),SIN(EZ$5*VmidMux+EZ$6*VmidMuz+EZ$23*$R66)))</f>
        <v>0</v>
      </c>
      <c r="FA66" s="49" t="str">
        <f>IMPRODUCT(VHl*VaveBetax^(ABS(FA$5)/2)*VaveBetaz^(ABS(FA$6)/2),COMPLEX(COS(FA$5*VmidMux+FA$6*VmidMuz+FA$23*$R66),SIN(FA$5*VmidMux+FA$6*VmidMuz+FA$23*$R66)))</f>
        <v>0</v>
      </c>
      <c r="FB66" s="49"/>
    </row>
    <row r="67" spans="1:158" s="7" customFormat="1" ht="15.75" customHeight="1" outlineLevel="1">
      <c r="A67" s="31"/>
      <c r="B67" s="31"/>
      <c r="C67" s="37"/>
      <c r="D67" s="25" t="s">
        <v>567</v>
      </c>
      <c r="E67" s="395">
        <v>0.105945</v>
      </c>
      <c r="F67" s="396"/>
      <c r="G67" s="396"/>
      <c r="H67" s="396"/>
      <c r="I67" s="540"/>
      <c r="K67" s="396"/>
      <c r="L67" s="396"/>
      <c r="M67" s="396"/>
      <c r="N67" s="525"/>
      <c r="O67" s="36"/>
      <c r="P67" s="458"/>
      <c r="Q67" s="458"/>
      <c r="R67" s="101">
        <f>R66+Vlength</f>
        <v>15.490564597606301</v>
      </c>
      <c r="S67" s="101">
        <f>S66+U66*Vlength/SQRT(1+(U66)^2)</f>
        <v>-0.62063398511192258</v>
      </c>
      <c r="T67" s="101">
        <f>T66+Vlength/SQRT(1+(U66)^2)</f>
        <v>15.461450131638031</v>
      </c>
      <c r="U67" s="101">
        <f>U66</f>
        <v>-9.849143422908091E-2</v>
      </c>
      <c r="V67" s="112">
        <f t="shared" si="117"/>
        <v>5.9709681586410674</v>
      </c>
      <c r="W67" s="112">
        <f t="shared" si="118"/>
        <v>2.983257070425934</v>
      </c>
      <c r="X67" s="112">
        <f t="shared" si="119"/>
        <v>1.6579928891296292</v>
      </c>
      <c r="Y67" s="112">
        <f t="shared" si="120"/>
        <v>3.0372804201214127</v>
      </c>
      <c r="Z67" s="112">
        <f t="shared" si="121"/>
        <v>34.934080813941478</v>
      </c>
      <c r="AA67" s="112">
        <f t="shared" si="122"/>
        <v>3.2474308007703304E-2</v>
      </c>
      <c r="AB67" s="112">
        <f t="shared" si="123"/>
        <v>2.8655529424466177E-2</v>
      </c>
      <c r="AC67" s="112">
        <f t="shared" si="124"/>
        <v>1.5182380660126802</v>
      </c>
      <c r="AD67" s="101">
        <f>AD66+AE66*$CL67</f>
        <v>0.15047401655459466</v>
      </c>
      <c r="AE67" s="112">
        <f>AE66</f>
        <v>-8.0652219044452897E-2</v>
      </c>
      <c r="AF67" s="238">
        <f>AF66</f>
        <v>3.9708306785324696E-3</v>
      </c>
      <c r="AG67" s="112">
        <f>AG66+AH66*$CL67</f>
        <v>0.20578158312081798</v>
      </c>
      <c r="AH67" s="112">
        <f>AH66</f>
        <v>-0.10731563648882707</v>
      </c>
      <c r="AI67" s="112">
        <f>AI66+AJ66*$CL67</f>
        <v>0</v>
      </c>
      <c r="AJ67" s="112">
        <f>AJ66</f>
        <v>0</v>
      </c>
      <c r="AK67" s="112">
        <f>AK66+AL66*$CL67</f>
        <v>0</v>
      </c>
      <c r="AL67" s="112">
        <f>AL66</f>
        <v>0</v>
      </c>
      <c r="AM67" s="112">
        <f>AM66+AN66*$CS67</f>
        <v>0</v>
      </c>
      <c r="AN67" s="112">
        <f>AN66</f>
        <v>0</v>
      </c>
      <c r="AO67" s="112">
        <f>AO66+AP66*$CS67</f>
        <v>0</v>
      </c>
      <c r="AP67" s="112">
        <f>AP66</f>
        <v>0</v>
      </c>
      <c r="AQ67" s="101">
        <f t="shared" si="103"/>
        <v>0.21836822871603315</v>
      </c>
      <c r="AR67" s="101">
        <f t="shared" si="104"/>
        <v>3.5958139089991931E-2</v>
      </c>
      <c r="AS67" s="101">
        <f t="shared" si="105"/>
        <v>0.11613213984886644</v>
      </c>
      <c r="AT67" s="101">
        <f t="shared" si="106"/>
        <v>1.029856622386148E-3</v>
      </c>
      <c r="AU67" s="101">
        <f t="shared" si="107"/>
        <v>25.218468497522558</v>
      </c>
      <c r="AV67" s="239">
        <f t="shared" si="136"/>
        <v>3.7012216628845733</v>
      </c>
      <c r="AW67" s="239">
        <f t="shared" si="136"/>
        <v>3.7012216628845733E-2</v>
      </c>
      <c r="AX67" s="239">
        <f t="shared" si="136"/>
        <v>1.0629909222129516E-3</v>
      </c>
      <c r="AY67" s="434">
        <f>0.5*(AD66+AD67)</f>
        <v>0.15474636622792695</v>
      </c>
      <c r="AZ67" s="356">
        <f>0.5*(AE66+AE67)</f>
        <v>-8.0652219044452897E-2</v>
      </c>
      <c r="BA67" s="425">
        <f>0.5*(V67+V66)-X66*Vlength*Vlength/6</f>
        <v>6.2932326226075439</v>
      </c>
      <c r="BB67" s="356">
        <f t="shared" si="108"/>
        <v>3.0288555370945867</v>
      </c>
      <c r="BC67" s="434"/>
      <c r="BD67" s="434"/>
      <c r="BE67" s="434"/>
      <c r="BF67" s="425">
        <f>0.5*(Z67+Z66)-AB66*Vlength*Vlength/6</f>
        <v>34.937628517667292</v>
      </c>
      <c r="BG67" s="434">
        <f t="shared" si="109"/>
        <v>1.5167218640712448</v>
      </c>
      <c r="BH67" s="434"/>
      <c r="BI67" s="434"/>
      <c r="BJ67" s="434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39"/>
      <c r="CB67" s="239"/>
      <c r="CC67" s="239"/>
      <c r="CD67" s="239"/>
      <c r="CE67" s="239"/>
      <c r="CF67" s="101"/>
      <c r="CG67" s="101"/>
      <c r="CH67" s="112">
        <f>E67</f>
        <v>0.105945</v>
      </c>
      <c r="CI67" s="240"/>
      <c r="CJ67" s="112"/>
      <c r="CK67" s="30">
        <v>1</v>
      </c>
      <c r="CL67" s="30">
        <f>E67</f>
        <v>0.105945</v>
      </c>
      <c r="CM67" s="30">
        <v>0</v>
      </c>
      <c r="CN67" s="30">
        <v>1</v>
      </c>
      <c r="CO67" s="112"/>
      <c r="CP67" s="112"/>
      <c r="CQ67" s="112"/>
      <c r="CR67" s="30">
        <v>1</v>
      </c>
      <c r="CS67" s="30">
        <f>CL67</f>
        <v>0.105945</v>
      </c>
      <c r="CT67" s="30">
        <v>0</v>
      </c>
      <c r="CU67" s="30">
        <v>1</v>
      </c>
      <c r="CV67" s="112"/>
      <c r="CW67" s="30">
        <f t="shared" si="125"/>
        <v>-0.41010290767207513</v>
      </c>
      <c r="CX67" s="30">
        <f t="shared" si="126"/>
        <v>1.507759881679378</v>
      </c>
      <c r="CY67" s="30">
        <f t="shared" si="127"/>
        <v>0.19770793946103743</v>
      </c>
      <c r="CZ67" s="30">
        <f t="shared" si="128"/>
        <v>-3.1652935766230312</v>
      </c>
      <c r="DA67" s="112"/>
      <c r="DB67" s="30">
        <f t="shared" si="129"/>
        <v>0.19543338896545129</v>
      </c>
      <c r="DC67" s="30">
        <f t="shared" si="130"/>
        <v>9.3775947283266881</v>
      </c>
      <c r="DD67" s="30">
        <f t="shared" si="131"/>
        <v>-0.10652452494258169</v>
      </c>
      <c r="DE67" s="30">
        <f t="shared" si="132"/>
        <v>5.4042784937240462E-3</v>
      </c>
      <c r="DF67" s="30">
        <f>AZ67^2*Vlength</f>
        <v>6.8914896337618384E-4</v>
      </c>
      <c r="DG67" s="112"/>
      <c r="DH67" s="112"/>
      <c r="DI67" s="112"/>
      <c r="DJ67" s="112"/>
      <c r="DK67" s="112"/>
      <c r="DL67" s="36"/>
      <c r="DM67" s="36"/>
      <c r="DN67" s="356"/>
      <c r="DO67" s="356"/>
      <c r="DP67" s="425"/>
      <c r="DQ67" s="425"/>
      <c r="DR67" s="425"/>
      <c r="DS67" s="425"/>
      <c r="DT67" s="425"/>
      <c r="DU67" s="425"/>
      <c r="DV67" s="425"/>
      <c r="DW67" s="425"/>
      <c r="DX67" s="425"/>
      <c r="DY67" s="425"/>
      <c r="DZ67" s="425"/>
      <c r="EA67" s="425"/>
      <c r="EB67" s="112">
        <f>E67*(1/AQ67+1/AQ66)/2</f>
        <v>0.47250478438739701</v>
      </c>
      <c r="EC67" s="112">
        <f>E67*(1/AR67+1/AR66)/2</f>
        <v>2.9461908390468583</v>
      </c>
      <c r="ED67" s="112">
        <f>E67*(AS67+AS66)/2</f>
        <v>1.2303619556288154E-2</v>
      </c>
      <c r="EE67" s="238">
        <f>(X67*AD67*AD67+2*W67*AD67*AE67+V67*AE67*AE67)*CH67</f>
        <v>4.2068965623712228E-4</v>
      </c>
      <c r="EF67" s="112">
        <f>SQRT(VaveBetax/VaveBetaz*T_Coupling)</f>
        <v>4.2441446894056732E-2</v>
      </c>
      <c r="EG67" s="112">
        <f>IF(EF67&lt;=1,EF67^(0.021-0.044*LN(EF67)),EF67^(-0.021-0.044*LN(EF67)))/(VaveBetax*VaveBetaz)^(1/4)</f>
        <v>0.15662896777549973</v>
      </c>
      <c r="EH67" s="239">
        <f t="shared" si="138"/>
        <v>9.1010541024655247E-3</v>
      </c>
      <c r="EI67" s="239" t="e">
        <f t="shared" si="138"/>
        <v>#DIV/0!</v>
      </c>
      <c r="EJ67" s="239" t="e">
        <f t="shared" si="138"/>
        <v>#DIV/0!</v>
      </c>
      <c r="EK67" s="239" t="e">
        <f t="shared" si="138"/>
        <v>#DIV/0!</v>
      </c>
      <c r="EL67" s="239" t="e">
        <f t="shared" si="138"/>
        <v>#DIV/0!</v>
      </c>
      <c r="EM67" s="239" t="e">
        <f t="shared" si="138"/>
        <v>#DIV/0!</v>
      </c>
      <c r="EN67" s="239" t="e">
        <f t="shared" si="138"/>
        <v>#DIV/0!</v>
      </c>
      <c r="EO67" s="239" t="e">
        <f t="shared" si="138"/>
        <v>#DIV/0!</v>
      </c>
      <c r="EP67" s="239" t="e">
        <f t="shared" si="138"/>
        <v>#DIV/0!</v>
      </c>
      <c r="EQ67" s="239" t="e">
        <f t="shared" si="138"/>
        <v>#DIV/0!</v>
      </c>
      <c r="ER67" s="239" t="e">
        <f t="shared" si="138"/>
        <v>#DIV/0!</v>
      </c>
      <c r="ES67" s="239" t="e">
        <f t="shared" si="138"/>
        <v>#DIV/0!</v>
      </c>
      <c r="ET67" s="239" t="e">
        <f t="shared" si="138"/>
        <v>#DIV/0!</v>
      </c>
      <c r="EU67" s="112">
        <f>Vlength*VaveBetaz</f>
        <v>3.7014670533042611</v>
      </c>
      <c r="EW67" s="30"/>
      <c r="EX67" s="30"/>
      <c r="EY67" s="30"/>
      <c r="EZ67" s="30"/>
      <c r="FA67" s="30"/>
      <c r="FB67" s="30"/>
    </row>
    <row r="68" spans="1:158" s="129" customFormat="1" ht="15.75" customHeight="1" outlineLevel="1">
      <c r="A68" s="119"/>
      <c r="B68" s="119"/>
      <c r="C68" s="120"/>
      <c r="D68" s="121" t="s">
        <v>729</v>
      </c>
      <c r="E68" s="521"/>
      <c r="F68" s="400"/>
      <c r="G68" s="400"/>
      <c r="H68" s="400"/>
      <c r="I68" s="511"/>
      <c r="J68" s="400"/>
      <c r="K68" s="400"/>
      <c r="L68" s="400"/>
      <c r="M68" s="512"/>
      <c r="N68" s="526"/>
      <c r="O68" s="128"/>
      <c r="P68" s="457"/>
      <c r="Q68" s="457"/>
      <c r="R68" s="122">
        <f t="shared" ref="R68:AE68" si="139">R67</f>
        <v>15.490564597606301</v>
      </c>
      <c r="S68" s="122">
        <f t="shared" si="139"/>
        <v>-0.62063398511192258</v>
      </c>
      <c r="T68" s="122">
        <f t="shared" si="139"/>
        <v>15.461450131638031</v>
      </c>
      <c r="U68" s="122">
        <f t="shared" si="139"/>
        <v>-9.849143422908091E-2</v>
      </c>
      <c r="V68" s="123">
        <f t="shared" si="139"/>
        <v>5.9709681586410674</v>
      </c>
      <c r="W68" s="123">
        <f t="shared" si="139"/>
        <v>2.983257070425934</v>
      </c>
      <c r="X68" s="123">
        <f t="shared" si="139"/>
        <v>1.6579928891296292</v>
      </c>
      <c r="Y68" s="123">
        <f t="shared" si="139"/>
        <v>3.0372804201214127</v>
      </c>
      <c r="Z68" s="123">
        <f t="shared" si="139"/>
        <v>34.934080813941478</v>
      </c>
      <c r="AA68" s="123">
        <f t="shared" si="139"/>
        <v>3.2474308007703304E-2</v>
      </c>
      <c r="AB68" s="123">
        <f t="shared" si="139"/>
        <v>2.8655529424466177E-2</v>
      </c>
      <c r="AC68" s="123">
        <f t="shared" si="139"/>
        <v>1.5182380660126802</v>
      </c>
      <c r="AD68" s="123">
        <f t="shared" si="139"/>
        <v>0.15047401655459466</v>
      </c>
      <c r="AE68" s="123">
        <f t="shared" si="139"/>
        <v>-8.0652219044452897E-2</v>
      </c>
      <c r="AF68" s="124">
        <f>AF67</f>
        <v>3.9708306785324696E-3</v>
      </c>
      <c r="AG68" s="123">
        <f t="shared" ref="AG68:AP68" si="140">AG67</f>
        <v>0.20578158312081798</v>
      </c>
      <c r="AH68" s="123">
        <f t="shared" si="140"/>
        <v>-0.10731563648882707</v>
      </c>
      <c r="AI68" s="123">
        <f t="shared" si="140"/>
        <v>0</v>
      </c>
      <c r="AJ68" s="123">
        <f t="shared" si="140"/>
        <v>0</v>
      </c>
      <c r="AK68" s="123">
        <f t="shared" si="140"/>
        <v>0</v>
      </c>
      <c r="AL68" s="123">
        <f t="shared" si="140"/>
        <v>0</v>
      </c>
      <c r="AM68" s="123">
        <f t="shared" si="140"/>
        <v>0</v>
      </c>
      <c r="AN68" s="123">
        <f t="shared" si="140"/>
        <v>0</v>
      </c>
      <c r="AO68" s="123">
        <f t="shared" si="140"/>
        <v>0</v>
      </c>
      <c r="AP68" s="123">
        <f t="shared" si="140"/>
        <v>0</v>
      </c>
      <c r="AQ68" s="122">
        <f t="shared" si="103"/>
        <v>0.21836822871603315</v>
      </c>
      <c r="AR68" s="122">
        <f t="shared" si="104"/>
        <v>3.5958139089991931E-2</v>
      </c>
      <c r="AS68" s="122">
        <f t="shared" si="105"/>
        <v>0.11613213984886644</v>
      </c>
      <c r="AT68" s="122">
        <f t="shared" si="106"/>
        <v>1.029856622386148E-3</v>
      </c>
      <c r="AU68" s="122">
        <f t="shared" si="107"/>
        <v>25.218468497522558</v>
      </c>
      <c r="AV68" s="125">
        <f t="shared" si="136"/>
        <v>3.7012216628845733</v>
      </c>
      <c r="AW68" s="125">
        <f t="shared" si="136"/>
        <v>3.7012216628845733E-2</v>
      </c>
      <c r="AX68" s="125">
        <f t="shared" si="136"/>
        <v>1.0629909222129516E-3</v>
      </c>
      <c r="AY68" s="426">
        <f>AD68</f>
        <v>0.15047401655459466</v>
      </c>
      <c r="AZ68" s="426">
        <f>0.5*(AE67+AE68)</f>
        <v>-8.0652219044452897E-2</v>
      </c>
      <c r="BA68" s="427">
        <f>V68</f>
        <v>5.9709681586410674</v>
      </c>
      <c r="BB68" s="426">
        <f t="shared" si="108"/>
        <v>3.0372804201214127</v>
      </c>
      <c r="BC68" s="467"/>
      <c r="BD68" s="467"/>
      <c r="BE68" s="467"/>
      <c r="BF68" s="427">
        <f>Z68</f>
        <v>34.934080813941478</v>
      </c>
      <c r="BG68" s="467">
        <f t="shared" si="109"/>
        <v>1.5182380660126802</v>
      </c>
      <c r="BH68" s="467"/>
      <c r="BI68" s="467"/>
      <c r="BJ68" s="467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2"/>
      <c r="CG68" s="122"/>
      <c r="CH68" s="123"/>
      <c r="CI68" s="126"/>
      <c r="CJ68" s="123"/>
      <c r="CK68" s="127"/>
      <c r="CL68" s="127"/>
      <c r="CM68" s="127"/>
      <c r="CN68" s="127"/>
      <c r="CO68" s="123"/>
      <c r="CP68" s="123"/>
      <c r="CQ68" s="123"/>
      <c r="CR68" s="127"/>
      <c r="CS68" s="127"/>
      <c r="CT68" s="127"/>
      <c r="CU68" s="127"/>
      <c r="CV68" s="123"/>
      <c r="CW68" s="127">
        <f t="shared" ref="CW68:CZ68" si="141">CW67</f>
        <v>-0.41010290767207513</v>
      </c>
      <c r="CX68" s="127">
        <f t="shared" si="141"/>
        <v>1.507759881679378</v>
      </c>
      <c r="CY68" s="127">
        <f t="shared" si="141"/>
        <v>0.19770793946103743</v>
      </c>
      <c r="CZ68" s="127">
        <f t="shared" si="141"/>
        <v>-3.1652935766230312</v>
      </c>
      <c r="DA68" s="123"/>
      <c r="DB68" s="127">
        <f t="shared" ref="DB68:DE68" si="142">DB67</f>
        <v>0.19543338896545129</v>
      </c>
      <c r="DC68" s="127">
        <f t="shared" si="142"/>
        <v>9.3775947283266881</v>
      </c>
      <c r="DD68" s="127">
        <f t="shared" si="142"/>
        <v>-0.10652452494258169</v>
      </c>
      <c r="DE68" s="127">
        <f t="shared" si="142"/>
        <v>5.4042784937240462E-3</v>
      </c>
      <c r="DF68" s="127"/>
      <c r="DG68" s="123"/>
      <c r="DH68" s="123"/>
      <c r="DI68" s="123"/>
      <c r="DJ68" s="123"/>
      <c r="DK68" s="123"/>
      <c r="DL68" s="128"/>
      <c r="DM68" s="128"/>
      <c r="DN68" s="426"/>
      <c r="DO68" s="426"/>
      <c r="DP68" s="427"/>
      <c r="DQ68" s="427"/>
      <c r="DR68" s="427"/>
      <c r="DS68" s="427"/>
      <c r="DT68" s="427"/>
      <c r="DU68" s="427"/>
      <c r="DV68" s="427"/>
      <c r="DW68" s="427"/>
      <c r="DX68" s="427"/>
      <c r="DY68" s="427"/>
      <c r="DZ68" s="427"/>
      <c r="EA68" s="427"/>
      <c r="EB68" s="123"/>
      <c r="EC68" s="123"/>
      <c r="ED68" s="123"/>
      <c r="EE68" s="124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W68" s="127"/>
      <c r="EX68" s="127"/>
      <c r="EY68" s="127"/>
      <c r="EZ68" s="127"/>
      <c r="FA68" s="127"/>
      <c r="FB68" s="127"/>
    </row>
    <row r="69" spans="1:158" s="7" customFormat="1" ht="15.75" customHeight="1" outlineLevel="1">
      <c r="A69" s="31"/>
      <c r="B69" s="31"/>
      <c r="C69" s="37"/>
      <c r="D69" s="25" t="s">
        <v>567</v>
      </c>
      <c r="E69" s="395">
        <v>0.95474999999999999</v>
      </c>
      <c r="F69" s="396"/>
      <c r="G69" s="396"/>
      <c r="H69" s="396"/>
      <c r="I69" s="540"/>
      <c r="K69" s="396"/>
      <c r="L69" s="396"/>
      <c r="M69" s="396"/>
      <c r="N69" s="525"/>
      <c r="O69" s="36"/>
      <c r="P69" s="458"/>
      <c r="Q69" s="458"/>
      <c r="R69" s="101">
        <f>R68+Vlength</f>
        <v>16.445314597606302</v>
      </c>
      <c r="S69" s="101">
        <f>S68+U68*Vlength/SQRT(1+(U68)^2)</f>
        <v>-0.71421587889278992</v>
      </c>
      <c r="T69" s="101">
        <f>T68+Vlength/SQRT(1+(U68)^2)</f>
        <v>16.411602746567016</v>
      </c>
      <c r="U69" s="101">
        <f>U68</f>
        <v>-9.849143422908091E-2</v>
      </c>
      <c r="V69" s="112">
        <f t="shared" ref="V69:V80" si="143">V68*CK69*CK69-2*W68*CK69*CL69+X68*CL69*CL69</f>
        <v>1.7857781593911923</v>
      </c>
      <c r="W69" s="112">
        <f t="shared" ref="W69:W80" si="144">-CM69*CK69*V68+(CK69*CN69+CL69*CM69)*W68-X68*CL69*CN69</f>
        <v>1.4002883595294207</v>
      </c>
      <c r="X69" s="112">
        <f t="shared" ref="X69:X80" si="145">(1+W69^2)/V69</f>
        <v>1.6579928891296301</v>
      </c>
      <c r="Y69" s="112">
        <f t="shared" ref="Y69:Y80" si="146">ATAN2(CN69*V69+CL69*W69,CL69)+Y68</f>
        <v>3.3339992026383998</v>
      </c>
      <c r="Z69" s="112">
        <f t="shared" ref="Z69:Z80" si="147">Z68*CR69*CR69-2*AA68*CR69*CS69+AB68*CS69*CS69</f>
        <v>34.898192000799789</v>
      </c>
      <c r="AA69" s="112">
        <f t="shared" ref="AA69:AA80" si="148">-CT69*CR69*Z68+(CR69*CU69+CS69*CT69)*AA68-AB68*CS69*CU69</f>
        <v>5.1154412896942218E-3</v>
      </c>
      <c r="AB69" s="112">
        <f t="shared" ref="AB69:AB80" si="149">(1+AA69^2)/Z69</f>
        <v>2.865552942446617E-2</v>
      </c>
      <c r="AC69" s="112">
        <f t="shared" ref="AC69:AC80" si="150">ATAN2(CU69*Z69+CS69*AA69,CS69)+AC68</f>
        <v>1.545585568974982</v>
      </c>
      <c r="AD69" s="101">
        <f>AD68+AE68*$CL69</f>
        <v>7.347131042190326E-2</v>
      </c>
      <c r="AE69" s="112">
        <f>AE68</f>
        <v>-8.0652219044452897E-2</v>
      </c>
      <c r="AF69" s="238">
        <f>AF68</f>
        <v>3.9708306785324696E-3</v>
      </c>
      <c r="AG69" s="112">
        <f>AG68+AH68*$CL69</f>
        <v>0.10332197918311034</v>
      </c>
      <c r="AH69" s="112">
        <f>AH68</f>
        <v>-0.10731563648882707</v>
      </c>
      <c r="AI69" s="112">
        <f>AI68+AJ68*$CL69</f>
        <v>0</v>
      </c>
      <c r="AJ69" s="112">
        <f>AJ68</f>
        <v>0</v>
      </c>
      <c r="AK69" s="112">
        <f>AK68+AL68*$CL69</f>
        <v>0</v>
      </c>
      <c r="AL69" s="112">
        <f>AL68</f>
        <v>0</v>
      </c>
      <c r="AM69" s="112">
        <f>AM68+AN68*$CS69</f>
        <v>0</v>
      </c>
      <c r="AN69" s="112">
        <f>AN68</f>
        <v>0</v>
      </c>
      <c r="AO69" s="112">
        <f>AO68+AP68*$CS69</f>
        <v>0</v>
      </c>
      <c r="AP69" s="112">
        <f>AP68</f>
        <v>0</v>
      </c>
      <c r="AQ69" s="101">
        <f t="shared" si="103"/>
        <v>0.11273449824989416</v>
      </c>
      <c r="AR69" s="101">
        <f t="shared" si="104"/>
        <v>3.5939663914520026E-2</v>
      </c>
      <c r="AS69" s="101">
        <f t="shared" si="105"/>
        <v>0.11613213984886646</v>
      </c>
      <c r="AT69" s="101">
        <f t="shared" si="106"/>
        <v>1.029856622386148E-3</v>
      </c>
      <c r="AU69" s="101">
        <f t="shared" si="107"/>
        <v>13.004393048686666</v>
      </c>
      <c r="AV69" s="239">
        <f t="shared" si="136"/>
        <v>3.7012216628845733</v>
      </c>
      <c r="AW69" s="239">
        <f t="shared" si="136"/>
        <v>3.7012216628845733E-2</v>
      </c>
      <c r="AX69" s="239">
        <f t="shared" si="136"/>
        <v>1.0629909222129516E-3</v>
      </c>
      <c r="AY69" s="434">
        <f>0.5*(AD68+AD69)</f>
        <v>0.11197266348824897</v>
      </c>
      <c r="AZ69" s="356">
        <f>0.5*(AE68+AE69)</f>
        <v>-8.0652219044452897E-2</v>
      </c>
      <c r="BA69" s="425">
        <f>0.5*(V69+V68)-X68*Vlength*Vlength/6</f>
        <v>3.6264832628947223</v>
      </c>
      <c r="BB69" s="356">
        <f t="shared" si="108"/>
        <v>3.1856398113799065</v>
      </c>
      <c r="BC69" s="434"/>
      <c r="BD69" s="434"/>
      <c r="BE69" s="434"/>
      <c r="BF69" s="425">
        <f>0.5*(Z69+Z68)-AB68*Vlength*Vlength/6</f>
        <v>34.911782927704124</v>
      </c>
      <c r="BG69" s="434">
        <f t="shared" si="109"/>
        <v>1.5319118174938311</v>
      </c>
      <c r="BH69" s="434"/>
      <c r="BI69" s="434"/>
      <c r="BJ69" s="434"/>
      <c r="BK69" s="239"/>
      <c r="BL69" s="239"/>
      <c r="BM69" s="239"/>
      <c r="BN69" s="239"/>
      <c r="BO69" s="239"/>
      <c r="BP69" s="239"/>
      <c r="BQ69" s="239"/>
      <c r="BR69" s="239"/>
      <c r="BS69" s="239"/>
      <c r="BT69" s="239"/>
      <c r="BU69" s="239"/>
      <c r="BV69" s="239"/>
      <c r="BW69" s="239"/>
      <c r="BX69" s="239"/>
      <c r="BY69" s="239"/>
      <c r="BZ69" s="239"/>
      <c r="CA69" s="239"/>
      <c r="CB69" s="239"/>
      <c r="CC69" s="239"/>
      <c r="CD69" s="239"/>
      <c r="CE69" s="239"/>
      <c r="CF69" s="101"/>
      <c r="CG69" s="101"/>
      <c r="CH69" s="112">
        <f>E69</f>
        <v>0.95474999999999999</v>
      </c>
      <c r="CI69" s="240"/>
      <c r="CJ69" s="112"/>
      <c r="CK69" s="30">
        <v>1</v>
      </c>
      <c r="CL69" s="30">
        <f>E69</f>
        <v>0.95474999999999999</v>
      </c>
      <c r="CM69" s="30">
        <v>0</v>
      </c>
      <c r="CN69" s="30">
        <v>1</v>
      </c>
      <c r="CO69" s="112"/>
      <c r="CP69" s="112"/>
      <c r="CQ69" s="112"/>
      <c r="CR69" s="30">
        <v>1</v>
      </c>
      <c r="CS69" s="30">
        <f>CL69</f>
        <v>0.95474999999999999</v>
      </c>
      <c r="CT69" s="30">
        <v>0</v>
      </c>
      <c r="CU69" s="30">
        <v>1</v>
      </c>
      <c r="CV69" s="112"/>
      <c r="CW69" s="30">
        <f t="shared" ref="CW69:CW80" si="151">CW68*CK69+CY68*CL69</f>
        <v>-0.22134125247164965</v>
      </c>
      <c r="CX69" s="30">
        <f t="shared" ref="CX69:CX80" si="152">CX68*CK69+CZ68*CL69</f>
        <v>-1.5143041606014611</v>
      </c>
      <c r="CY69" s="30">
        <f t="shared" ref="CY69:CY80" si="153">CW68*CM69+CY68*CN69</f>
        <v>0.19770793946103743</v>
      </c>
      <c r="CZ69" s="30">
        <f t="shared" ref="CZ69:CZ80" si="154">CX68*CM69+CZ68*CN69</f>
        <v>-3.1652935766230312</v>
      </c>
      <c r="DA69" s="112"/>
      <c r="DB69" s="30">
        <f t="shared" ref="DB69:DB80" si="155">DB68*CR69+DD68*CS69</f>
        <v>9.3729098776521427E-2</v>
      </c>
      <c r="DC69" s="30">
        <f t="shared" ref="DC69:DC80" si="156">DC68*CR69+DE68*CS69</f>
        <v>9.3827544632185713</v>
      </c>
      <c r="DD69" s="30">
        <f t="shared" ref="DD69:DD80" si="157">DB68*CT69+DD68*CU69</f>
        <v>-0.10652452494258169</v>
      </c>
      <c r="DE69" s="30">
        <f t="shared" ref="DE69:DE80" si="158">DC68*CT69+DE68*CU69</f>
        <v>5.4042784937240462E-3</v>
      </c>
      <c r="DF69" s="30">
        <f>AZ69^2*Vlength</f>
        <v>6.2104391220294637E-3</v>
      </c>
      <c r="DG69" s="112"/>
      <c r="DH69" s="112"/>
      <c r="DI69" s="112"/>
      <c r="DJ69" s="112"/>
      <c r="DK69" s="112"/>
      <c r="DL69" s="36"/>
      <c r="DM69" s="36"/>
      <c r="DN69" s="356"/>
      <c r="DO69" s="356"/>
      <c r="DP69" s="425"/>
      <c r="DQ69" s="425"/>
      <c r="DR69" s="425"/>
      <c r="DS69" s="425"/>
      <c r="DT69" s="425"/>
      <c r="DU69" s="425"/>
      <c r="DV69" s="425"/>
      <c r="DW69" s="425"/>
      <c r="DX69" s="425"/>
      <c r="DY69" s="425"/>
      <c r="DZ69" s="425"/>
      <c r="EA69" s="425"/>
      <c r="EB69" s="112">
        <f>E69*(1/AQ69+1/AQ68)/2</f>
        <v>6.4206077905318466</v>
      </c>
      <c r="EC69" s="112">
        <f>E69*(1/AR69+1/AR68)/2</f>
        <v>26.558532337431785</v>
      </c>
      <c r="ED69" s="112">
        <f>E69*(AS69+AS68)/2</f>
        <v>0.11087716052070523</v>
      </c>
      <c r="EE69" s="238">
        <f>(X69*AD69*AD69+2*W69*AD69*AE69+V69*AE69*AE69)*CH69</f>
        <v>3.7911505903288722E-3</v>
      </c>
      <c r="EF69" s="112">
        <f>SQRT(VaveBetax/VaveBetaz*T_Coupling)</f>
        <v>3.2229741661095906E-2</v>
      </c>
      <c r="EG69" s="112">
        <f>IF(EF69&lt;=1,EF69^(0.021-0.044*LN(EF69)),EF69^(-0.021-0.044*LN(EF69)))/(VaveBetax*VaveBetaz)^(1/4)</f>
        <v>0.16504627420683654</v>
      </c>
      <c r="EH69" s="239">
        <f t="shared" ref="EH69:ET69" si="159">$EG69*Vlength/SQRT(1+EH$7*EH$7/EH$8*1000000000/Vlength*$EE69)</f>
        <v>8.6424034593199056E-2</v>
      </c>
      <c r="EI69" s="239" t="e">
        <f t="shared" si="159"/>
        <v>#DIV/0!</v>
      </c>
      <c r="EJ69" s="239" t="e">
        <f t="shared" si="159"/>
        <v>#DIV/0!</v>
      </c>
      <c r="EK69" s="239" t="e">
        <f t="shared" si="159"/>
        <v>#DIV/0!</v>
      </c>
      <c r="EL69" s="239" t="e">
        <f t="shared" si="159"/>
        <v>#DIV/0!</v>
      </c>
      <c r="EM69" s="239" t="e">
        <f t="shared" si="159"/>
        <v>#DIV/0!</v>
      </c>
      <c r="EN69" s="239" t="e">
        <f t="shared" si="159"/>
        <v>#DIV/0!</v>
      </c>
      <c r="EO69" s="239" t="e">
        <f t="shared" si="159"/>
        <v>#DIV/0!</v>
      </c>
      <c r="EP69" s="239" t="e">
        <f t="shared" si="159"/>
        <v>#DIV/0!</v>
      </c>
      <c r="EQ69" s="239" t="e">
        <f t="shared" si="159"/>
        <v>#DIV/0!</v>
      </c>
      <c r="ER69" s="239" t="e">
        <f t="shared" si="159"/>
        <v>#DIV/0!</v>
      </c>
      <c r="ES69" s="239" t="e">
        <f t="shared" si="159"/>
        <v>#DIV/0!</v>
      </c>
      <c r="ET69" s="239" t="e">
        <f t="shared" si="159"/>
        <v>#DIV/0!</v>
      </c>
      <c r="EU69" s="112">
        <f>Vlength*VaveBetaz</f>
        <v>33.332024750225514</v>
      </c>
      <c r="EW69" s="30"/>
      <c r="EX69" s="30"/>
      <c r="EY69" s="30"/>
      <c r="EZ69" s="30"/>
      <c r="FA69" s="30"/>
      <c r="FB69" s="30"/>
    </row>
    <row r="70" spans="1:158" s="68" customFormat="1" ht="15.75" customHeight="1" outlineLevel="1">
      <c r="A70" s="63"/>
      <c r="B70" s="63"/>
      <c r="C70" s="64"/>
      <c r="D70" s="65" t="s">
        <v>1077</v>
      </c>
      <c r="E70" s="401">
        <v>4.9087401000000003E-2</v>
      </c>
      <c r="F70" s="402">
        <v>50.036000000000001</v>
      </c>
      <c r="G70" s="405"/>
      <c r="H70" s="405"/>
      <c r="I70" s="544"/>
      <c r="K70" s="401"/>
      <c r="L70" s="401"/>
      <c r="M70" s="554"/>
      <c r="N70" s="530"/>
      <c r="O70" s="75"/>
      <c r="P70" s="461"/>
      <c r="Q70" s="461"/>
      <c r="R70" s="69">
        <f>R69</f>
        <v>16.445314597606302</v>
      </c>
      <c r="S70" s="69">
        <f>S69</f>
        <v>-0.71421587889278992</v>
      </c>
      <c r="T70" s="69">
        <f>T69</f>
        <v>16.411602746567016</v>
      </c>
      <c r="U70" s="69">
        <f>U69</f>
        <v>-9.849143422908091E-2</v>
      </c>
      <c r="V70" s="70">
        <f t="shared" si="143"/>
        <v>1.7857781593911923</v>
      </c>
      <c r="W70" s="70">
        <f t="shared" si="144"/>
        <v>1.3985350282555518</v>
      </c>
      <c r="X70" s="70">
        <f t="shared" si="145"/>
        <v>1.6552449192600065</v>
      </c>
      <c r="Y70" s="70">
        <f t="shared" si="146"/>
        <v>3.3339992026383998</v>
      </c>
      <c r="Z70" s="70">
        <f t="shared" si="147"/>
        <v>34.898192000799789</v>
      </c>
      <c r="AA70" s="70">
        <f t="shared" si="148"/>
        <v>3.9379546892456277E-2</v>
      </c>
      <c r="AB70" s="70">
        <f t="shared" si="149"/>
        <v>2.8699215956245007E-2</v>
      </c>
      <c r="AC70" s="70">
        <f t="shared" si="150"/>
        <v>1.545585568974982</v>
      </c>
      <c r="AD70" s="69">
        <f>AD69</f>
        <v>7.347131042190326E-2</v>
      </c>
      <c r="AE70" s="70">
        <f>AD69*$CM70+AE69</f>
        <v>-8.0580082678792131E-2</v>
      </c>
      <c r="AF70" s="71">
        <f>AF69</f>
        <v>3.9708306785324696E-3</v>
      </c>
      <c r="AG70" s="70">
        <f>AG69</f>
        <v>0.10332197918311034</v>
      </c>
      <c r="AH70" s="70">
        <f>AG69*$CM70+AH69</f>
        <v>-0.1072141918292947</v>
      </c>
      <c r="AI70" s="70">
        <f>AI69</f>
        <v>0</v>
      </c>
      <c r="AJ70" s="70">
        <f>AI69*$CM70+AJ69-0.001*$CM70*K70</f>
        <v>0</v>
      </c>
      <c r="AK70" s="70">
        <f>AK69</f>
        <v>0</v>
      </c>
      <c r="AL70" s="70">
        <f>AK69*$CM70+AL69-0.001*$CM70*$K70</f>
        <v>0</v>
      </c>
      <c r="AM70" s="70">
        <f>AM69</f>
        <v>0</v>
      </c>
      <c r="AN70" s="70">
        <f>AM69*$CT70+AN69-0.001*$CT70*$L70</f>
        <v>0</v>
      </c>
      <c r="AO70" s="70">
        <f>AO69</f>
        <v>0</v>
      </c>
      <c r="AP70" s="70">
        <f>AO69*$CT70+AP69-0.001*$CT70*$L70</f>
        <v>0</v>
      </c>
      <c r="AQ70" s="69">
        <f t="shared" si="103"/>
        <v>0.11273449824989416</v>
      </c>
      <c r="AR70" s="69">
        <f t="shared" si="104"/>
        <v>3.5939663914520026E-2</v>
      </c>
      <c r="AS70" s="69">
        <f t="shared" si="105"/>
        <v>0.11603172385349575</v>
      </c>
      <c r="AT70" s="69">
        <f t="shared" si="106"/>
        <v>1.0306413527753318E-3</v>
      </c>
      <c r="AU70" s="69">
        <f t="shared" si="107"/>
        <v>12.992937966857331</v>
      </c>
      <c r="AV70" s="72">
        <f>AV69</f>
        <v>3.7012216628845733</v>
      </c>
      <c r="AW70" s="72">
        <f>AW69</f>
        <v>3.7012216628845733E-2</v>
      </c>
      <c r="AX70" s="72">
        <f>AX69</f>
        <v>1.0629909222129516E-3</v>
      </c>
      <c r="AY70" s="77">
        <f>AD70</f>
        <v>7.347131042190326E-2</v>
      </c>
      <c r="AZ70" s="77">
        <f>(AE70+AE69)/2</f>
        <v>-8.0616150861622521E-2</v>
      </c>
      <c r="BA70" s="433">
        <f>V70</f>
        <v>1.7857781593911923</v>
      </c>
      <c r="BB70" s="77">
        <f t="shared" si="108"/>
        <v>3.3339992026383998</v>
      </c>
      <c r="BC70" s="488">
        <f>VaveBetax*AY70</f>
        <v>0.13120346149328532</v>
      </c>
      <c r="BD70" s="488"/>
      <c r="BE70" s="488">
        <f>IF(ISERR(FIND("BEND",UPPER(D69))),AZ70,-AZ70)</f>
        <v>-8.0616150861622521E-2</v>
      </c>
      <c r="BF70" s="433">
        <f>Z70</f>
        <v>34.898192000799789</v>
      </c>
      <c r="BG70" s="488">
        <f t="shared" si="109"/>
        <v>1.545585568974982</v>
      </c>
      <c r="BH70" s="488">
        <f>VaveBetaz*AY70</f>
        <v>2.5640158976539427</v>
      </c>
      <c r="BI70" s="488"/>
      <c r="BJ70" s="488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>
        <f>-TAN($E70)/$F70</f>
        <v>-9.8183039402089355E-4</v>
      </c>
      <c r="CG70" s="69">
        <f>-IF(ISERR(FIND("BEND",UPPER(D69))),G71,G69)*CF70/F70</f>
        <v>0</v>
      </c>
      <c r="CI70" s="73"/>
      <c r="CJ70" s="74"/>
      <c r="CK70" s="74">
        <v>1</v>
      </c>
      <c r="CL70" s="74">
        <v>0</v>
      </c>
      <c r="CM70" s="74">
        <f>-VKl</f>
        <v>9.8183039402089355E-4</v>
      </c>
      <c r="CN70" s="74">
        <v>1</v>
      </c>
      <c r="CO70" s="70"/>
      <c r="CP70" s="70"/>
      <c r="CQ70" s="74"/>
      <c r="CR70" s="74">
        <v>1</v>
      </c>
      <c r="CS70" s="74">
        <v>0</v>
      </c>
      <c r="CT70" s="74">
        <f>VKl</f>
        <v>-9.8183039402089355E-4</v>
      </c>
      <c r="CU70" s="74">
        <v>1</v>
      </c>
      <c r="CV70" s="70"/>
      <c r="CW70" s="74">
        <f t="shared" si="151"/>
        <v>-0.22134125247164965</v>
      </c>
      <c r="CX70" s="74">
        <f t="shared" si="152"/>
        <v>-1.5143041606014611</v>
      </c>
      <c r="CY70" s="74">
        <f t="shared" si="153"/>
        <v>0.19749061989191011</v>
      </c>
      <c r="CZ70" s="74">
        <f t="shared" si="154"/>
        <v>-3.1667803664737022</v>
      </c>
      <c r="DA70" s="70"/>
      <c r="DB70" s="74">
        <f t="shared" si="155"/>
        <v>9.3729098776521427E-2</v>
      </c>
      <c r="DC70" s="74">
        <f t="shared" si="156"/>
        <v>9.3827544632185713</v>
      </c>
      <c r="DD70" s="74">
        <f t="shared" si="157"/>
        <v>-0.10661655102056466</v>
      </c>
      <c r="DE70" s="74">
        <f t="shared" si="158"/>
        <v>-3.807995017899142E-3</v>
      </c>
      <c r="DF70" s="74"/>
      <c r="DG70" s="70"/>
      <c r="DH70" s="70"/>
      <c r="DI70" s="70"/>
      <c r="DJ70" s="70"/>
      <c r="DK70" s="70"/>
      <c r="DL70" s="75"/>
      <c r="DM70" s="75"/>
      <c r="DN70" s="77">
        <f>-VaveBetax*VKl+(2*VHl+1*VKl/$F70)*BC70</f>
        <v>1.7507567366098899E-3</v>
      </c>
      <c r="DO70" s="77">
        <f>VaveBetaz*(VKl+BE70/$F70)-(2*VHl+0.5*VKl/$F70)*BH70</f>
        <v>-9.0465624444492188E-2</v>
      </c>
      <c r="DP70" s="433"/>
      <c r="DQ70" s="433"/>
      <c r="DR70" s="433"/>
      <c r="DS70" s="433"/>
      <c r="DT70" s="433"/>
      <c r="DU70" s="433"/>
      <c r="DV70" s="433"/>
      <c r="DW70" s="433"/>
      <c r="DX70" s="433"/>
      <c r="DY70" s="433"/>
      <c r="DZ70" s="433"/>
      <c r="EA70" s="433"/>
      <c r="EB70" s="70"/>
      <c r="EC70" s="70"/>
      <c r="ED70" s="70"/>
      <c r="EE70" s="71"/>
      <c r="EF70" s="71"/>
      <c r="EG70" s="71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W70" s="74"/>
      <c r="EX70" s="74"/>
      <c r="EY70" s="74"/>
      <c r="EZ70" s="74"/>
      <c r="FA70" s="74"/>
      <c r="FB70" s="74"/>
    </row>
    <row r="71" spans="1:158" s="68" customFormat="1" ht="15.75" customHeight="1" outlineLevel="1">
      <c r="A71" s="63"/>
      <c r="B71" s="63"/>
      <c r="C71" s="76" t="s">
        <v>175</v>
      </c>
      <c r="D71" s="65" t="s">
        <v>1132</v>
      </c>
      <c r="E71" s="401">
        <v>5.8500000000000002E-3</v>
      </c>
      <c r="F71" s="402">
        <v>50.036000000000001</v>
      </c>
      <c r="G71" s="403"/>
      <c r="H71" s="535"/>
      <c r="I71" s="542"/>
      <c r="J71" s="537"/>
      <c r="K71" s="403"/>
      <c r="L71" s="403"/>
      <c r="M71" s="508"/>
      <c r="N71" s="531">
        <f>T_Energy/0.2998/F71</f>
        <v>0.40264538551589085</v>
      </c>
      <c r="O71" s="433">
        <f>-G71*N71/F71</f>
        <v>0</v>
      </c>
      <c r="P71" s="462">
        <f>2*H71*N71/F71/F71</f>
        <v>0</v>
      </c>
      <c r="Q71" s="462">
        <f>O71*Vlength</f>
        <v>0</v>
      </c>
      <c r="R71" s="69">
        <f>R70+Vlength</f>
        <v>16.738025197606301</v>
      </c>
      <c r="S71" s="69">
        <f>S70+U70*Vlength/SQRT(1+(U70)^2)</f>
        <v>-0.74290654375556442</v>
      </c>
      <c r="T71" s="69">
        <f>T70+Vlength/SQRT(1+(U70)^2)</f>
        <v>16.702903864144844</v>
      </c>
      <c r="U71" s="69">
        <f>(-SIN(E71)+U70*COS(E71))/(COS(E71)+U70*SIN(E71))</f>
        <v>-0.10440165526234284</v>
      </c>
      <c r="V71" s="70">
        <f t="shared" si="143"/>
        <v>1.1088226026120787</v>
      </c>
      <c r="W71" s="70">
        <f t="shared" si="144"/>
        <v>0.91415140807774398</v>
      </c>
      <c r="X71" s="70">
        <f t="shared" si="145"/>
        <v>1.6555153119770338</v>
      </c>
      <c r="Y71" s="70">
        <f t="shared" si="146"/>
        <v>3.543542632546957</v>
      </c>
      <c r="Z71" s="70">
        <f t="shared" si="147"/>
        <v>34.877597313542694</v>
      </c>
      <c r="AA71" s="70">
        <f t="shared" si="148"/>
        <v>3.0978982170374224E-2</v>
      </c>
      <c r="AB71" s="70">
        <f t="shared" si="149"/>
        <v>2.8699215956245003E-2</v>
      </c>
      <c r="AC71" s="70">
        <f t="shared" si="150"/>
        <v>1.5539757011353927</v>
      </c>
      <c r="AD71" s="69">
        <f>AD70*$CK71+AE70*$CL71+CO71</f>
        <v>5.0739719485952954E-2</v>
      </c>
      <c r="AE71" s="70">
        <f>AD70*$CM71+AE70*$CN71+CP71</f>
        <v>-7.4737327133219345E-2</v>
      </c>
      <c r="AF71" s="71">
        <f>V71*AE71^2+2*W71*AD71*AE71+X71*AD71^2</f>
        <v>3.5224704719624394E-3</v>
      </c>
      <c r="AG71" s="70">
        <f>AG70*$CK71+AH70*$CL71+CO71</f>
        <v>7.2793835863301612E-2</v>
      </c>
      <c r="AH71" s="70">
        <f>AG70*$CM71+AH70*$CN71+CP71</f>
        <v>-0.10137447053764924</v>
      </c>
      <c r="AI71" s="70">
        <f>AI70*$CK71+AJ70*$CL71+0.001*(1-$CK71)*$K71</f>
        <v>0</v>
      </c>
      <c r="AJ71" s="70">
        <f>AI70*$CM71+AJ70*$CN71-0.001*$CM71*K71</f>
        <v>0</v>
      </c>
      <c r="AK71" s="70">
        <f>AK70*$CK71+AL70*$CL71+0.001*(1-$CK71)*$K71</f>
        <v>0</v>
      </c>
      <c r="AL71" s="70">
        <f>AK70*$CM71+AL70*$CN71-0.001*$CM71*$K71</f>
        <v>0</v>
      </c>
      <c r="AM71" s="70">
        <f>AM70*$CR71+AN70*$CS71+0.001*(1-$CR71)*$L71</f>
        <v>0</v>
      </c>
      <c r="AN71" s="70">
        <f>AM70*$CT71+AN70*$CU71-0.001*$CT71*$L71</f>
        <v>0</v>
      </c>
      <c r="AO71" s="70">
        <f>AO70*$CR71+AP70*$CS71+0.001*(1-$CR71)*$L71</f>
        <v>0</v>
      </c>
      <c r="AP71" s="70">
        <f>AO70*$CT71+AP70*$CU71-0.001*$CT71*$L71</f>
        <v>0</v>
      </c>
      <c r="AQ71" s="69">
        <f t="shared" si="103"/>
        <v>8.3744106428225273E-2</v>
      </c>
      <c r="AR71" s="69">
        <f t="shared" si="104"/>
        <v>3.5929057700731452E-2</v>
      </c>
      <c r="AS71" s="69">
        <f t="shared" si="105"/>
        <v>0.11153005467811249</v>
      </c>
      <c r="AT71" s="69">
        <f t="shared" si="106"/>
        <v>1.0306413527753318E-3</v>
      </c>
      <c r="AU71" s="69">
        <f t="shared" si="107"/>
        <v>9.296379946419961</v>
      </c>
      <c r="AV71" s="72">
        <f t="shared" ref="AV71:AX71" si="160">AV70</f>
        <v>3.7012216628845733</v>
      </c>
      <c r="AW71" s="72">
        <f t="shared" si="160"/>
        <v>3.7012216628845733E-2</v>
      </c>
      <c r="AX71" s="72">
        <f t="shared" si="160"/>
        <v>1.0629909222129516E-3</v>
      </c>
      <c r="AY71" s="488">
        <f>IF(Vlength*CJ71=0,0.5*(AD70+AD71)-Vlength*Vlength/12/F71,(AE71-AE70-E71)/CJ71/Vlength)</f>
        <v>6.1962995165823369E-2</v>
      </c>
      <c r="AZ71" s="488">
        <f>IF(VKl=0,AZ70,(AD71-AD70)/Vlength)</f>
        <v>-8.0616150861622521E-2</v>
      </c>
      <c r="BA71" s="433">
        <f>IF($CJ71=0,0.5*(V71+V70)-X70*Vlength*Vlength/6,-0.5*(($X71-$CJ71*$V71)*Vlength+($W71-$W70))/$CJ71/Vlength)</f>
        <v>1.4236696237384228</v>
      </c>
      <c r="BB71" s="77">
        <f t="shared" si="108"/>
        <v>3.4387709175926782</v>
      </c>
      <c r="BC71" s="488">
        <f>IF(CJ71=0,AY71*BA71-(2*W70-X70*Vlength)*AE70*Vlength*Vlength/12-(W70/12-2*X70*Vlength/45)*Vlength^3/F71,-(2*(X71-CJ71*V71)*AY71+(2*W71*AD71+V71*AE71-2*W70*AD70-V70*AE70)/Vlength-BA71/F71)/3/CJ71)</f>
        <v>8.9497867583827426E-2</v>
      </c>
      <c r="BD71" s="488"/>
      <c r="BE71" s="488">
        <f>(X71-CJ71*V71)*AY71+(V71*AE71-V70*AE70)/Vlength-BA71/F71</f>
        <v>0.28264686752589691</v>
      </c>
      <c r="BF71" s="433">
        <f>IF($CQ71=0,0.5*(Z71+Z70)-AB70*Vlength*Vlength/6,-0.5*(($AB71-$CQ71*$Z71)*Vlength+$AA71-$AA70)/$CQ71/Vlength)</f>
        <v>34.887484834781219</v>
      </c>
      <c r="BG71" s="488">
        <f t="shared" si="109"/>
        <v>1.5497806350551873</v>
      </c>
      <c r="BH71" s="488">
        <f>-(2*(AB71-CQ71*Z71)*AY71+(2*AA71*AD71+Z71*AE71-2*AA70*AD70-Z70*AE70)/Vlength-BF71/F71)/(4*CQ71-CJ71)</f>
        <v>2.1617720783751606</v>
      </c>
      <c r="BI71" s="488"/>
      <c r="BJ71" s="488">
        <f>$CQ71*$BH71+($AB71-$CQ71*$Z71)*$AY71</f>
        <v>1.77828937955973E-3</v>
      </c>
      <c r="BK71" s="72">
        <f>VaveBetax*E71^2</f>
        <v>4.8721533698388173E-5</v>
      </c>
      <c r="BL71" s="72">
        <f>VaveBetaz*E71^2</f>
        <v>1.1939369497583003E-3</v>
      </c>
      <c r="BM71" s="72">
        <f>SUMSQ(SQRT(V71)-SQRT(V70),0.5*(SQRT(V71)+SQRT(V70))*(Y71-Y70))/F71/F71</f>
        <v>5.7093694500600729E-5</v>
      </c>
      <c r="BN71" s="72">
        <f>VaveBetax*(CJ71*Vlength)^2</f>
        <v>1.9460580155566504E-8</v>
      </c>
      <c r="BO71" s="72">
        <f>VaveBetaz*(CQ71*Vlength)^2</f>
        <v>0</v>
      </c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69">
        <f>$CQ71*Vlength</f>
        <v>0</v>
      </c>
      <c r="CG71" s="69">
        <f>H71/F71/F71/F71*Vlength</f>
        <v>0</v>
      </c>
      <c r="CH71" s="70">
        <f>E71*F71</f>
        <v>0.29271060000000004</v>
      </c>
      <c r="CI71" s="73"/>
      <c r="CJ71" s="74">
        <f>-((1-$G71)-0.001*$K71*$H71/$F71)/$F71/$F71</f>
        <v>-3.9942462148334022E-4</v>
      </c>
      <c r="CK71" s="74">
        <f>IF(CJ71=0,1,IF(CJ71&gt;0,COSH(Vlength*SQRT(CJ71)),COS(Vlength*SQRT(-CJ71))))</f>
        <v>0.99998288879879904</v>
      </c>
      <c r="CL71" s="74">
        <f>IF(CJ71=0,Vlength,IF(CJ71&gt;0,SINH(Vlength*SQRT(CJ71))/SQRT(CJ71),SIN(Vlength*SQRT(-CJ71))/SQRT(-CJ71)))</f>
        <v>0.29270893045477209</v>
      </c>
      <c r="CM71" s="74">
        <f>CL71*CJ71</f>
        <v>-1.169151537516907E-4</v>
      </c>
      <c r="CN71" s="74">
        <f>CK71</f>
        <v>0.99998288879879904</v>
      </c>
      <c r="CO71" s="70">
        <f>IF(CJ71=0,0.5*E71*E71*F71,(CK71-1)/F71/CJ71)</f>
        <v>8.5617606329117856E-4</v>
      </c>
      <c r="CP71" s="70">
        <f>CL71/F71</f>
        <v>5.8499666331195957E-3</v>
      </c>
      <c r="CQ71" s="74">
        <f>-($G71+0.001*$K71*$H71/$F71)/$F71/$F71</f>
        <v>0</v>
      </c>
      <c r="CR71" s="74">
        <f>IF(CQ71=0,1,IF(CQ71&gt;0,COSH(Vlength*SQRT(CQ71)),COS(Vlength*SQRT(-CQ71))))</f>
        <v>1</v>
      </c>
      <c r="CS71" s="74">
        <f>IF(CQ71=0,Vlength,IF(CQ71&gt;0,SINH(Vlength*SQRT(CQ71))/SQRT(CQ71),SIN(Vlength*SQRT(-CQ71))/SQRT(-CQ71)))</f>
        <v>0.29271060000000004</v>
      </c>
      <c r="CT71" s="74">
        <f>CS71*CQ71</f>
        <v>0</v>
      </c>
      <c r="CU71" s="74">
        <f>CR71</f>
        <v>1</v>
      </c>
      <c r="CV71" s="70"/>
      <c r="CW71" s="74">
        <f t="shared" si="151"/>
        <v>-0.1635301969335336</v>
      </c>
      <c r="CX71" s="74">
        <f t="shared" si="152"/>
        <v>-2.4412231430939784</v>
      </c>
      <c r="CY71" s="74">
        <f t="shared" si="153"/>
        <v>0.19751311873674215</v>
      </c>
      <c r="CZ71" s="74">
        <f t="shared" si="154"/>
        <v>-3.1665491339539287</v>
      </c>
      <c r="DA71" s="70"/>
      <c r="DB71" s="74">
        <f t="shared" si="155"/>
        <v>6.2521304157361332E-2</v>
      </c>
      <c r="DC71" s="74">
        <f t="shared" si="156"/>
        <v>9.381639822712085</v>
      </c>
      <c r="DD71" s="74">
        <f t="shared" si="157"/>
        <v>-0.10661655102056466</v>
      </c>
      <c r="DE71" s="74">
        <f t="shared" si="158"/>
        <v>-3.807995017899142E-3</v>
      </c>
      <c r="DF71" s="74">
        <f>AZ71^2*Vlength</f>
        <v>1.9023155873470997E-3</v>
      </c>
      <c r="DG71" s="74">
        <f>Vlength*AY71/F71</f>
        <v>3.6248352172006676E-4</v>
      </c>
      <c r="DH71" s="74">
        <f>1/F71/F71*Vlength</f>
        <v>1.1691582060916142E-4</v>
      </c>
      <c r="DI71" s="74">
        <f>ABS(DH71/F71)</f>
        <v>2.3366340356775405E-6</v>
      </c>
      <c r="DJ71" s="74">
        <f>DG71*(1-2*G71)/F71/F71</f>
        <v>1.4478484345698578E-7</v>
      </c>
      <c r="DK71" s="72">
        <f>DI71*(1/V70*(AD70*AD70+(V70*AE70+W70*AD70)^2)+(W70*AD70+V70*AE70)*2*(1-COS(E71))/E71-2*((1+W70^2)/V70*AD70+W70*AE70)*F71*(1-SIN(E71)/E71)+V70/2*(1-SIN(2*E71)/2/E71)-4*W70*F71*SIN(E71/2)^4/E71+(1+W70^2)/V70/2*F71^2*(3+SIN(E71)/E71*(COS(E71)-4)))</f>
        <v>8.7440308325440798E-9</v>
      </c>
      <c r="DL71" s="69">
        <f>E71</f>
        <v>5.8500000000000002E-3</v>
      </c>
      <c r="DM71" s="69">
        <f>DI71*BF71</f>
        <v>8.1519284484133831E-5</v>
      </c>
      <c r="DN71" s="77">
        <f>-(VKl+$E71/$F71)*VaveBetax+2*(VHl+VKl/$F71)*$BC71+$BE71*$E71</f>
        <v>1.4870346726907832E-3</v>
      </c>
      <c r="DO71" s="77">
        <f>VKl*VaveBetaz-(2*VHl+VKl/$F71)*$BH71+$BJ71*$E71</f>
        <v>1.0402992870424421E-5</v>
      </c>
      <c r="DP71" s="488" t="str">
        <f>IMPRODUCT(-1/8*VaveBetax*(-Vlength*CJ71-2*VHl*$AY71),COMPLEX(COS(2*VmidMux),SIN(2*VmidMux)))</f>
        <v>-0.0000172381138215819-0.000011650960574505i</v>
      </c>
      <c r="DQ71" s="433" t="str">
        <f>IMPRODUCT(1/8*VaveBetaz*(VKl-2*VHl*$AY71),COMPLEX(COS(2*VmidMuz),SIN(2*VmidMuz)))</f>
        <v>0</v>
      </c>
      <c r="DR71" s="433" t="str">
        <f>IMPRODUCT(-1/2*SQRT(VaveBetax)*(-Vlength*CJ71-2*VHl*$AY71)*AY71,COMPLEX(COS(VmidMux),SIN(VmidMux)))</f>
        <v>4.13250941483364E-06+0.000001265569407873i</v>
      </c>
      <c r="DS71" s="433" t="str">
        <f>IMPRODUCT(-1/8*VHl*VaveBetax^(3/2),COMPLEX(COS(VmidMux),SIN(VmidMux)))</f>
        <v>0</v>
      </c>
      <c r="DT71" s="433" t="str">
        <f>IMPRODUCT(-1/24*VHl*VaveBetax^(3/2),COMPLEX(COS(3*VmidMux),SIN(3*VmidMux)))</f>
        <v>0</v>
      </c>
      <c r="DU71" s="433" t="str">
        <f>IMPRODUCT(1/4*VHl*VaveBetax^(1/2)*VaveBetaz,COMPLEX(COS(VmidMux),SIN(VmidMux)))</f>
        <v>0</v>
      </c>
      <c r="DV71" s="433" t="str">
        <f>IMPRODUCT(1/8*VHl*VaveBetax^(1/2)*VaveBetaz,COMPLEX(COS(VmidMux-2*VmidMuz),SIN(VmidMux-2*VmidMuz)))</f>
        <v>0</v>
      </c>
      <c r="DW71" s="433" t="str">
        <f>IMPRODUCT(1/8*VHl*VaveBetax^(1/2)*VaveBetaz,COMPLEX(COS(VmidMux+2*VmidMuz),SIN(VmidMux+2*VmidMuz)))</f>
        <v>0</v>
      </c>
      <c r="DX71" s="433"/>
      <c r="DY71" s="433"/>
      <c r="DZ71" s="433"/>
      <c r="EA71" s="433"/>
      <c r="EB71" s="70">
        <f>CH71*(1/AQ71+1/AQ70)/2</f>
        <v>3.0458788859912285</v>
      </c>
      <c r="EC71" s="70">
        <f>CH71*(1/AR71+1/AR70)/2</f>
        <v>8.1457023249143496</v>
      </c>
      <c r="ED71" s="70">
        <f>CH71*(AS71+AS70)/2</f>
        <v>3.3304872365527087E-2</v>
      </c>
      <c r="EE71" s="71">
        <f>DK71/DI71*CH71</f>
        <v>1.0953664426403523E-3</v>
      </c>
      <c r="EF71" s="70">
        <f>SQRT(VaveBetax/VaveBetaz*T_Coupling)</f>
        <v>2.0200856288667721E-2</v>
      </c>
      <c r="EG71" s="70">
        <f>IF(EF71&lt;=1,EF71^(0.021-0.044*LN(EF71)),EF71^(-0.021-0.044*LN(EF71)))/(VaveBetax*VaveBetaz)^(1/4)</f>
        <v>0.17760006236700923</v>
      </c>
      <c r="EH71" s="72">
        <f t="shared" ref="EH71:ET71" si="161">$EG71*Vlength/SQRT(1+EH$7*EH$7/EH$8*1000000000/Vlength*$EE71)</f>
        <v>2.9103523275469063E-2</v>
      </c>
      <c r="EI71" s="72" t="e">
        <f t="shared" si="161"/>
        <v>#DIV/0!</v>
      </c>
      <c r="EJ71" s="72" t="e">
        <f t="shared" si="161"/>
        <v>#DIV/0!</v>
      </c>
      <c r="EK71" s="72" t="e">
        <f t="shared" si="161"/>
        <v>#DIV/0!</v>
      </c>
      <c r="EL71" s="72" t="e">
        <f t="shared" si="161"/>
        <v>#DIV/0!</v>
      </c>
      <c r="EM71" s="72" t="e">
        <f t="shared" si="161"/>
        <v>#DIV/0!</v>
      </c>
      <c r="EN71" s="72" t="e">
        <f t="shared" si="161"/>
        <v>#DIV/0!</v>
      </c>
      <c r="EO71" s="72" t="e">
        <f t="shared" si="161"/>
        <v>#DIV/0!</v>
      </c>
      <c r="EP71" s="72" t="e">
        <f t="shared" si="161"/>
        <v>#DIV/0!</v>
      </c>
      <c r="EQ71" s="72" t="e">
        <f t="shared" si="161"/>
        <v>#DIV/0!</v>
      </c>
      <c r="ER71" s="72" t="e">
        <f t="shared" si="161"/>
        <v>#DIV/0!</v>
      </c>
      <c r="ES71" s="72" t="e">
        <f t="shared" si="161"/>
        <v>#DIV/0!</v>
      </c>
      <c r="ET71" s="72" t="e">
        <f t="shared" si="161"/>
        <v>#DIV/0!</v>
      </c>
      <c r="EU71" s="70">
        <f>Vlength*VaveBetaz</f>
        <v>10.211936618479713</v>
      </c>
      <c r="EW71" s="74"/>
      <c r="EX71" s="74"/>
      <c r="EY71" s="74"/>
      <c r="EZ71" s="74"/>
      <c r="FA71" s="74"/>
      <c r="FB71" s="74"/>
    </row>
    <row r="72" spans="1:158" s="68" customFormat="1" ht="15.75" customHeight="1" outlineLevel="1">
      <c r="A72" s="63"/>
      <c r="B72" s="63"/>
      <c r="C72" s="64"/>
      <c r="D72" s="65" t="s">
        <v>1077</v>
      </c>
      <c r="E72" s="401">
        <v>-4.3237399000000003E-2</v>
      </c>
      <c r="F72" s="402">
        <v>50.036000000000001</v>
      </c>
      <c r="G72" s="405"/>
      <c r="H72" s="405"/>
      <c r="I72" s="544"/>
      <c r="K72" s="401"/>
      <c r="L72" s="401"/>
      <c r="M72" s="554"/>
      <c r="N72" s="530"/>
      <c r="O72" s="75"/>
      <c r="P72" s="461"/>
      <c r="Q72" s="461"/>
      <c r="R72" s="69">
        <f t="shared" ref="R72:U73" si="162">R71</f>
        <v>16.738025197606301</v>
      </c>
      <c r="S72" s="69">
        <f t="shared" si="162"/>
        <v>-0.74290654375556442</v>
      </c>
      <c r="T72" s="69">
        <f t="shared" si="162"/>
        <v>16.702903864144844</v>
      </c>
      <c r="U72" s="69">
        <f t="shared" si="162"/>
        <v>-0.10440165526234284</v>
      </c>
      <c r="V72" s="70">
        <f t="shared" si="143"/>
        <v>1.1088226026120787</v>
      </c>
      <c r="W72" s="70">
        <f t="shared" si="144"/>
        <v>0.91511016783959298</v>
      </c>
      <c r="X72" s="70">
        <f t="shared" si="145"/>
        <v>1.6570970098868296</v>
      </c>
      <c r="Y72" s="70">
        <f t="shared" si="146"/>
        <v>3.543542632546957</v>
      </c>
      <c r="Z72" s="70">
        <f t="shared" si="147"/>
        <v>34.877597313542694</v>
      </c>
      <c r="AA72" s="70">
        <f t="shared" si="148"/>
        <v>8.2155499002553589E-4</v>
      </c>
      <c r="AB72" s="70">
        <f t="shared" si="149"/>
        <v>2.8671719154355547E-2</v>
      </c>
      <c r="AC72" s="70">
        <f t="shared" si="150"/>
        <v>1.5539757011353927</v>
      </c>
      <c r="AD72" s="69">
        <f>AD71</f>
        <v>5.0739719485952954E-2</v>
      </c>
      <c r="AE72" s="70">
        <f>AD71*$CM72+AE71</f>
        <v>-7.4781199977492219E-2</v>
      </c>
      <c r="AF72" s="71">
        <f>AF71</f>
        <v>3.5224704719624394E-3</v>
      </c>
      <c r="AG72" s="70">
        <f>AG71</f>
        <v>7.2793835863301612E-2</v>
      </c>
      <c r="AH72" s="70">
        <f>AG71*$CM72+AH71</f>
        <v>-0.10143741279781959</v>
      </c>
      <c r="AI72" s="70">
        <f>AI71</f>
        <v>0</v>
      </c>
      <c r="AJ72" s="70">
        <f>AI71*$CM72+AJ71-0.001*$CM72*K72</f>
        <v>0</v>
      </c>
      <c r="AK72" s="70">
        <f>AK71</f>
        <v>0</v>
      </c>
      <c r="AL72" s="70">
        <f>AK71*$CM72+AL71-0.001*$CM72*$K72</f>
        <v>0</v>
      </c>
      <c r="AM72" s="70">
        <f>AM71</f>
        <v>0</v>
      </c>
      <c r="AN72" s="70">
        <f>AM71*$CT72+AN71-0.001*$CT72*$L72</f>
        <v>0</v>
      </c>
      <c r="AO72" s="70">
        <f>AO71</f>
        <v>0</v>
      </c>
      <c r="AP72" s="70">
        <f>AO71*$CT72+AP71-0.001*$CT72*$L72</f>
        <v>0</v>
      </c>
      <c r="AQ72" s="69">
        <f t="shared" si="103"/>
        <v>8.3744106428225273E-2</v>
      </c>
      <c r="AR72" s="69">
        <f t="shared" si="104"/>
        <v>3.5929057700731452E-2</v>
      </c>
      <c r="AS72" s="69">
        <f t="shared" si="105"/>
        <v>0.11158951365863316</v>
      </c>
      <c r="AT72" s="69">
        <f t="shared" si="106"/>
        <v>1.0301475042256974E-3</v>
      </c>
      <c r="AU72" s="69">
        <f t="shared" si="107"/>
        <v>9.3014827061551379</v>
      </c>
      <c r="AV72" s="72">
        <f t="shared" ref="AV72:AX73" si="163">AV71</f>
        <v>3.7012216628845733</v>
      </c>
      <c r="AW72" s="72">
        <f t="shared" si="163"/>
        <v>3.7012216628845733E-2</v>
      </c>
      <c r="AX72" s="72">
        <f t="shared" si="163"/>
        <v>1.0629909222129516E-3</v>
      </c>
      <c r="AY72" s="77">
        <f>AD72</f>
        <v>5.0739719485952954E-2</v>
      </c>
      <c r="AZ72" s="77">
        <f>(AE72+AE71)/2</f>
        <v>-7.4759263555355782E-2</v>
      </c>
      <c r="BA72" s="433">
        <f>V72</f>
        <v>1.1088226026120787</v>
      </c>
      <c r="BB72" s="77">
        <f t="shared" si="108"/>
        <v>3.543542632546957</v>
      </c>
      <c r="BC72" s="488">
        <f>VaveBetax*AY72</f>
        <v>5.6261347816221156E-2</v>
      </c>
      <c r="BD72" s="488"/>
      <c r="BE72" s="488">
        <f>IF(ISERR(FIND("BEND",UPPER(D71))),AZ72,-AZ72)</f>
        <v>7.4759263555355782E-2</v>
      </c>
      <c r="BF72" s="433">
        <f>Z72</f>
        <v>34.877597313542694</v>
      </c>
      <c r="BG72" s="488">
        <f t="shared" si="109"/>
        <v>1.5539757011353927</v>
      </c>
      <c r="BH72" s="488">
        <f>VaveBetaz*AY72</f>
        <v>1.7696795040331825</v>
      </c>
      <c r="BI72" s="488"/>
      <c r="BJ72" s="488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>
        <f>-TAN($E72)/$F72</f>
        <v>8.64664698925198E-4</v>
      </c>
      <c r="CG72" s="69">
        <f>-IF(ISERR(FIND("BEND",UPPER(D71))),G73,G71)*CF72/F72</f>
        <v>0</v>
      </c>
      <c r="CI72" s="73"/>
      <c r="CJ72" s="74"/>
      <c r="CK72" s="74">
        <v>1</v>
      </c>
      <c r="CL72" s="74">
        <v>0</v>
      </c>
      <c r="CM72" s="74">
        <f>-VKl</f>
        <v>-8.64664698925198E-4</v>
      </c>
      <c r="CN72" s="74">
        <v>1</v>
      </c>
      <c r="CO72" s="70"/>
      <c r="CP72" s="70"/>
      <c r="CQ72" s="74"/>
      <c r="CR72" s="74">
        <v>1</v>
      </c>
      <c r="CS72" s="74">
        <v>0</v>
      </c>
      <c r="CT72" s="74">
        <f>VKl</f>
        <v>8.64664698925198E-4</v>
      </c>
      <c r="CU72" s="74">
        <v>1</v>
      </c>
      <c r="CV72" s="70"/>
      <c r="CW72" s="74">
        <f t="shared" si="151"/>
        <v>-0.1635301969335336</v>
      </c>
      <c r="CX72" s="74">
        <f t="shared" si="152"/>
        <v>-2.4412231430939784</v>
      </c>
      <c r="CY72" s="74">
        <f t="shared" si="153"/>
        <v>0.19765451752523885</v>
      </c>
      <c r="CZ72" s="74">
        <f t="shared" si="154"/>
        <v>-3.1644382944798961</v>
      </c>
      <c r="DA72" s="70"/>
      <c r="DB72" s="74">
        <f t="shared" si="155"/>
        <v>6.2521304157361332E-2</v>
      </c>
      <c r="DC72" s="74">
        <f t="shared" si="156"/>
        <v>9.381639822712085</v>
      </c>
      <c r="DD72" s="74">
        <f t="shared" si="157"/>
        <v>-0.10656249105592903</v>
      </c>
      <c r="DE72" s="74">
        <f t="shared" si="158"/>
        <v>4.3039777548308511E-3</v>
      </c>
      <c r="DF72" s="74"/>
      <c r="DG72" s="70"/>
      <c r="DH72" s="70"/>
      <c r="DI72" s="70"/>
      <c r="DJ72" s="70"/>
      <c r="DK72" s="70"/>
      <c r="DL72" s="75"/>
      <c r="DM72" s="75"/>
      <c r="DN72" s="77">
        <f>-VaveBetax*VKl+(2*VHl+1*VKl/$F72)*BC72</f>
        <v>-9.5778751783730308E-4</v>
      </c>
      <c r="DO72" s="77">
        <f>VaveBetaz*(VKl+BE72/$F72)-(2*VHl+0.5*VKl/$F72)*BH72</f>
        <v>8.22530863066364E-2</v>
      </c>
      <c r="DP72" s="433"/>
      <c r="DQ72" s="433"/>
      <c r="DR72" s="433"/>
      <c r="DS72" s="433"/>
      <c r="DT72" s="433"/>
      <c r="DU72" s="433"/>
      <c r="DV72" s="433"/>
      <c r="DW72" s="433"/>
      <c r="DX72" s="433"/>
      <c r="DY72" s="433"/>
      <c r="DZ72" s="433"/>
      <c r="EA72" s="433"/>
      <c r="EB72" s="70"/>
      <c r="EC72" s="70"/>
      <c r="ED72" s="70"/>
      <c r="EE72" s="71"/>
      <c r="EF72" s="71"/>
      <c r="EG72" s="71"/>
      <c r="EH72" s="70"/>
      <c r="EI72" s="70"/>
      <c r="EJ72" s="70"/>
      <c r="EK72" s="70"/>
      <c r="EL72" s="70"/>
      <c r="EM72" s="70"/>
      <c r="EN72" s="70"/>
      <c r="EO72" s="70"/>
      <c r="EP72" s="70"/>
      <c r="EQ72" s="70"/>
      <c r="ER72" s="70"/>
      <c r="ES72" s="70"/>
      <c r="ET72" s="70"/>
      <c r="EU72" s="70"/>
      <c r="EW72" s="74"/>
      <c r="EX72" s="74"/>
      <c r="EY72" s="74"/>
      <c r="EZ72" s="74"/>
      <c r="FA72" s="74"/>
      <c r="FB72" s="74"/>
    </row>
    <row r="73" spans="1:158" s="68" customFormat="1" ht="15.75" customHeight="1" outlineLevel="1">
      <c r="A73" s="63"/>
      <c r="B73" s="63"/>
      <c r="C73" s="64"/>
      <c r="D73" s="65" t="s">
        <v>1077</v>
      </c>
      <c r="E73" s="401">
        <v>4.3237399000000003E-2</v>
      </c>
      <c r="F73" s="402">
        <v>23.366299999999999</v>
      </c>
      <c r="G73" s="405"/>
      <c r="H73" s="405"/>
      <c r="I73" s="544"/>
      <c r="K73" s="401"/>
      <c r="L73" s="401"/>
      <c r="M73" s="554"/>
      <c r="N73" s="530"/>
      <c r="O73" s="75"/>
      <c r="P73" s="461"/>
      <c r="Q73" s="461"/>
      <c r="R73" s="69">
        <f t="shared" si="162"/>
        <v>16.738025197606301</v>
      </c>
      <c r="S73" s="69">
        <f t="shared" si="162"/>
        <v>-0.74290654375556442</v>
      </c>
      <c r="T73" s="69">
        <f t="shared" si="162"/>
        <v>16.702903864144844</v>
      </c>
      <c r="U73" s="69">
        <f t="shared" si="162"/>
        <v>-0.10440165526234284</v>
      </c>
      <c r="V73" s="70">
        <f t="shared" si="143"/>
        <v>1.1088226026120787</v>
      </c>
      <c r="W73" s="70">
        <f t="shared" si="144"/>
        <v>0.91305710409206431</v>
      </c>
      <c r="X73" s="70">
        <f t="shared" si="145"/>
        <v>1.6537120284284978</v>
      </c>
      <c r="Y73" s="70">
        <f t="shared" si="146"/>
        <v>3.543542632546957</v>
      </c>
      <c r="Z73" s="70">
        <f t="shared" si="147"/>
        <v>34.877597313542694</v>
      </c>
      <c r="AA73" s="70">
        <f t="shared" si="148"/>
        <v>6.5399901856920475E-2</v>
      </c>
      <c r="AB73" s="70">
        <f t="shared" si="149"/>
        <v>2.8794332881782025E-2</v>
      </c>
      <c r="AC73" s="70">
        <f t="shared" si="150"/>
        <v>1.5539757011353927</v>
      </c>
      <c r="AD73" s="69">
        <f>AD72</f>
        <v>5.0739719485952954E-2</v>
      </c>
      <c r="AE73" s="70">
        <f>AD72*$CM73+AE72</f>
        <v>-7.4687251785607436E-2</v>
      </c>
      <c r="AF73" s="71">
        <f>AF72</f>
        <v>3.5224704719624394E-3</v>
      </c>
      <c r="AG73" s="70">
        <f>AG72</f>
        <v>7.2793835863301612E-2</v>
      </c>
      <c r="AH73" s="70">
        <f>AG72*$CM73+AH72</f>
        <v>-0.10130262984416909</v>
      </c>
      <c r="AI73" s="70">
        <f>AI72</f>
        <v>0</v>
      </c>
      <c r="AJ73" s="70">
        <f>AI72*$CM73+AJ72-0.001*$CM73*K73</f>
        <v>0</v>
      </c>
      <c r="AK73" s="70">
        <f>AK72</f>
        <v>0</v>
      </c>
      <c r="AL73" s="70">
        <f>AK72*$CM73+AL72-0.001*$CM73*$K73</f>
        <v>0</v>
      </c>
      <c r="AM73" s="70">
        <f>AM72</f>
        <v>0</v>
      </c>
      <c r="AN73" s="70">
        <f>AM72*$CT73+AN72-0.001*$CT73*$L73</f>
        <v>0</v>
      </c>
      <c r="AO73" s="70">
        <f>AO72</f>
        <v>0</v>
      </c>
      <c r="AP73" s="70">
        <f>AO72*$CT73+AP72-0.001*$CT73*$L73</f>
        <v>0</v>
      </c>
      <c r="AQ73" s="69">
        <f t="shared" si="103"/>
        <v>8.3744106428225273E-2</v>
      </c>
      <c r="AR73" s="69">
        <f t="shared" si="104"/>
        <v>3.5929057700731452E-2</v>
      </c>
      <c r="AS73" s="69">
        <f t="shared" si="105"/>
        <v>0.11146220843674445</v>
      </c>
      <c r="AT73" s="69">
        <f t="shared" si="106"/>
        <v>1.0323478514064975E-3</v>
      </c>
      <c r="AU73" s="69">
        <f t="shared" si="107"/>
        <v>9.2905570577856729</v>
      </c>
      <c r="AV73" s="72">
        <f t="shared" si="163"/>
        <v>3.7012216628845733</v>
      </c>
      <c r="AW73" s="72">
        <f t="shared" si="163"/>
        <v>3.7012216628845733E-2</v>
      </c>
      <c r="AX73" s="72">
        <f t="shared" si="163"/>
        <v>1.0629909222129516E-3</v>
      </c>
      <c r="AY73" s="77">
        <f>AD73</f>
        <v>5.0739719485952954E-2</v>
      </c>
      <c r="AZ73" s="77">
        <f>(AE73+AE72)/2</f>
        <v>-7.4734225881549821E-2</v>
      </c>
      <c r="BA73" s="433">
        <f>V73</f>
        <v>1.1088226026120787</v>
      </c>
      <c r="BB73" s="77">
        <f t="shared" si="108"/>
        <v>3.543542632546957</v>
      </c>
      <c r="BC73" s="488">
        <f>VaveBetax*AY73</f>
        <v>5.6261347816221156E-2</v>
      </c>
      <c r="BD73" s="488"/>
      <c r="BE73" s="488">
        <f>IF(ISERR(FIND("BEND",UPPER(D72))),AZ73,-AZ73)</f>
        <v>-7.4734225881549821E-2</v>
      </c>
      <c r="BF73" s="433">
        <f>Z73</f>
        <v>34.877597313542694</v>
      </c>
      <c r="BG73" s="488">
        <f t="shared" si="109"/>
        <v>1.5539757011353927</v>
      </c>
      <c r="BH73" s="488">
        <f>VaveBetaz*AY73</f>
        <v>1.7696795040331825</v>
      </c>
      <c r="BI73" s="488"/>
      <c r="BJ73" s="488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>
        <f>-TAN($E73)/$F73</f>
        <v>-1.8515709750975213E-3</v>
      </c>
      <c r="CG73" s="69">
        <f>-IF(ISERR(FIND("BEND",UPPER(D72))),G74,G72)*CF73/F73</f>
        <v>0</v>
      </c>
      <c r="CI73" s="73"/>
      <c r="CJ73" s="74"/>
      <c r="CK73" s="74">
        <v>1</v>
      </c>
      <c r="CL73" s="74">
        <v>0</v>
      </c>
      <c r="CM73" s="74">
        <f>-VKl</f>
        <v>1.8515709750975213E-3</v>
      </c>
      <c r="CN73" s="74">
        <v>1</v>
      </c>
      <c r="CO73" s="70"/>
      <c r="CP73" s="70"/>
      <c r="CQ73" s="74"/>
      <c r="CR73" s="74">
        <v>1</v>
      </c>
      <c r="CS73" s="74">
        <v>0</v>
      </c>
      <c r="CT73" s="74">
        <f>VKl</f>
        <v>-1.8515709750975213E-3</v>
      </c>
      <c r="CU73" s="74">
        <v>1</v>
      </c>
      <c r="CV73" s="70"/>
      <c r="CW73" s="74">
        <f t="shared" si="151"/>
        <v>-0.1635301969335336</v>
      </c>
      <c r="CX73" s="74">
        <f t="shared" si="152"/>
        <v>-2.4412231430939784</v>
      </c>
      <c r="CY73" s="74">
        <f t="shared" si="153"/>
        <v>0.19735172975904475</v>
      </c>
      <c r="CZ73" s="74">
        <f t="shared" si="154"/>
        <v>-3.1689583923953855</v>
      </c>
      <c r="DA73" s="70"/>
      <c r="DB73" s="74">
        <f t="shared" si="155"/>
        <v>6.2521304157361332E-2</v>
      </c>
      <c r="DC73" s="74">
        <f t="shared" si="156"/>
        <v>9.381639822712085</v>
      </c>
      <c r="DD73" s="74">
        <f t="shared" si="157"/>
        <v>-0.10667825368803205</v>
      </c>
      <c r="DE73" s="74">
        <f t="shared" si="158"/>
        <v>-1.3066794239721902E-2</v>
      </c>
      <c r="DF73" s="74"/>
      <c r="DG73" s="70"/>
      <c r="DH73" s="70"/>
      <c r="DI73" s="70"/>
      <c r="DJ73" s="70"/>
      <c r="DK73" s="70"/>
      <c r="DL73" s="75"/>
      <c r="DM73" s="75"/>
      <c r="DN73" s="77">
        <f>-VaveBetax*VKl+(2*VHl+1*VKl/$F73)*BC73</f>
        <v>2.0486055372584263E-3</v>
      </c>
      <c r="DO73" s="77">
        <f>VaveBetaz*(VKl+BE73/$F73)-(2*VHl+0.5*VKl/$F73)*BH73</f>
        <v>-0.17605992042512147</v>
      </c>
      <c r="DP73" s="433"/>
      <c r="DQ73" s="433"/>
      <c r="DR73" s="433"/>
      <c r="DS73" s="433"/>
      <c r="DT73" s="433"/>
      <c r="DU73" s="433"/>
      <c r="DV73" s="433"/>
      <c r="DW73" s="433"/>
      <c r="DX73" s="433"/>
      <c r="DY73" s="433"/>
      <c r="DZ73" s="433"/>
      <c r="EA73" s="433"/>
      <c r="EB73" s="70"/>
      <c r="EC73" s="70"/>
      <c r="ED73" s="70"/>
      <c r="EE73" s="71"/>
      <c r="EF73" s="71"/>
      <c r="EG73" s="71"/>
      <c r="EH73" s="70"/>
      <c r="EI73" s="70"/>
      <c r="EJ73" s="70"/>
      <c r="EK73" s="70"/>
      <c r="EL73" s="70"/>
      <c r="EM73" s="70"/>
      <c r="EN73" s="70"/>
      <c r="EO73" s="70"/>
      <c r="EP73" s="70"/>
      <c r="EQ73" s="70"/>
      <c r="ER73" s="70"/>
      <c r="ES73" s="70"/>
      <c r="ET73" s="70"/>
      <c r="EU73" s="70"/>
      <c r="EW73" s="74"/>
      <c r="EX73" s="74"/>
      <c r="EY73" s="74"/>
      <c r="EZ73" s="74"/>
      <c r="FA73" s="74"/>
      <c r="FB73" s="74"/>
    </row>
    <row r="74" spans="1:158" s="68" customFormat="1" ht="15.75" customHeight="1" outlineLevel="1">
      <c r="A74" s="63"/>
      <c r="B74" s="63"/>
      <c r="C74" s="76" t="s">
        <v>175</v>
      </c>
      <c r="D74" s="65" t="s">
        <v>1132</v>
      </c>
      <c r="E74" s="401">
        <v>4.6162400499999999E-2</v>
      </c>
      <c r="F74" s="402">
        <v>23.366299999999999</v>
      </c>
      <c r="G74" s="403"/>
      <c r="H74" s="535"/>
      <c r="I74" s="542"/>
      <c r="J74" s="537"/>
      <c r="K74" s="403"/>
      <c r="L74" s="403"/>
      <c r="M74" s="508"/>
      <c r="N74" s="531">
        <f>T_Energy/0.2998/F74</f>
        <v>0.8622145786741211</v>
      </c>
      <c r="O74" s="433">
        <f>-G74*N74/F74</f>
        <v>0</v>
      </c>
      <c r="P74" s="462">
        <f>2*H74*N74/F74/F74</f>
        <v>0</v>
      </c>
      <c r="Q74" s="462">
        <f>O74*Vlength</f>
        <v>0</v>
      </c>
      <c r="R74" s="69">
        <f>R73+Vlength</f>
        <v>17.816669696409452</v>
      </c>
      <c r="S74" s="69">
        <f>S73+U73*Vlength/SQRT(1+(U73)^2)</f>
        <v>-0.85491006645622991</v>
      </c>
      <c r="T74" s="69">
        <f>T73+Vlength/SQRT(1+(U73)^2)</f>
        <v>17.775717531890059</v>
      </c>
      <c r="U74" s="69">
        <f>(-SIN(E74)+U73*COS(E74))/(COS(E74)+U73*SIN(E74))</f>
        <v>-0.1513267010074664</v>
      </c>
      <c r="V74" s="70">
        <f t="shared" si="143"/>
        <v>1.0622150282552028</v>
      </c>
      <c r="W74" s="70">
        <f t="shared" si="144"/>
        <v>-0.86987840777462977</v>
      </c>
      <c r="X74" s="70">
        <f t="shared" si="145"/>
        <v>1.6537973927916141</v>
      </c>
      <c r="Y74" s="70">
        <f t="shared" si="146"/>
        <v>5.0006410386624891</v>
      </c>
      <c r="Z74" s="70">
        <f t="shared" si="147"/>
        <v>34.770012281175973</v>
      </c>
      <c r="AA74" s="70">
        <f t="shared" si="148"/>
        <v>3.4341053097279646E-2</v>
      </c>
      <c r="AB74" s="70">
        <f t="shared" si="149"/>
        <v>2.8794332881782025E-2</v>
      </c>
      <c r="AC74" s="70">
        <f t="shared" si="150"/>
        <v>1.5849550367978709</v>
      </c>
      <c r="AD74" s="69">
        <f>AD73*$CK74+AE73*$CL74+CO74</f>
        <v>-4.9547285621182116E-3</v>
      </c>
      <c r="AE74" s="70">
        <f>AD73*$CM74+AE73*$CN74+CP74</f>
        <v>-2.8561886378047609E-2</v>
      </c>
      <c r="AF74" s="71">
        <f>V74*AE74^2+2*W74*AD74*AE74+X74*AD74^2</f>
        <v>6.6093072848674608E-4</v>
      </c>
      <c r="AG74" s="70">
        <f>AG73*$CK74+AH73*$CL74+CO74</f>
        <v>-1.1622442368057824E-2</v>
      </c>
      <c r="AH74" s="70">
        <f>AG73*$CM74+AH73*$CN74+CP74</f>
        <v>-5.5192465804292538E-2</v>
      </c>
      <c r="AI74" s="70">
        <f>AI73*$CK74+AJ73*$CL74+0.001*(1-$CK74)*$K74</f>
        <v>0</v>
      </c>
      <c r="AJ74" s="70">
        <f>AI73*$CM74+AJ73*$CN74-0.001*$CM74*K74</f>
        <v>0</v>
      </c>
      <c r="AK74" s="70">
        <f>AK73*$CK74+AL73*$CL74+0.001*(1-$CK74)*$K74</f>
        <v>0</v>
      </c>
      <c r="AL74" s="70">
        <f>AK73*$CM74+AL73*$CN74-0.001*$CM74*$K74</f>
        <v>0</v>
      </c>
      <c r="AM74" s="70">
        <f>AM73*$CR74+AN73*$CS74+0.001*(1-$CR74)*$L74</f>
        <v>0</v>
      </c>
      <c r="AN74" s="70">
        <f>AM73*$CT74+AN73*$CU74-0.001*$CT74*$L74</f>
        <v>0</v>
      </c>
      <c r="AO74" s="70">
        <f>AO73*$CR74+AP73*$CS74+0.001*(1-$CR74)*$L74</f>
        <v>0</v>
      </c>
      <c r="AP74" s="70">
        <f>AO73*$CT74+AP73*$CU74-0.001*$CT74*$L74</f>
        <v>0</v>
      </c>
      <c r="AQ74" s="69">
        <f t="shared" si="103"/>
        <v>6.2922434688240839E-2</v>
      </c>
      <c r="AR74" s="69">
        <f t="shared" si="104"/>
        <v>3.5873600693804235E-2</v>
      </c>
      <c r="AS74" s="69">
        <f t="shared" si="105"/>
        <v>8.392176495058401E-2</v>
      </c>
      <c r="AT74" s="69">
        <f t="shared" si="106"/>
        <v>1.0323478514064975E-3</v>
      </c>
      <c r="AU74" s="69">
        <f t="shared" si="107"/>
        <v>4.3037808258961663</v>
      </c>
      <c r="AV74" s="72">
        <f t="shared" ref="AV74:AX75" si="164">AV73</f>
        <v>3.7012216628845733</v>
      </c>
      <c r="AW74" s="72">
        <f t="shared" si="164"/>
        <v>3.7012216628845733E-2</v>
      </c>
      <c r="AX74" s="72">
        <f t="shared" si="164"/>
        <v>1.0629909222129516E-3</v>
      </c>
      <c r="AY74" s="488">
        <f>IF(Vlength*CJ74=0,0.5*(AD73+AD74)-Vlength*Vlength/12/F74,(AE74-AE73-E74)/CJ74/Vlength)</f>
        <v>1.8746275564347558E-2</v>
      </c>
      <c r="AZ74" s="488">
        <f>IF(VKl=0,AZ73,(AD74-AD73)/Vlength)</f>
        <v>-7.4734225881549821E-2</v>
      </c>
      <c r="BA74" s="433">
        <f>IF($CJ74=0,0.5*(V74+V73)-X73*Vlength*Vlength/6,-0.5*(($X74-$CJ74*$V74)*Vlength+($W74-$W73))/$CJ74/Vlength)</f>
        <v>0.76494767395477814</v>
      </c>
      <c r="BB74" s="77">
        <f t="shared" si="108"/>
        <v>4.2720918356047228</v>
      </c>
      <c r="BC74" s="488">
        <f>IF(CJ74=0,AY74*BA74-(2*W73-X73*Vlength)*AE73*Vlength*Vlength/12-(W73/12-2*X73*Vlength/45)*Vlength^3/F74,-(2*(X74-CJ74*V74)*AY74+(2*W74*AD74+V74*AE74-2*W73*AD73-V73*AE73)/Vlength-BA74/F74)/3/CJ74)</f>
        <v>1.4822125492141441E-2</v>
      </c>
      <c r="BD74" s="488"/>
      <c r="BE74" s="488">
        <f>(X74-CJ74*V74)*AY74+(V74*AE74-V73*AE73)/Vlength-BA74/F74</f>
        <v>4.6951787511899622E-2</v>
      </c>
      <c r="BF74" s="433">
        <f>IF($CQ74=0,0.5*(Z74+Z73)-AB73*Vlength*Vlength/6,-0.5*(($AB74-$CQ74*$Z74)*Vlength+$AA74-$AA73)/$CQ74/Vlength)</f>
        <v>34.818221221300369</v>
      </c>
      <c r="BG74" s="488">
        <f t="shared" si="109"/>
        <v>1.5694653689666318</v>
      </c>
      <c r="BH74" s="488">
        <f>-(2*(AB74-CQ74*Z74)*AY74+(2*AA74*AD74+Z74*AE74-2*AA73*AD73-Z73*AE73)/Vlength-BF74/F74)/(4*CQ74-CJ74)</f>
        <v>0.653215941710106</v>
      </c>
      <c r="BI74" s="488"/>
      <c r="BJ74" s="488">
        <f>$CQ74*$BH74+($AB74-$CQ74*$Z74)*$AY74</f>
        <v>5.397864988934398E-4</v>
      </c>
      <c r="BK74" s="72">
        <f>VaveBetax*E74^2</f>
        <v>1.6300784181535204E-3</v>
      </c>
      <c r="BL74" s="72">
        <f>VaveBetaz*E74^2</f>
        <v>7.4196488078597564E-2</v>
      </c>
      <c r="BM74" s="72">
        <f>SUMSQ(SQRT(V74)-SQRT(V73),0.5*(SQRT(V74)+SQRT(V73))*(Y74-Y73))/F74/F74</f>
        <v>4.2216231449820497E-3</v>
      </c>
      <c r="BN74" s="72">
        <f>VaveBetax*(CJ74*Vlength)^2</f>
        <v>2.9855792307704092E-6</v>
      </c>
      <c r="BO74" s="72">
        <f>VaveBetaz*(CQ74*Vlength)^2</f>
        <v>0</v>
      </c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69">
        <f>$CQ74*Vlength</f>
        <v>0</v>
      </c>
      <c r="CG74" s="69">
        <f>H74/F74/F74/F74*Vlength</f>
        <v>0</v>
      </c>
      <c r="CH74" s="70">
        <f>E74*F74</f>
        <v>1.0786444988031498</v>
      </c>
      <c r="CI74" s="73"/>
      <c r="CJ74" s="74">
        <f>-((1-$G74)-0.001*$K74*$H74/$F74)/$F74/$F74</f>
        <v>-1.8315555850081987E-3</v>
      </c>
      <c r="CK74" s="74">
        <f>IF(CJ74=0,1,IF(CJ74&gt;0,COSH(Vlength*SQRT(CJ74)),COS(Vlength*SQRT(-CJ74))))</f>
        <v>0.99893470558581987</v>
      </c>
      <c r="CL74" s="74">
        <f>IF(CJ74=0,Vlength,IF(CJ74&gt;0,SINH(Vlength*SQRT(CJ74))/SQRT(CJ74),SIN(Vlength*SQRT(-CJ74))/SQRT(-CJ74)))</f>
        <v>1.078261446940826</v>
      </c>
      <c r="CM74" s="74">
        <f>CL74*CJ74</f>
        <v>-1.9748957752434913E-3</v>
      </c>
      <c r="CN74" s="74">
        <f>CK74</f>
        <v>0.99893470558581987</v>
      </c>
      <c r="CO74" s="70">
        <f>IF(CJ74=0,0.5*E74*E74*F74,(CK74-1)/F74/CJ74)</f>
        <v>2.4891988870057148E-2</v>
      </c>
      <c r="CP74" s="70">
        <f>CL74/F74</f>
        <v>4.6146007153071995E-2</v>
      </c>
      <c r="CQ74" s="74">
        <f>-($G74+0.001*$K74*$H74/$F74)/$F74/$F74</f>
        <v>0</v>
      </c>
      <c r="CR74" s="74">
        <f>IF(CQ74=0,1,IF(CQ74&gt;0,COSH(Vlength*SQRT(CQ74)),COS(Vlength*SQRT(-CQ74))))</f>
        <v>1</v>
      </c>
      <c r="CS74" s="74">
        <f>IF(CQ74=0,Vlength,IF(CQ74&gt;0,SINH(Vlength*SQRT(CQ74))/SQRT(CQ74),SIN(Vlength*SQRT(-CQ74))/SQRT(-CQ74)))</f>
        <v>1.0786444988031498</v>
      </c>
      <c r="CT74" s="74">
        <f>CS74*CQ74</f>
        <v>0</v>
      </c>
      <c r="CU74" s="74">
        <f>CR74</f>
        <v>1</v>
      </c>
      <c r="CV74" s="70"/>
      <c r="CW74" s="74">
        <f t="shared" si="151"/>
        <v>4.9440772558071944E-2</v>
      </c>
      <c r="CX74" s="74">
        <f t="shared" si="152"/>
        <v>-5.8555881831953958</v>
      </c>
      <c r="CY74" s="74">
        <f t="shared" si="153"/>
        <v>0.19746444715875242</v>
      </c>
      <c r="CZ74" s="74">
        <f t="shared" si="154"/>
        <v>-3.1607613574494744</v>
      </c>
      <c r="DA74" s="70"/>
      <c r="DB74" s="74">
        <f t="shared" si="155"/>
        <v>-5.2546607325161268E-2</v>
      </c>
      <c r="DC74" s="74">
        <f t="shared" si="156"/>
        <v>9.367545396988417</v>
      </c>
      <c r="DD74" s="74">
        <f t="shared" si="157"/>
        <v>-0.10667825368803205</v>
      </c>
      <c r="DE74" s="74">
        <f t="shared" si="158"/>
        <v>-1.3066794239721902E-2</v>
      </c>
      <c r="DF74" s="74">
        <f>AZ74^2*Vlength</f>
        <v>6.0244501281547149E-3</v>
      </c>
      <c r="DG74" s="74">
        <f>Vlength*AY74/F74</f>
        <v>8.6537308048477543E-4</v>
      </c>
      <c r="DH74" s="74">
        <f>1/F74/F74*Vlength</f>
        <v>1.9755973560212784E-3</v>
      </c>
      <c r="DI74" s="74">
        <f>ABS(DH74/F74)</f>
        <v>8.4549002453160254E-5</v>
      </c>
      <c r="DJ74" s="74">
        <f>DG74*(1-2*G74)/F74/F74</f>
        <v>1.5849788986776399E-6</v>
      </c>
      <c r="DK74" s="72">
        <f>DI74*(1/V73*(AD73*AD73+(V73*AE73+W73*AD73)^2)+(W73*AD73+V73*AE73)*2*(1-COS(E74))/E74-2*((1+W73^2)/V73*AD73+W73*AE73)*F74*(1-SIN(E74)/E74)+V73/2*(1-SIN(2*E74)/2/E74)-4*W73*F74*SIN(E74/2)^4/E74+(1+W73^2)/V73/2*F74^2*(3+SIN(E74)/E74*(COS(E74)-4)))</f>
        <v>1.7293639223945831E-7</v>
      </c>
      <c r="DL74" s="69">
        <f>E74</f>
        <v>4.6162400499999999E-2</v>
      </c>
      <c r="DM74" s="69">
        <f>DI74*BF74</f>
        <v>2.9438458714544013E-3</v>
      </c>
      <c r="DN74" s="77">
        <f>-(VKl+$E74/$F74)*VaveBetax+2*(VHl+VKl/$F74)*$BC74+$BE74*$E74</f>
        <v>6.5617861715552232E-4</v>
      </c>
      <c r="DO74" s="77">
        <f>VKl*VaveBetaz-(2*VHl+VKl/$F74)*$BH74+$BJ74*$E74</f>
        <v>2.4917840546411776E-5</v>
      </c>
      <c r="DP74" s="488" t="str">
        <f>IMPRODUCT(-1/8*VaveBetax*(-Vlength*CJ74-2*VHl*$AY74),COMPLEX(COS(2*VmidMux),SIN(2*VmidMux)))</f>
        <v>0.000120273582092663-0.000145666832876854i</v>
      </c>
      <c r="DQ74" s="433" t="str">
        <f>IMPRODUCT(1/8*VaveBetaz*(VKl-2*VHl*$AY74),COMPLEX(COS(2*VmidMuz),SIN(2*VmidMuz)))</f>
        <v>0</v>
      </c>
      <c r="DR74" s="433" t="str">
        <f>IMPRODUCT(-1/2*SQRT(VaveBetax)*(-Vlength*CJ74-2*VHl*$AY74)*AY74,COMPLEX(COS(VmidMux),SIN(VmidMux)))</f>
        <v>6.90273487012682E-06+0.0000146510218079491i</v>
      </c>
      <c r="DS74" s="433" t="str">
        <f>IMPRODUCT(-1/8*VHl*VaveBetax^(3/2),COMPLEX(COS(VmidMux),SIN(VmidMux)))</f>
        <v>0</v>
      </c>
      <c r="DT74" s="433" t="str">
        <f>IMPRODUCT(-1/24*VHl*VaveBetax^(3/2),COMPLEX(COS(3*VmidMux),SIN(3*VmidMux)))</f>
        <v>0</v>
      </c>
      <c r="DU74" s="433" t="str">
        <f>IMPRODUCT(1/4*VHl*VaveBetax^(1/2)*VaveBetaz,COMPLEX(COS(VmidMux),SIN(VmidMux)))</f>
        <v>0</v>
      </c>
      <c r="DV74" s="433" t="str">
        <f>IMPRODUCT(1/8*VHl*VaveBetax^(1/2)*VaveBetaz,COMPLEX(COS(VmidMux-2*VmidMuz),SIN(VmidMux-2*VmidMuz)))</f>
        <v>0</v>
      </c>
      <c r="DW74" s="433" t="str">
        <f>IMPRODUCT(1/8*VHl*VaveBetax^(1/2)*VaveBetaz,COMPLEX(COS(VmidMux+2*VmidMuz),SIN(VmidMux+2*VmidMuz)))</f>
        <v>0</v>
      </c>
      <c r="DX74" s="433"/>
      <c r="DY74" s="433"/>
      <c r="DZ74" s="433"/>
      <c r="EA74" s="433"/>
      <c r="EB74" s="70">
        <f>CH74*(1/AQ74+1/AQ73)/2</f>
        <v>15.01134532397657</v>
      </c>
      <c r="EC74" s="70">
        <f>CH74*(1/AR74+1/AR73)/2</f>
        <v>30.04471328400583</v>
      </c>
      <c r="ED74" s="70">
        <f>CH74*(AS74+AS73)/2</f>
        <v>0.10537492402427144</v>
      </c>
      <c r="EE74" s="71">
        <f>DK74/DI74*CH74</f>
        <v>2.2062577052318977E-3</v>
      </c>
      <c r="EF74" s="70">
        <f>SQRT(VaveBetax/VaveBetaz*T_Coupling)</f>
        <v>1.4822196758167146E-2</v>
      </c>
      <c r="EG74" s="70">
        <f>IF(EF74&lt;=1,EF74^(0.021-0.044*LN(EF74)),EF74^(-0.021-0.044*LN(EF74)))/(VaveBetax*VaveBetaz)^(1/4)</f>
        <v>0.18461980799229183</v>
      </c>
      <c r="EH74" s="72">
        <f t="shared" ref="EH74:ET75" si="165">$EG74*Vlength/SQRT(1+EH$7*EH$7/EH$8*1000000000/Vlength*$EE74)</f>
        <v>0.13434065385809033</v>
      </c>
      <c r="EI74" s="72" t="e">
        <f t="shared" si="165"/>
        <v>#DIV/0!</v>
      </c>
      <c r="EJ74" s="72" t="e">
        <f t="shared" si="165"/>
        <v>#DIV/0!</v>
      </c>
      <c r="EK74" s="72" t="e">
        <f t="shared" si="165"/>
        <v>#DIV/0!</v>
      </c>
      <c r="EL74" s="72" t="e">
        <f t="shared" si="165"/>
        <v>#DIV/0!</v>
      </c>
      <c r="EM74" s="72" t="e">
        <f t="shared" si="165"/>
        <v>#DIV/0!</v>
      </c>
      <c r="EN74" s="72" t="e">
        <f t="shared" si="165"/>
        <v>#DIV/0!</v>
      </c>
      <c r="EO74" s="72" t="e">
        <f t="shared" si="165"/>
        <v>#DIV/0!</v>
      </c>
      <c r="EP74" s="72" t="e">
        <f t="shared" si="165"/>
        <v>#DIV/0!</v>
      </c>
      <c r="EQ74" s="72" t="e">
        <f t="shared" si="165"/>
        <v>#DIV/0!</v>
      </c>
      <c r="ER74" s="72" t="e">
        <f t="shared" si="165"/>
        <v>#DIV/0!</v>
      </c>
      <c r="ES74" s="72" t="e">
        <f t="shared" si="165"/>
        <v>#DIV/0!</v>
      </c>
      <c r="ET74" s="72" t="e">
        <f t="shared" si="165"/>
        <v>#DIV/0!</v>
      </c>
      <c r="EU74" s="70">
        <f>Vlength*VaveBetaz</f>
        <v>37.55648277846673</v>
      </c>
      <c r="EW74" s="74"/>
      <c r="EX74" s="74"/>
      <c r="EY74" s="74"/>
      <c r="EZ74" s="74"/>
      <c r="FA74" s="74"/>
      <c r="FB74" s="74"/>
    </row>
    <row r="75" spans="1:158" s="68" customFormat="1" ht="15.75" customHeight="1" outlineLevel="1">
      <c r="A75" s="63"/>
      <c r="B75" s="63"/>
      <c r="C75" s="76" t="s">
        <v>175</v>
      </c>
      <c r="D75" s="65" t="s">
        <v>1132</v>
      </c>
      <c r="E75" s="401">
        <v>4.6162400499999999E-2</v>
      </c>
      <c r="F75" s="402">
        <v>23.366299999999999</v>
      </c>
      <c r="G75" s="403"/>
      <c r="H75" s="535"/>
      <c r="I75" s="542"/>
      <c r="J75" s="537"/>
      <c r="K75" s="403"/>
      <c r="L75" s="403"/>
      <c r="M75" s="508"/>
      <c r="N75" s="531">
        <f>T_Energy/0.2998/F75</f>
        <v>0.8622145786741211</v>
      </c>
      <c r="O75" s="433">
        <f>-G75*N75/F75</f>
        <v>0</v>
      </c>
      <c r="P75" s="462">
        <f>2*H75*N75/F75/F75</f>
        <v>0</v>
      </c>
      <c r="Q75" s="462">
        <f>O75*Vlength</f>
        <v>0</v>
      </c>
      <c r="R75" s="69">
        <f>R74+Vlength</f>
        <v>18.895314195212602</v>
      </c>
      <c r="S75" s="69">
        <f>S74+U74*Vlength/SQRT(1+(U74)^2)</f>
        <v>-1.0163003396154779</v>
      </c>
      <c r="T75" s="69">
        <f>T74+Vlength/SQRT(1+(U74)^2)</f>
        <v>18.842219821867854</v>
      </c>
      <c r="U75" s="69">
        <f>(-SIN(E75)+U74*COS(E75))/(COS(E75)+U74*SIN(E75))</f>
        <v>-0.19891243094979075</v>
      </c>
      <c r="V75" s="70">
        <f t="shared" si="143"/>
        <v>4.8566512064864122</v>
      </c>
      <c r="W75" s="70">
        <f t="shared" si="144"/>
        <v>-2.6454044555044378</v>
      </c>
      <c r="X75" s="70">
        <f t="shared" si="145"/>
        <v>1.6468476720174179</v>
      </c>
      <c r="Y75" s="70">
        <f t="shared" si="146"/>
        <v>5.4953016533255035</v>
      </c>
      <c r="Z75" s="70">
        <f t="shared" si="147"/>
        <v>34.729430161516746</v>
      </c>
      <c r="AA75" s="70">
        <f t="shared" si="148"/>
        <v>3.2822043376388166E-3</v>
      </c>
      <c r="AB75" s="70">
        <f t="shared" si="149"/>
        <v>2.8794332881782025E-2</v>
      </c>
      <c r="AC75" s="70">
        <f t="shared" si="150"/>
        <v>1.6160004073290044</v>
      </c>
      <c r="AD75" s="69">
        <f>AD74*$CK75+AE74*$CL75+CO75</f>
        <v>-1.0854642380753142E-2</v>
      </c>
      <c r="AE75" s="70">
        <f>AD74*$CM75+AE74*$CN75+CP75</f>
        <v>1.7624332665546173E-2</v>
      </c>
      <c r="AF75" s="71">
        <f>V75*AE75^2+2*W75*AD75*AE75+X75*AD75^2</f>
        <v>2.714758467178694E-3</v>
      </c>
      <c r="AG75" s="70">
        <f>AG74*$CK75+AH74*$CL75+CO75</f>
        <v>-4.6229980213435391E-2</v>
      </c>
      <c r="AH75" s="70">
        <f>AG74*$CM75+AH74*$CN75+CP75</f>
        <v>-8.9647093133637182E-3</v>
      </c>
      <c r="AI75" s="70">
        <f>AI74*$CK75+AJ74*$CL75+0.001*(1-$CK75)*$K75</f>
        <v>0</v>
      </c>
      <c r="AJ75" s="70">
        <f>AI74*$CM75+AJ74*$CN75-0.001*$CM75*K75</f>
        <v>0</v>
      </c>
      <c r="AK75" s="70">
        <f>AK74*$CK75+AL74*$CL75+0.001*(1-$CK75)*$K75</f>
        <v>0</v>
      </c>
      <c r="AL75" s="70">
        <f>AK74*$CM75+AL74*$CN75-0.001*$CM75*$K75</f>
        <v>0</v>
      </c>
      <c r="AM75" s="70">
        <f>AM74*$CR75+AN74*$CS75+0.001*(1-$CR75)*$L75</f>
        <v>0</v>
      </c>
      <c r="AN75" s="70">
        <f>AM74*$CT75+AN74*$CU75-0.001*$CT75*$L75</f>
        <v>0</v>
      </c>
      <c r="AO75" s="70">
        <f>AO74*$CR75+AP74*$CS75+0.001*(1-$CR75)*$L75</f>
        <v>0</v>
      </c>
      <c r="AP75" s="70">
        <f>AO74*$CT75+AP74*$CU75-0.001*$CT75*$L75</f>
        <v>0</v>
      </c>
      <c r="AQ75" s="69">
        <f t="shared" si="103"/>
        <v>0.13456848447265488</v>
      </c>
      <c r="AR75" s="69">
        <f t="shared" si="104"/>
        <v>3.5852659490398009E-2</v>
      </c>
      <c r="AS75" s="69">
        <f t="shared" si="105"/>
        <v>8.0289040226390287E-2</v>
      </c>
      <c r="AT75" s="69">
        <f t="shared" si="106"/>
        <v>1.0323478514064975E-3</v>
      </c>
      <c r="AU75" s="69">
        <f t="shared" si="107"/>
        <v>4.0726610512306092</v>
      </c>
      <c r="AV75" s="72">
        <f t="shared" si="164"/>
        <v>3.7012216628845733</v>
      </c>
      <c r="AW75" s="72">
        <f t="shared" si="164"/>
        <v>3.7012216628845733E-2</v>
      </c>
      <c r="AX75" s="72">
        <f t="shared" si="164"/>
        <v>1.0629909222129516E-3</v>
      </c>
      <c r="AY75" s="488">
        <f>IF(Vlength*CJ75=0,0.5*(AD74+AD75)-Vlength*Vlength/12/F75,(AE75-AE74-E75)/CJ75/Vlength)</f>
        <v>-1.2056375516594079E-2</v>
      </c>
      <c r="AZ75" s="488">
        <f>IF(VKl=0,AZ74,(AD75-AD74)/Vlength)</f>
        <v>-7.4734225881549821E-2</v>
      </c>
      <c r="BA75" s="433">
        <f>IF($CJ75=0,0.5*(V75+V74)-X74*Vlength*Vlength/6,-0.5*(($X75-$CJ75*$V75)*Vlength+($W75-$W74))/$CJ75/Vlength)</f>
        <v>2.6401941947864942</v>
      </c>
      <c r="BB75" s="77">
        <f t="shared" si="108"/>
        <v>5.2479713459939958</v>
      </c>
      <c r="BC75" s="488">
        <f>IF(CJ75=0,AY75*BA75-(2*W74-X74*Vlength)*AE74*Vlength*Vlength/12-(W74/12-2*X74*Vlength/45)*Vlength^3/F75,-(2*(X75-CJ75*V75)*AY75+(2*W75*AD75+V75*AE75-2*W74*AD74-V74*AE74)/Vlength-BA75/F75)/3/CJ75)</f>
        <v>-3.3431978159064263E-2</v>
      </c>
      <c r="BD75" s="488"/>
      <c r="BE75" s="488">
        <f>(X75-CJ75*V75)*AY75+(V75*AE75-V74*AE74)/Vlength-BA75/F75</f>
        <v>-2.5472507698548821E-2</v>
      </c>
      <c r="BF75" s="433">
        <f>IF($CQ75=0,0.5*(Z75+Z74)-AB74*Vlength*Vlength/6,-0.5*(($AB75-$CQ75*$Z75)*Vlength+$AA75-$AA74)/$CQ75/Vlength)</f>
        <v>34.744137645287402</v>
      </c>
      <c r="BG75" s="488">
        <f t="shared" si="109"/>
        <v>1.6004777220634376</v>
      </c>
      <c r="BH75" s="488">
        <f>-(2*(AB75-CQ75*Z75)*AY75+(2*AA75*AD75+Z75*AE75-2*AA74*AD74-Z74*AE74)/Vlength-BF75/F75)/(4*CQ75-CJ75)</f>
        <v>-0.41886378083334302</v>
      </c>
      <c r="BI75" s="488"/>
      <c r="BJ75" s="488">
        <f>$CQ75*$BH75+($AB75-$CQ75*$Z75)*$AY75</f>
        <v>-3.4715528997257664E-4</v>
      </c>
      <c r="BK75" s="72">
        <f>VaveBetax*E75^2</f>
        <v>5.6261672833194361E-3</v>
      </c>
      <c r="BL75" s="72">
        <f>VaveBetaz*E75^2</f>
        <v>7.4038618406579312E-2</v>
      </c>
      <c r="BM75" s="72">
        <f>SUMSQ(SQRT(V75)-SQRT(V74),0.5*(SQRT(V75)+SQRT(V74))*(Y75-Y74))/F75/F75</f>
        <v>3.6928121269909713E-3</v>
      </c>
      <c r="BN75" s="72">
        <f>VaveBetax*(CJ75*Vlength)^2</f>
        <v>1.0304638109954114E-5</v>
      </c>
      <c r="BO75" s="72">
        <f>VaveBetaz*(CQ75*Vlength)^2</f>
        <v>0</v>
      </c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69">
        <f>$CQ75*Vlength</f>
        <v>0</v>
      </c>
      <c r="CG75" s="69">
        <f>H75/F75/F75/F75*Vlength</f>
        <v>0</v>
      </c>
      <c r="CH75" s="70">
        <f>E75*F75</f>
        <v>1.0786444988031498</v>
      </c>
      <c r="CI75" s="73"/>
      <c r="CJ75" s="74">
        <f>-((1-$G75)-0.001*$K75*$H75/$F75)/$F75/$F75</f>
        <v>-1.8315555850081987E-3</v>
      </c>
      <c r="CK75" s="74">
        <f>IF(CJ75=0,1,IF(CJ75&gt;0,COSH(Vlength*SQRT(CJ75)),COS(Vlength*SQRT(-CJ75))))</f>
        <v>0.99893470558581987</v>
      </c>
      <c r="CL75" s="74">
        <f>IF(CJ75=0,Vlength,IF(CJ75&gt;0,SINH(Vlength*SQRT(CJ75))/SQRT(CJ75),SIN(Vlength*SQRT(-CJ75))/SQRT(-CJ75)))</f>
        <v>1.078261446940826</v>
      </c>
      <c r="CM75" s="74">
        <f>CL75*CJ75</f>
        <v>-1.9748957752434913E-3</v>
      </c>
      <c r="CN75" s="74">
        <f>CK75</f>
        <v>0.99893470558581987</v>
      </c>
      <c r="CO75" s="70">
        <f>IF(CJ75=0,0.5*E75*E75*F75,(CK75-1)/F75/CJ75)</f>
        <v>2.4891988870057148E-2</v>
      </c>
      <c r="CP75" s="70">
        <f>CL75/F75</f>
        <v>4.6146007153071995E-2</v>
      </c>
      <c r="CQ75" s="74">
        <f>-($G75+0.001*$K75*$H75/$F75)/$F75/$F75</f>
        <v>0</v>
      </c>
      <c r="CR75" s="74">
        <f>IF(CQ75=0,1,IF(CQ75&gt;0,COSH(Vlength*SQRT(CQ75)),COS(Vlength*SQRT(-CQ75))))</f>
        <v>1</v>
      </c>
      <c r="CS75" s="74">
        <f>IF(CQ75=0,Vlength,IF(CQ75&gt;0,SINH(Vlength*SQRT(CQ75))/SQRT(CQ75),SIN(Vlength*SQRT(-CQ75))/SQRT(-CQ75)))</f>
        <v>1.0786444988031498</v>
      </c>
      <c r="CT75" s="74">
        <f>CS75*CQ75</f>
        <v>0</v>
      </c>
      <c r="CU75" s="74">
        <f>CR75</f>
        <v>1</v>
      </c>
      <c r="CV75" s="70"/>
      <c r="CW75" s="74">
        <f t="shared" si="151"/>
        <v>0.26230640409199973</v>
      </c>
      <c r="CX75" s="74">
        <f t="shared" si="152"/>
        <v>-9.257477372530218</v>
      </c>
      <c r="CY75" s="74">
        <f t="shared" si="153"/>
        <v>0.19715644901334534</v>
      </c>
      <c r="CZ75" s="74">
        <f t="shared" si="154"/>
        <v>-3.1458300396662686</v>
      </c>
      <c r="DA75" s="70"/>
      <c r="DB75" s="74">
        <f t="shared" si="155"/>
        <v>-0.16761451880768385</v>
      </c>
      <c r="DC75" s="74">
        <f t="shared" si="156"/>
        <v>9.3534509712647491</v>
      </c>
      <c r="DD75" s="74">
        <f t="shared" si="157"/>
        <v>-0.10667825368803205</v>
      </c>
      <c r="DE75" s="74">
        <f t="shared" si="158"/>
        <v>-1.3066794239721902E-2</v>
      </c>
      <c r="DF75" s="74">
        <f>AZ75^2*Vlength</f>
        <v>6.0244501281547149E-3</v>
      </c>
      <c r="DG75" s="74">
        <f>Vlength*AY75/F75</f>
        <v>-5.5655123517541025E-4</v>
      </c>
      <c r="DH75" s="74">
        <f>1/F75/F75*Vlength</f>
        <v>1.9755973560212784E-3</v>
      </c>
      <c r="DI75" s="74">
        <f>ABS(DH75/F75)</f>
        <v>8.4549002453160254E-5</v>
      </c>
      <c r="DJ75" s="74">
        <f>DG75*(1-2*G75)/F75/F75</f>
        <v>-1.019354523128734E-6</v>
      </c>
      <c r="DK75" s="72">
        <f>DI75*(1/V74*(AD74*AD74+(V74*AE74+W74*AD74)^2)+(W74*AD74+V74*AE74)*2*(1-COS(E75))/E75-2*((1+W74^2)/V74*AD74+W74*AE74)*F75*(1-SIN(E75)/E75)+V74/2*(1-SIN(2*E75)/2/E75)-4*W74*F75*SIN(E75/2)^4/E75+(1+W74^2)/V74/2*F75^2*(3+SIN(E75)/E75*(COS(E75)-4)))</f>
        <v>5.4288365171073435E-8</v>
      </c>
      <c r="DL75" s="69">
        <f>E75</f>
        <v>4.6162400499999999E-2</v>
      </c>
      <c r="DM75" s="69">
        <f>DI75*BF75</f>
        <v>2.9375821790043419E-3</v>
      </c>
      <c r="DN75" s="77">
        <f>-(VKl+$E75/$F75)*VaveBetax+2*(VHl+VKl/$F75)*$BC75+$BE75*$E75</f>
        <v>-6.3918327727226698E-3</v>
      </c>
      <c r="DO75" s="77">
        <f>VKl*VaveBetaz-(2*VHl+VKl/$F75)*$BH75+$BJ75*$E75</f>
        <v>-1.6025521531407717E-5</v>
      </c>
      <c r="DP75" s="488" t="str">
        <f>IMPRODUCT(-1/8*VaveBetax*(-Vlength*CJ75-2*VHl*$AY75),COMPLEX(COS(2*VmidMux),SIN(2*VmidMux)))</f>
        <v>0.000312372279558009+0.000572294634166859i</v>
      </c>
      <c r="DQ75" s="433" t="str">
        <f>IMPRODUCT(1/8*VaveBetaz*(VKl-2*VHl*$AY75),COMPLEX(COS(2*VmidMuz),SIN(2*VmidMuz)))</f>
        <v>0</v>
      </c>
      <c r="DR75" s="433" t="str">
        <f>IMPRODUCT(-1/2*SQRT(VaveBetax)*(-Vlength*CJ75-2*VHl*$AY75)*AY75,COMPLEX(COS(VmidMux),SIN(VmidMux)))</f>
        <v>9.87562081352784E-06-0.0000166412994935386i</v>
      </c>
      <c r="DS75" s="433" t="str">
        <f>IMPRODUCT(-1/8*VHl*VaveBetax^(3/2),COMPLEX(COS(VmidMux),SIN(VmidMux)))</f>
        <v>0</v>
      </c>
      <c r="DT75" s="433" t="str">
        <f>IMPRODUCT(-1/24*VHl*VaveBetax^(3/2),COMPLEX(COS(3*VmidMux),SIN(3*VmidMux)))</f>
        <v>0</v>
      </c>
      <c r="DU75" s="433" t="str">
        <f>IMPRODUCT(1/4*VHl*VaveBetax^(1/2)*VaveBetaz,COMPLEX(COS(VmidMux),SIN(VmidMux)))</f>
        <v>0</v>
      </c>
      <c r="DV75" s="433" t="str">
        <f>IMPRODUCT(1/8*VHl*VaveBetax^(1/2)*VaveBetaz,COMPLEX(COS(VmidMux-2*VmidMuz),SIN(VmidMux-2*VmidMuz)))</f>
        <v>0</v>
      </c>
      <c r="DW75" s="433" t="str">
        <f>IMPRODUCT(1/8*VHl*VaveBetax^(1/2)*VaveBetaz,COMPLEX(COS(VmidMux+2*VmidMuz),SIN(VmidMux+2*VmidMuz)))</f>
        <v>0</v>
      </c>
      <c r="DX75" s="433"/>
      <c r="DY75" s="433"/>
      <c r="DZ75" s="433"/>
      <c r="EA75" s="433"/>
      <c r="EB75" s="70">
        <f>CH75*(1/AQ75+1/AQ74)/2</f>
        <v>12.57901364759303</v>
      </c>
      <c r="EC75" s="70">
        <f>CH75*(1/AR75+1/AR74)/2</f>
        <v>30.076699607018362</v>
      </c>
      <c r="ED75" s="70">
        <f>CH75*(AS75+AS74)/2</f>
        <v>8.8562540824089556E-2</v>
      </c>
      <c r="EE75" s="71">
        <f>DK75/DI75*CH75</f>
        <v>6.9259062486557008E-4</v>
      </c>
      <c r="EF75" s="70">
        <f>SQRT(VaveBetax/VaveBetaz*T_Coupling)</f>
        <v>2.7566216801814748E-2</v>
      </c>
      <c r="EG75" s="70">
        <f>IF(EF75&lt;=1,EF75^(0.021-0.044*LN(EF75)),EF75^(-0.021-0.044*LN(EF75)))/(VaveBetax*VaveBetaz)^(1/4)</f>
        <v>0.16989501984259608</v>
      </c>
      <c r="EH75" s="72">
        <f t="shared" si="165"/>
        <v>0.15623199682127475</v>
      </c>
      <c r="EI75" s="72" t="e">
        <f t="shared" si="165"/>
        <v>#DIV/0!</v>
      </c>
      <c r="EJ75" s="72" t="e">
        <f t="shared" si="165"/>
        <v>#DIV/0!</v>
      </c>
      <c r="EK75" s="72" t="e">
        <f t="shared" si="165"/>
        <v>#DIV/0!</v>
      </c>
      <c r="EL75" s="72" t="e">
        <f t="shared" si="165"/>
        <v>#DIV/0!</v>
      </c>
      <c r="EM75" s="72" t="e">
        <f t="shared" si="165"/>
        <v>#DIV/0!</v>
      </c>
      <c r="EN75" s="72" t="e">
        <f t="shared" si="165"/>
        <v>#DIV/0!</v>
      </c>
      <c r="EO75" s="72" t="e">
        <f t="shared" si="165"/>
        <v>#DIV/0!</v>
      </c>
      <c r="EP75" s="72" t="e">
        <f t="shared" si="165"/>
        <v>#DIV/0!</v>
      </c>
      <c r="EQ75" s="72" t="e">
        <f t="shared" si="165"/>
        <v>#DIV/0!</v>
      </c>
      <c r="ER75" s="72" t="e">
        <f t="shared" si="165"/>
        <v>#DIV/0!</v>
      </c>
      <c r="ES75" s="72" t="e">
        <f t="shared" si="165"/>
        <v>#DIV/0!</v>
      </c>
      <c r="ET75" s="72" t="e">
        <f t="shared" si="165"/>
        <v>#DIV/0!</v>
      </c>
      <c r="EU75" s="70">
        <f>Vlength*VaveBetaz</f>
        <v>37.476572936748681</v>
      </c>
      <c r="EW75" s="74"/>
      <c r="EX75" s="74"/>
      <c r="EY75" s="74"/>
      <c r="EZ75" s="74"/>
      <c r="FA75" s="74"/>
      <c r="FB75" s="74"/>
    </row>
    <row r="76" spans="1:158" s="68" customFormat="1" ht="15.75" customHeight="1" outlineLevel="1">
      <c r="A76" s="63"/>
      <c r="B76" s="63"/>
      <c r="C76" s="64"/>
      <c r="D76" s="65" t="s">
        <v>1077</v>
      </c>
      <c r="E76" s="401">
        <v>4.9087401000000003E-2</v>
      </c>
      <c r="F76" s="402">
        <v>23.366299999999999</v>
      </c>
      <c r="G76" s="405"/>
      <c r="H76" s="405"/>
      <c r="I76" s="544"/>
      <c r="K76" s="401"/>
      <c r="L76" s="401"/>
      <c r="M76" s="554"/>
      <c r="N76" s="530"/>
      <c r="O76" s="75"/>
      <c r="P76" s="461"/>
      <c r="Q76" s="461"/>
      <c r="R76" s="69">
        <f>R75</f>
        <v>18.895314195212602</v>
      </c>
      <c r="S76" s="69">
        <f>S75</f>
        <v>-1.0163003396154779</v>
      </c>
      <c r="T76" s="69">
        <f>T75</f>
        <v>18.842219821867854</v>
      </c>
      <c r="U76" s="69">
        <f>U75</f>
        <v>-0.19891243094979075</v>
      </c>
      <c r="V76" s="70">
        <f t="shared" si="143"/>
        <v>4.8566512064864122</v>
      </c>
      <c r="W76" s="70">
        <f t="shared" si="144"/>
        <v>-2.65561540251205</v>
      </c>
      <c r="X76" s="70">
        <f t="shared" si="145"/>
        <v>1.6579928892782769</v>
      </c>
      <c r="Y76" s="70">
        <f t="shared" si="146"/>
        <v>5.4953016533255035</v>
      </c>
      <c r="Z76" s="70">
        <f t="shared" si="147"/>
        <v>34.729430161516746</v>
      </c>
      <c r="AA76" s="70">
        <f t="shared" si="148"/>
        <v>7.6299671704904523E-2</v>
      </c>
      <c r="AB76" s="70">
        <f t="shared" si="149"/>
        <v>2.8961651119079251E-2</v>
      </c>
      <c r="AC76" s="70">
        <f t="shared" si="150"/>
        <v>1.6160004073290044</v>
      </c>
      <c r="AD76" s="69">
        <f>AD75</f>
        <v>-1.0854642380753142E-2</v>
      </c>
      <c r="AE76" s="70">
        <f>AD75*$CM76+AE75</f>
        <v>1.7601511142355787E-2</v>
      </c>
      <c r="AF76" s="71">
        <f>AF75</f>
        <v>2.714758467178694E-3</v>
      </c>
      <c r="AG76" s="70">
        <f>AG75</f>
        <v>-4.6229980213435391E-2</v>
      </c>
      <c r="AH76" s="70">
        <f>AG75*$CM76+AH75</f>
        <v>-9.0619063032344113E-3</v>
      </c>
      <c r="AI76" s="70">
        <f>AI75</f>
        <v>0</v>
      </c>
      <c r="AJ76" s="70">
        <f>AI75*$CM76+AJ75-0.001*$CM76*K76</f>
        <v>0</v>
      </c>
      <c r="AK76" s="70">
        <f>AK75</f>
        <v>0</v>
      </c>
      <c r="AL76" s="70">
        <f>AK75*$CM76+AL75-0.001*$CM76*$K76</f>
        <v>0</v>
      </c>
      <c r="AM76" s="70">
        <f>AM75</f>
        <v>0</v>
      </c>
      <c r="AN76" s="70">
        <f>AM75*$CT76+AN75-0.001*$CT76*$L76</f>
        <v>0</v>
      </c>
      <c r="AO76" s="70">
        <f>AO75</f>
        <v>0</v>
      </c>
      <c r="AP76" s="70">
        <f>AO75*$CT76+AP75-0.001*$CT76*$L76</f>
        <v>0</v>
      </c>
      <c r="AQ76" s="69">
        <f t="shared" si="103"/>
        <v>0.13456848447265488</v>
      </c>
      <c r="AR76" s="69">
        <f t="shared" si="104"/>
        <v>3.5852659490398009E-2</v>
      </c>
      <c r="AS76" s="69">
        <f t="shared" si="105"/>
        <v>8.0539881581111708E-2</v>
      </c>
      <c r="AT76" s="69">
        <f t="shared" si="106"/>
        <v>1.0353428925473983E-3</v>
      </c>
      <c r="AU76" s="69">
        <f t="shared" si="107"/>
        <v>4.0699993615157348</v>
      </c>
      <c r="AV76" s="72">
        <f>AV75</f>
        <v>3.7012216628845733</v>
      </c>
      <c r="AW76" s="72">
        <f>AW75</f>
        <v>3.7012216628845733E-2</v>
      </c>
      <c r="AX76" s="72">
        <f>AX75</f>
        <v>1.0629909222129516E-3</v>
      </c>
      <c r="AY76" s="77">
        <f>AD76</f>
        <v>-1.0854642380753142E-2</v>
      </c>
      <c r="AZ76" s="77">
        <f>(AE76+AE75)/2</f>
        <v>1.761292190395098E-2</v>
      </c>
      <c r="BA76" s="433">
        <f>V76</f>
        <v>4.8566512064864122</v>
      </c>
      <c r="BB76" s="77">
        <f t="shared" si="108"/>
        <v>5.4953016533255035</v>
      </c>
      <c r="BC76" s="488">
        <f>VaveBetax*AY76</f>
        <v>-5.2717212014463291E-2</v>
      </c>
      <c r="BD76" s="488"/>
      <c r="BE76" s="488">
        <f>IF(ISERR(FIND("BEND",UPPER(D75))),AZ76,-AZ76)</f>
        <v>-1.761292190395098E-2</v>
      </c>
      <c r="BF76" s="433">
        <f>Z76</f>
        <v>34.729430161516746</v>
      </c>
      <c r="BG76" s="488">
        <f t="shared" si="109"/>
        <v>1.6160004073290044</v>
      </c>
      <c r="BH76" s="488">
        <f>VaveBetaz*AY76</f>
        <v>-0.37697554449060611</v>
      </c>
      <c r="BI76" s="488"/>
      <c r="BJ76" s="488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>
        <f>-TAN($E76)/$F76</f>
        <v>-2.1024666119680668E-3</v>
      </c>
      <c r="CG76" s="69">
        <f>-IF(ISERR(FIND("BEND",UPPER(D75))),G77,G75)*CF76/F76</f>
        <v>0</v>
      </c>
      <c r="CI76" s="73"/>
      <c r="CJ76" s="74"/>
      <c r="CK76" s="74">
        <v>1</v>
      </c>
      <c r="CL76" s="74">
        <v>0</v>
      </c>
      <c r="CM76" s="74">
        <f>-VKl</f>
        <v>2.1024666119680668E-3</v>
      </c>
      <c r="CN76" s="74">
        <v>1</v>
      </c>
      <c r="CO76" s="70"/>
      <c r="CP76" s="70"/>
      <c r="CQ76" s="74"/>
      <c r="CR76" s="74">
        <v>1</v>
      </c>
      <c r="CS76" s="74">
        <v>0</v>
      </c>
      <c r="CT76" s="74">
        <f>VKl</f>
        <v>-2.1024666119680668E-3</v>
      </c>
      <c r="CU76" s="74">
        <v>1</v>
      </c>
      <c r="CV76" s="70"/>
      <c r="CW76" s="74">
        <f t="shared" si="151"/>
        <v>0.26230640409199973</v>
      </c>
      <c r="CX76" s="74">
        <f t="shared" si="152"/>
        <v>-9.257477372530218</v>
      </c>
      <c r="CY76" s="74">
        <f t="shared" si="153"/>
        <v>0.19770793947005416</v>
      </c>
      <c r="CZ76" s="74">
        <f t="shared" si="154"/>
        <v>-3.1652935767530632</v>
      </c>
      <c r="DA76" s="70"/>
      <c r="DB76" s="74">
        <f t="shared" si="155"/>
        <v>-0.16761451880768385</v>
      </c>
      <c r="DC76" s="74">
        <f t="shared" si="156"/>
        <v>9.3534509712647491</v>
      </c>
      <c r="DD76" s="74">
        <f t="shared" si="157"/>
        <v>-0.1063258497585578</v>
      </c>
      <c r="DE76" s="74">
        <f t="shared" si="158"/>
        <v>-3.2732112613486325E-2</v>
      </c>
      <c r="DF76" s="74"/>
      <c r="DG76" s="70"/>
      <c r="DH76" s="70"/>
      <c r="DI76" s="70"/>
      <c r="DJ76" s="70"/>
      <c r="DK76" s="70"/>
      <c r="DL76" s="75"/>
      <c r="DM76" s="75"/>
      <c r="DN76" s="77">
        <f>-VaveBetax*VKl+(2*VHl+1*VKl/$F76)*BC76</f>
        <v>1.0215690427757213E-2</v>
      </c>
      <c r="DO76" s="77">
        <f>VaveBetaz*(VKl+BE76/$F76)-(2*VHl+0.5*VKl/$F76)*BH76</f>
        <v>-9.9212587281476528E-2</v>
      </c>
      <c r="DP76" s="433"/>
      <c r="DQ76" s="433"/>
      <c r="DR76" s="433"/>
      <c r="DS76" s="433"/>
      <c r="DT76" s="433"/>
      <c r="DU76" s="433"/>
      <c r="DV76" s="433"/>
      <c r="DW76" s="433"/>
      <c r="DX76" s="433"/>
      <c r="DY76" s="433"/>
      <c r="DZ76" s="433"/>
      <c r="EA76" s="433"/>
      <c r="EB76" s="70"/>
      <c r="EC76" s="70"/>
      <c r="ED76" s="70"/>
      <c r="EE76" s="71"/>
      <c r="EF76" s="71"/>
      <c r="EG76" s="71"/>
      <c r="EH76" s="70"/>
      <c r="EI76" s="70"/>
      <c r="EJ76" s="70"/>
      <c r="EK76" s="70"/>
      <c r="EL76" s="70"/>
      <c r="EM76" s="70"/>
      <c r="EN76" s="70"/>
      <c r="EO76" s="70"/>
      <c r="EP76" s="70"/>
      <c r="EQ76" s="70"/>
      <c r="ER76" s="70"/>
      <c r="ES76" s="70"/>
      <c r="ET76" s="70"/>
      <c r="EU76" s="70"/>
      <c r="EW76" s="74"/>
      <c r="EX76" s="74"/>
      <c r="EY76" s="74"/>
      <c r="EZ76" s="74"/>
      <c r="FA76" s="74"/>
      <c r="FB76" s="74"/>
    </row>
    <row r="77" spans="1:158" s="7" customFormat="1" ht="15.75" customHeight="1" outlineLevel="1">
      <c r="A77" s="31"/>
      <c r="B77" s="31"/>
      <c r="C77" s="37"/>
      <c r="D77" s="25" t="s">
        <v>567</v>
      </c>
      <c r="E77" s="395">
        <v>1.0627500000000001</v>
      </c>
      <c r="F77" s="396"/>
      <c r="G77" s="396"/>
      <c r="H77" s="396"/>
      <c r="I77" s="540"/>
      <c r="K77" s="396"/>
      <c r="L77" s="396"/>
      <c r="M77" s="396"/>
      <c r="N77" s="525"/>
      <c r="O77" s="36"/>
      <c r="P77" s="458"/>
      <c r="Q77" s="458"/>
      <c r="R77" s="101">
        <f>R76+Vlength</f>
        <v>19.958064195212604</v>
      </c>
      <c r="S77" s="101">
        <f>S76+U76*Vlength/SQRT(1+(U76)^2)</f>
        <v>-1.2236326430772353</v>
      </c>
      <c r="T77" s="101">
        <f>T76+Vlength/SQRT(1+(U76)^2)</f>
        <v>19.884549365937886</v>
      </c>
      <c r="U77" s="101">
        <f>U76</f>
        <v>-0.19891243094979075</v>
      </c>
      <c r="V77" s="112">
        <f t="shared" si="143"/>
        <v>12.373761192034564</v>
      </c>
      <c r="W77" s="112">
        <f t="shared" si="144"/>
        <v>-4.4176473455925391</v>
      </c>
      <c r="X77" s="112">
        <f t="shared" si="145"/>
        <v>1.6579928892782771</v>
      </c>
      <c r="Y77" s="112">
        <f t="shared" si="146"/>
        <v>5.6328266467836805</v>
      </c>
      <c r="Z77" s="112">
        <f t="shared" si="147"/>
        <v>34.599965585953882</v>
      </c>
      <c r="AA77" s="112">
        <f t="shared" si="148"/>
        <v>4.5520676978103046E-2</v>
      </c>
      <c r="AB77" s="112">
        <f t="shared" si="149"/>
        <v>2.8961651119079248E-2</v>
      </c>
      <c r="AC77" s="112">
        <f t="shared" si="150"/>
        <v>1.6466632566104045</v>
      </c>
      <c r="AD77" s="101">
        <f>AD76+AE76*$CL77</f>
        <v>7.8513635857854723E-3</v>
      </c>
      <c r="AE77" s="112">
        <f>AE76</f>
        <v>1.7601511142355787E-2</v>
      </c>
      <c r="AF77" s="238">
        <f>AF76</f>
        <v>2.714758467178694E-3</v>
      </c>
      <c r="AG77" s="112">
        <f>AG76+AH76*$CL77</f>
        <v>-5.5860521137197763E-2</v>
      </c>
      <c r="AH77" s="112">
        <f>AH76</f>
        <v>-9.0619063032344113E-3</v>
      </c>
      <c r="AI77" s="112">
        <f>AI76+AJ76*$CL77</f>
        <v>0</v>
      </c>
      <c r="AJ77" s="112">
        <f>AJ76</f>
        <v>0</v>
      </c>
      <c r="AK77" s="112">
        <f>AK76+AL76*$CL77</f>
        <v>0</v>
      </c>
      <c r="AL77" s="112">
        <f>AL76</f>
        <v>0</v>
      </c>
      <c r="AM77" s="112">
        <f>AM76+AN76*$CS77</f>
        <v>0</v>
      </c>
      <c r="AN77" s="112">
        <f>AN76</f>
        <v>0</v>
      </c>
      <c r="AO77" s="112">
        <f>AO76+AP76*$CS77</f>
        <v>0</v>
      </c>
      <c r="AP77" s="112">
        <f>AP76</f>
        <v>0</v>
      </c>
      <c r="AQ77" s="101">
        <f t="shared" si="103"/>
        <v>0.21416742864672531</v>
      </c>
      <c r="AR77" s="101">
        <f t="shared" si="104"/>
        <v>3.5785771217313904E-2</v>
      </c>
      <c r="AS77" s="101">
        <f t="shared" si="105"/>
        <v>8.0539881581111722E-2</v>
      </c>
      <c r="AT77" s="101">
        <f t="shared" si="106"/>
        <v>1.0353428925473983E-3</v>
      </c>
      <c r="AU77" s="101">
        <f t="shared" si="107"/>
        <v>5.9384861363237356</v>
      </c>
      <c r="AV77" s="239">
        <f t="shared" ref="AV77:AX92" si="166">AV76</f>
        <v>3.7012216628845733</v>
      </c>
      <c r="AW77" s="239">
        <f t="shared" si="166"/>
        <v>3.7012216628845733E-2</v>
      </c>
      <c r="AX77" s="239">
        <f t="shared" si="166"/>
        <v>1.0629909222129516E-3</v>
      </c>
      <c r="AY77" s="434">
        <f>0.5*(AD76+AD77)</f>
        <v>-1.5016393974838348E-3</v>
      </c>
      <c r="AZ77" s="356">
        <f>0.5*(AE76+AE77)</f>
        <v>1.7601511142355787E-2</v>
      </c>
      <c r="BA77" s="425">
        <f>0.5*(V77+V76)-X76*Vlength*Vlength/6</f>
        <v>8.3031062913423561</v>
      </c>
      <c r="BB77" s="356">
        <f t="shared" si="108"/>
        <v>5.564064150054592</v>
      </c>
      <c r="BC77" s="434"/>
      <c r="BD77" s="434"/>
      <c r="BE77" s="434"/>
      <c r="BF77" s="425">
        <f>0.5*(Z77+Z76)-AB76*Vlength*Vlength/6</f>
        <v>34.659246144294329</v>
      </c>
      <c r="BG77" s="434">
        <f t="shared" si="109"/>
        <v>1.6313318319697045</v>
      </c>
      <c r="BH77" s="434"/>
      <c r="BI77" s="434"/>
      <c r="BJ77" s="434"/>
      <c r="BK77" s="239"/>
      <c r="BL77" s="239"/>
      <c r="BM77" s="239"/>
      <c r="BN77" s="239"/>
      <c r="BO77" s="239"/>
      <c r="BP77" s="239"/>
      <c r="BQ77" s="239"/>
      <c r="BR77" s="239"/>
      <c r="BS77" s="239"/>
      <c r="BT77" s="239"/>
      <c r="BU77" s="239"/>
      <c r="BV77" s="239"/>
      <c r="BW77" s="239"/>
      <c r="BX77" s="239"/>
      <c r="BY77" s="239"/>
      <c r="BZ77" s="239"/>
      <c r="CA77" s="239"/>
      <c r="CB77" s="239"/>
      <c r="CC77" s="239"/>
      <c r="CD77" s="239"/>
      <c r="CE77" s="239"/>
      <c r="CF77" s="101"/>
      <c r="CG77" s="101"/>
      <c r="CH77" s="112">
        <f>E77</f>
        <v>1.0627500000000001</v>
      </c>
      <c r="CI77" s="240"/>
      <c r="CJ77" s="112"/>
      <c r="CK77" s="30">
        <v>1</v>
      </c>
      <c r="CL77" s="30">
        <f>E77</f>
        <v>1.0627500000000001</v>
      </c>
      <c r="CM77" s="30">
        <v>0</v>
      </c>
      <c r="CN77" s="30">
        <v>1</v>
      </c>
      <c r="CO77" s="112"/>
      <c r="CP77" s="112"/>
      <c r="CQ77" s="112"/>
      <c r="CR77" s="30">
        <v>1</v>
      </c>
      <c r="CS77" s="30">
        <f>CL77</f>
        <v>1.0627500000000001</v>
      </c>
      <c r="CT77" s="30">
        <v>0</v>
      </c>
      <c r="CU77" s="30">
        <v>1</v>
      </c>
      <c r="CV77" s="112"/>
      <c r="CW77" s="30">
        <f t="shared" si="151"/>
        <v>0.47242051676379981</v>
      </c>
      <c r="CX77" s="30">
        <f t="shared" si="152"/>
        <v>-12.621393121224536</v>
      </c>
      <c r="CY77" s="30">
        <f t="shared" si="153"/>
        <v>0.19770793947005416</v>
      </c>
      <c r="CZ77" s="30">
        <f t="shared" si="154"/>
        <v>-3.1652935767530632</v>
      </c>
      <c r="DA77" s="112"/>
      <c r="DB77" s="30">
        <f t="shared" si="155"/>
        <v>-0.28061231563859118</v>
      </c>
      <c r="DC77" s="30">
        <f t="shared" si="156"/>
        <v>9.3186649185847656</v>
      </c>
      <c r="DD77" s="30">
        <f t="shared" si="157"/>
        <v>-0.1063258497585578</v>
      </c>
      <c r="DE77" s="30">
        <f t="shared" si="158"/>
        <v>-3.2732112613486325E-2</v>
      </c>
      <c r="DF77" s="30">
        <f>AZ77^2*Vlength</f>
        <v>3.2925397244900327E-4</v>
      </c>
      <c r="DG77" s="112"/>
      <c r="DH77" s="112"/>
      <c r="DI77" s="112"/>
      <c r="DJ77" s="112"/>
      <c r="DK77" s="112"/>
      <c r="DL77" s="36"/>
      <c r="DM77" s="36"/>
      <c r="DN77" s="356"/>
      <c r="DO77" s="356"/>
      <c r="DP77" s="425"/>
      <c r="DQ77" s="425"/>
      <c r="DR77" s="425"/>
      <c r="DS77" s="425"/>
      <c r="DT77" s="425"/>
      <c r="DU77" s="425"/>
      <c r="DV77" s="425"/>
      <c r="DW77" s="425"/>
      <c r="DX77" s="425"/>
      <c r="DY77" s="425"/>
      <c r="DZ77" s="425"/>
      <c r="EA77" s="425"/>
      <c r="EB77" s="112">
        <f>E77*(1/AQ77+1/AQ76)/2</f>
        <v>6.4298524627159859</v>
      </c>
      <c r="EC77" s="112">
        <f>E77*(1/AR77+1/AR76)/2</f>
        <v>29.669855020221664</v>
      </c>
      <c r="ED77" s="112">
        <f>E77*(AS77+AS76)/2</f>
        <v>8.5593759150326493E-2</v>
      </c>
      <c r="EE77" s="238">
        <f>(X77*AD77*AD77+2*W77*AD77*AE77+V77*AE77*AE77)*CH77</f>
        <v>2.8851095609941568E-3</v>
      </c>
      <c r="EF77" s="112">
        <f>SQRT(VaveBetax/VaveBetaz*T_Coupling)</f>
        <v>4.8945271578829129E-2</v>
      </c>
      <c r="EG77" s="112">
        <f>IF(EF77&lt;=1,EF77^(0.021-0.044*LN(EF77)),EF77^(-0.021-0.044*LN(EF77)))/(VaveBetax*VaveBetaz)^(1/4)</f>
        <v>0.15267843242946869</v>
      </c>
      <c r="EH77" s="239">
        <f t="shared" ref="EH77:ET79" si="167">$EG77*Vlength/SQRT(1+EH$7*EH$7/EH$8*1000000000/Vlength*$EE77)</f>
        <v>0.10083882708870992</v>
      </c>
      <c r="EI77" s="239" t="e">
        <f t="shared" si="167"/>
        <v>#DIV/0!</v>
      </c>
      <c r="EJ77" s="239" t="e">
        <f t="shared" si="167"/>
        <v>#DIV/0!</v>
      </c>
      <c r="EK77" s="239" t="e">
        <f t="shared" si="167"/>
        <v>#DIV/0!</v>
      </c>
      <c r="EL77" s="239" t="e">
        <f t="shared" si="167"/>
        <v>#DIV/0!</v>
      </c>
      <c r="EM77" s="239" t="e">
        <f t="shared" si="167"/>
        <v>#DIV/0!</v>
      </c>
      <c r="EN77" s="239" t="e">
        <f t="shared" si="167"/>
        <v>#DIV/0!</v>
      </c>
      <c r="EO77" s="239" t="e">
        <f t="shared" si="167"/>
        <v>#DIV/0!</v>
      </c>
      <c r="EP77" s="239" t="e">
        <f t="shared" si="167"/>
        <v>#DIV/0!</v>
      </c>
      <c r="EQ77" s="239" t="e">
        <f t="shared" si="167"/>
        <v>#DIV/0!</v>
      </c>
      <c r="ER77" s="239" t="e">
        <f t="shared" si="167"/>
        <v>#DIV/0!</v>
      </c>
      <c r="ES77" s="239" t="e">
        <f t="shared" si="167"/>
        <v>#DIV/0!</v>
      </c>
      <c r="ET77" s="239" t="e">
        <f t="shared" si="167"/>
        <v>#DIV/0!</v>
      </c>
      <c r="EU77" s="112">
        <f>Vlength*VaveBetaz</f>
        <v>36.834113839848804</v>
      </c>
      <c r="EW77" s="30"/>
      <c r="EX77" s="30"/>
      <c r="EY77" s="30"/>
      <c r="EZ77" s="30"/>
      <c r="FA77" s="30"/>
      <c r="FB77" s="30"/>
    </row>
    <row r="78" spans="1:158" s="42" customFormat="1" ht="15.75" customHeight="1" outlineLevel="1">
      <c r="A78" s="39"/>
      <c r="B78" s="39"/>
      <c r="C78" s="40" t="s">
        <v>222</v>
      </c>
      <c r="D78" s="41" t="s">
        <v>670</v>
      </c>
      <c r="E78" s="392">
        <v>0.51900999999999997</v>
      </c>
      <c r="F78" s="393">
        <v>-0.75890800000000003</v>
      </c>
      <c r="G78" s="392"/>
      <c r="H78" s="507"/>
      <c r="I78" s="541"/>
      <c r="J78" s="536"/>
      <c r="K78" s="394"/>
      <c r="L78" s="394"/>
      <c r="M78" s="507"/>
      <c r="N78" s="527"/>
      <c r="O78" s="429">
        <f>T_Energy/0.2998*F78</f>
        <v>-15.289540760507006</v>
      </c>
      <c r="P78" s="459">
        <f>2*T_Energy/0.2998*G78</f>
        <v>0</v>
      </c>
      <c r="Q78" s="459">
        <f>O78*Vlength</f>
        <v>-7.9354245501107403</v>
      </c>
      <c r="R78" s="44">
        <f>R77+Vlength</f>
        <v>20.477074195212605</v>
      </c>
      <c r="S78" s="44">
        <f>S77+U77*Vlength/SQRT(1+(U77)^2)</f>
        <v>-1.3248865022347855</v>
      </c>
      <c r="T78" s="44">
        <f>T77+Vlength/SQRT(1+(U77)^2)</f>
        <v>20.393586728128231</v>
      </c>
      <c r="U78" s="44">
        <f>U77</f>
        <v>-0.19891243094979075</v>
      </c>
      <c r="V78" s="45">
        <f t="shared" si="143"/>
        <v>20.794946488652126</v>
      </c>
      <c r="W78" s="45">
        <f t="shared" si="144"/>
        <v>-12.898697555772616</v>
      </c>
      <c r="X78" s="45">
        <f t="shared" si="145"/>
        <v>8.0488977803637223</v>
      </c>
      <c r="Y78" s="45">
        <f t="shared" si="146"/>
        <v>5.6663019507129881</v>
      </c>
      <c r="Z78" s="45">
        <f t="shared" si="147"/>
        <v>27.96201452608625</v>
      </c>
      <c r="AA78" s="45">
        <f t="shared" si="148"/>
        <v>11.860485119505158</v>
      </c>
      <c r="AB78" s="45">
        <f t="shared" si="149"/>
        <v>5.0665558140611022</v>
      </c>
      <c r="AC78" s="45">
        <f t="shared" si="150"/>
        <v>1.6627872764315379</v>
      </c>
      <c r="AD78" s="44">
        <f>AD77*$CK78+AE77*$CL78</f>
        <v>1.8117459534993923E-2</v>
      </c>
      <c r="AE78" s="45">
        <f>AD77*$CM78+AE77*$CN78</f>
        <v>2.2630441349916281E-2</v>
      </c>
      <c r="AF78" s="46">
        <f>AF77</f>
        <v>2.714758467178694E-3</v>
      </c>
      <c r="AG78" s="45">
        <f>AG77*$CK78+AH77*$CL78</f>
        <v>-6.6533296417950527E-2</v>
      </c>
      <c r="AH78" s="45">
        <f>AG77*$CM78+AH77*$CN78</f>
        <v>-3.2763787726933682E-2</v>
      </c>
      <c r="AI78" s="45">
        <f>AI77*$CK78+AJ77*$CL78+0.001*(1-$CK78)*$K78</f>
        <v>0</v>
      </c>
      <c r="AJ78" s="45">
        <f>AI77*$CM78+AJ77*$CN78-0.001*$CM78*$K78</f>
        <v>0</v>
      </c>
      <c r="AK78" s="45">
        <f>AK77*$CK78+AL77*$CL78+0.001*(1-$CK78)*$K78</f>
        <v>0</v>
      </c>
      <c r="AL78" s="45">
        <f>AK77*$CM78+AL77*$CN78-0.001*$CM78*$K78</f>
        <v>0</v>
      </c>
      <c r="AM78" s="45">
        <f>AM77*$CR78+AN77*$CS78+0.001*(1-$CR78)*$L78</f>
        <v>0</v>
      </c>
      <c r="AN78" s="45">
        <f>AM77*$CT78+AN77*$CU78-0.001*$CT78*$L78</f>
        <v>0</v>
      </c>
      <c r="AO78" s="45">
        <f>AO77*$CR78+AP77*$CS78+0.001*(1-$CR78)*$L78</f>
        <v>0</v>
      </c>
      <c r="AP78" s="45">
        <f>AO77*$CT78+AP77*$CU78-0.001*$CT78*$L78</f>
        <v>0</v>
      </c>
      <c r="AQ78" s="44">
        <f t="shared" si="103"/>
        <v>0.27809639292189603</v>
      </c>
      <c r="AR78" s="44">
        <f t="shared" si="104"/>
        <v>3.2170423357774383E-2</v>
      </c>
      <c r="AS78" s="44">
        <f t="shared" si="105"/>
        <v>0.17426830961604875</v>
      </c>
      <c r="AT78" s="44">
        <f t="shared" si="106"/>
        <v>1.3693957110790415E-2</v>
      </c>
      <c r="AU78" s="44">
        <f t="shared" si="107"/>
        <v>10.654744307611779</v>
      </c>
      <c r="AV78" s="47">
        <f t="shared" si="166"/>
        <v>3.7012216628845733</v>
      </c>
      <c r="AW78" s="47">
        <f t="shared" si="166"/>
        <v>3.7012216628845733E-2</v>
      </c>
      <c r="AX78" s="47">
        <f t="shared" si="166"/>
        <v>1.0629909222129516E-3</v>
      </c>
      <c r="AY78" s="43">
        <f>IF(VKl=0,0.5*(AD77+AD78),(AE78-AE77)/CJ78/Vlength)</f>
        <v>1.2767643619759314E-2</v>
      </c>
      <c r="AZ78" s="43">
        <f>IF(VKl=0,AE78,(AD78-AD77)/Vlength)</f>
        <v>1.9780150573608313E-2</v>
      </c>
      <c r="BA78" s="429">
        <f>IF($CJ78=0,0.5*(V78+V77)-X77*Vlength*Vlength/6,-0.5*(($X78-$CJ78*$V78)*Vlength+($W78-$W77))/$CJ78/Vlength)</f>
        <v>15.860536338983428</v>
      </c>
      <c r="BB78" s="428">
        <f t="shared" si="108"/>
        <v>5.6495642987483343</v>
      </c>
      <c r="BC78" s="43">
        <f>IF(CJ78=0,AY78*BA78-(2*W77-X77*Vlength)*AE77*Vlength*Vlength/12,-(2*(X78-CJ78*V78)*AY78+(2*W78*AD78+V78*AE78-2*W77*AD77-V77*AE77)/Vlength)/3/CJ78)</f>
        <v>0.20961694655840998</v>
      </c>
      <c r="BD78" s="43"/>
      <c r="BE78" s="43"/>
      <c r="BF78" s="429">
        <f>IF($CQ78=0,0.5*(Z78+Z77)-AB77*Vlength*Vlength/6,-0.5*(($AB78-$CQ78*$Z78)*Vlength+$AA78-$AA77)/$CQ78/Vlength)</f>
        <v>32.317209572321119</v>
      </c>
      <c r="BG78" s="43">
        <f t="shared" si="109"/>
        <v>1.6547252665209711</v>
      </c>
      <c r="BH78" s="43">
        <f>IF(CQ78=0,AY78*BF78-(2*AA77-AB77*Vlength)*AE77*Vlength*Vlength/12,-(2*(AB78-CQ78*Z78)*AY78+(2*AA78*AD78+Z78*AE78-2*AA77*AD77-Z77*AE77)/Vlength)/5/CQ78)</f>
        <v>0.40683137694351346</v>
      </c>
      <c r="BI78" s="43"/>
      <c r="BJ78" s="43"/>
      <c r="BK78" s="47"/>
      <c r="BL78" s="47"/>
      <c r="BM78" s="47"/>
      <c r="BN78" s="47"/>
      <c r="BO78" s="47"/>
      <c r="BP78" s="47">
        <f>VaveBetax*BR78</f>
        <v>39.027025472422388</v>
      </c>
      <c r="BQ78" s="47">
        <f>VaveBetaz*BS78</f>
        <v>162.03074260639926</v>
      </c>
      <c r="BR78" s="47">
        <f>VaveBetax*VKl^2</f>
        <v>2.4606371839077292</v>
      </c>
      <c r="BS78" s="47">
        <f>VaveBetaz*VKl^2</f>
        <v>5.0137603076094335</v>
      </c>
      <c r="BT78" s="47">
        <f>BS78*AY78^2</f>
        <v>8.1730672322690736E-4</v>
      </c>
      <c r="BU78" s="47">
        <f>(CJ78*(V78-V77))^2</f>
        <v>40.84366532689981</v>
      </c>
      <c r="BV78" s="47">
        <f>(CQ78*(Z78-Z77))^2</f>
        <v>25.377354950507559</v>
      </c>
      <c r="BW78" s="47">
        <f>1/VaveBetax*(CJ78*Vlength^3)^2</f>
        <v>7.0976527306626503E-4</v>
      </c>
      <c r="BX78" s="47">
        <f>1/VaveBetaz*(CQ78*Vlength^3)^2</f>
        <v>3.4833632156340474E-4</v>
      </c>
      <c r="BY78" s="47">
        <f>(CJ78*VaveBetax*(Y78-Y77))^2</f>
        <v>0.16235402429372839</v>
      </c>
      <c r="BZ78" s="47">
        <f>(CQ78*VaveBetaz*(AC78-AC77))^2</f>
        <v>0.15638410818463325</v>
      </c>
      <c r="CA78" s="45">
        <f>AY78^2*VaveBetaz*VHl^2</f>
        <v>0</v>
      </c>
      <c r="CB78" s="47">
        <f>VaveBetax*BS78</f>
        <v>79.520927553792149</v>
      </c>
      <c r="CC78" s="45">
        <f>VaveBetax*VaveBetaz*VHl^2</f>
        <v>0</v>
      </c>
      <c r="CD78" s="45">
        <f>(VaveBetax*VHl)^2</f>
        <v>0</v>
      </c>
      <c r="CE78" s="45">
        <f>(VaveBetaz*VHl)^2</f>
        <v>0</v>
      </c>
      <c r="CF78" s="44">
        <f>$CQ78*Vlength</f>
        <v>-0.39388084107999999</v>
      </c>
      <c r="CG78" s="44">
        <f>$G78*Vlength</f>
        <v>0</v>
      </c>
      <c r="CH78" s="45">
        <f>$E78</f>
        <v>0.51900999999999997</v>
      </c>
      <c r="CI78" s="48"/>
      <c r="CJ78" s="49">
        <f>-$CQ78</f>
        <v>0.75890800000000003</v>
      </c>
      <c r="CK78" s="49">
        <f>IF(CJ78=0,1,IF(CJ78&gt;0,COSH(Vlength*SQRT(CJ78)),COS(Vlength*SQRT(-CJ78))))</f>
        <v>1.103967241922627</v>
      </c>
      <c r="CL78" s="49">
        <f>IF(CJ78=0,Vlength,IF(CJ78&gt;0,SINH(Vlength*SQRT(CJ78))/SQRT(CJ78),SIN(Vlength*SQRT(-CJ78))/SQRT(-CJ78)))</f>
        <v>0.53687500211972283</v>
      </c>
      <c r="CM78" s="49">
        <f>CL78*CJ78</f>
        <v>0.40743873410867465</v>
      </c>
      <c r="CN78" s="49">
        <f>CK78</f>
        <v>1.103967241922627</v>
      </c>
      <c r="CO78" s="45"/>
      <c r="CP78" s="45"/>
      <c r="CQ78" s="49">
        <f>$F78-0.001*$G78*$K78</f>
        <v>-0.75890800000000003</v>
      </c>
      <c r="CR78" s="49">
        <f>IF(CQ78=0,1,IF(CQ78&gt;0,COSH(Vlength*SQRT(CQ78)),COS(Vlength*SQRT(-CQ78))))</f>
        <v>0.89951541522169132</v>
      </c>
      <c r="CS78" s="49">
        <f>IF(CQ78=0,Vlength,IF(CQ78&gt;0,SINH(Vlength*SQRT(CQ78))/SQRT(CQ78),SIN(Vlength*SQRT(-CQ78))/SQRT(-CQ78)))</f>
        <v>0.50150650066051239</v>
      </c>
      <c r="CT78" s="49">
        <f>CS78*CQ78</f>
        <v>-0.38059729540326814</v>
      </c>
      <c r="CU78" s="49">
        <f>CR78</f>
        <v>0.89951541522169132</v>
      </c>
      <c r="CV78" s="45"/>
      <c r="CW78" s="49">
        <f t="shared" si="151"/>
        <v>0.62768122534146553</v>
      </c>
      <c r="CX78" s="49">
        <f t="shared" si="152"/>
        <v>-15.632971548988314</v>
      </c>
      <c r="CY78" s="49">
        <f t="shared" si="153"/>
        <v>0.4107455059601699</v>
      </c>
      <c r="CZ78" s="49">
        <f t="shared" si="154"/>
        <v>-8.6368248558031446</v>
      </c>
      <c r="DA78" s="45"/>
      <c r="DB78" s="49">
        <f t="shared" si="155"/>
        <v>-0.30573820846013733</v>
      </c>
      <c r="DC78" s="49">
        <f t="shared" si="156"/>
        <v>8.365867376296567</v>
      </c>
      <c r="DD78" s="49">
        <f t="shared" si="157"/>
        <v>1.1158547494527715E-2</v>
      </c>
      <c r="DE78" s="49">
        <f t="shared" si="158"/>
        <v>-3.5761017046512809</v>
      </c>
      <c r="DF78" s="49">
        <f>AZ78^2*Vlength</f>
        <v>2.030649236784535E-4</v>
      </c>
      <c r="DG78" s="45"/>
      <c r="DH78" s="45"/>
      <c r="DI78" s="45"/>
      <c r="DJ78" s="45"/>
      <c r="DK78" s="45"/>
      <c r="DL78" s="50"/>
      <c r="DM78" s="50"/>
      <c r="DN78" s="428">
        <f>-VKl*VaveBetax+2*VHl*$BC78</f>
        <v>6.247161393178696</v>
      </c>
      <c r="DO78" s="428">
        <f>VaveBetaz*VKl-2*VHl*$BH78</f>
        <v>-12.72912968770447</v>
      </c>
      <c r="DP78" s="43" t="str">
        <f>IMPRODUCT(-1/8*(VaveBetax*VKl-2*$BC78*VHl),COMPLEX(COS(2*VmidMux),SIN(2*VmidMux)))</f>
        <v>0.233420417946602-0.745192714331154i</v>
      </c>
      <c r="DQ78" s="429" t="str">
        <f>IMPRODUCT(1/8*(VaveBetaz*VKl-2*BH78*VHl),COMPLEX(COS(2*VmidMuz),SIN(2*VmidMuz)))</f>
        <v>1.56877758496612+0.265833109549683i</v>
      </c>
      <c r="DR78" s="429" t="str">
        <f>IMPRODUCT(-1/2*SQRT(VaveBetax)*(VKl-2*VHl*$AY78)*AY78,COMPLEX(COS(VmidMux),SIN(VmidMux)))</f>
        <v>0.00807011513719819-0.00592891507429051i</v>
      </c>
      <c r="DS78" s="429" t="str">
        <f>IMPRODUCT(-1/8*VHl*VaveBetax^(3/2),COMPLEX(COS(VmidMux),SIN(VmidMux)))</f>
        <v>0</v>
      </c>
      <c r="DT78" s="429" t="str">
        <f>IMPRODUCT(-1/24*VHl*VaveBetax^(3/2),COMPLEX(COS(3*VmidMux),SIN(3*VmidMux)))</f>
        <v>0</v>
      </c>
      <c r="DU78" s="429" t="str">
        <f>IMPRODUCT(1/4*VHl*VaveBetax^(1/2)*VaveBetaz,COMPLEX(COS(VmidMux),SIN(VmidMux)))</f>
        <v>0</v>
      </c>
      <c r="DV78" s="429" t="str">
        <f>IMPRODUCT(1/8*VHl*VaveBetax^(1/2)*VaveBetaz,COMPLEX(COS(VmidMux-2*VmidMuz),SIN(VmidMux-2*VmidMuz)))</f>
        <v>0</v>
      </c>
      <c r="DW78" s="429" t="str">
        <f>IMPRODUCT(1/8*VHl*VaveBetax^(1/2)*VaveBetaz,COMPLEX(COS(VmidMux+2*VmidMuz),SIN(VmidMux+2*VmidMuz)))</f>
        <v>0</v>
      </c>
      <c r="DX78" s="429">
        <f>VaveBetax^2*F78^2*E78/8/PI()/2</f>
        <v>1.4959596197831775</v>
      </c>
      <c r="DY78" s="429">
        <f>2*VaveBetax*VaveBetaz*F78^2*E78/8/PI()</f>
        <v>12.192586558484926</v>
      </c>
      <c r="DZ78" s="429">
        <f>VaveBetaz^2*F78^2*E78/8/PI()</f>
        <v>12.421722904500404</v>
      </c>
      <c r="EA78" s="429">
        <f>ABS(F78)</f>
        <v>0.75890800000000003</v>
      </c>
      <c r="EB78" s="45">
        <f>E78*(1/AQ78+1/AQ77)/2</f>
        <v>2.1448398530735835</v>
      </c>
      <c r="EC78" s="45">
        <f>E78*(1/AR78+1/AR77)/2</f>
        <v>15.318196061985278</v>
      </c>
      <c r="ED78" s="45">
        <f>E78*(AS78+AS77)/2</f>
        <v>6.6123999656619123E-2</v>
      </c>
      <c r="EE78" s="46">
        <f>(X78*AD78*AD78+2*W78*AD78*AE78+V78*AE78*AE78)*CH78</f>
        <v>1.4089867920504132E-3</v>
      </c>
      <c r="EF78" s="45">
        <f>SQRT(VaveBetax/VaveBetaz*T_Coupling)</f>
        <v>7.0055462946516531E-2</v>
      </c>
      <c r="EG78" s="45">
        <f>IF(EF78&lt;=1,EF78^(0.021-0.044*LN(EF78)),EF78^(-0.021-0.044*LN(EF78)))/(VaveBetax*VaveBetaz)^(1/4)</f>
        <v>0.14563464751536287</v>
      </c>
      <c r="EH78" s="47">
        <f t="shared" si="167"/>
        <v>4.6974202346561113E-2</v>
      </c>
      <c r="EI78" s="47" t="e">
        <f t="shared" si="167"/>
        <v>#DIV/0!</v>
      </c>
      <c r="EJ78" s="47" t="e">
        <f t="shared" si="167"/>
        <v>#DIV/0!</v>
      </c>
      <c r="EK78" s="47" t="e">
        <f t="shared" si="167"/>
        <v>#DIV/0!</v>
      </c>
      <c r="EL78" s="47" t="e">
        <f t="shared" si="167"/>
        <v>#DIV/0!</v>
      </c>
      <c r="EM78" s="47" t="e">
        <f t="shared" si="167"/>
        <v>#DIV/0!</v>
      </c>
      <c r="EN78" s="47" t="e">
        <f t="shared" si="167"/>
        <v>#DIV/0!</v>
      </c>
      <c r="EO78" s="47" t="e">
        <f t="shared" si="167"/>
        <v>#DIV/0!</v>
      </c>
      <c r="EP78" s="47" t="e">
        <f t="shared" si="167"/>
        <v>#DIV/0!</v>
      </c>
      <c r="EQ78" s="47" t="e">
        <f t="shared" si="167"/>
        <v>#DIV/0!</v>
      </c>
      <c r="ER78" s="47" t="e">
        <f t="shared" si="167"/>
        <v>#DIV/0!</v>
      </c>
      <c r="ES78" s="47" t="e">
        <f t="shared" si="167"/>
        <v>#DIV/0!</v>
      </c>
      <c r="ET78" s="47" t="e">
        <f t="shared" si="167"/>
        <v>#DIV/0!</v>
      </c>
      <c r="EU78" s="45">
        <f>Vlength*VaveBetaz</f>
        <v>16.772954940130383</v>
      </c>
      <c r="EW78" s="49" t="str">
        <f>IMPRODUCT(VKl*VaveBetax^(ABS(EW$5)/2)*VaveBetaz^(ABS(EW$6)/2),COMPLEX(COS(EW$5*VmidMux+EW$6*VmidMuz+EW$23*$R78),SIN(EW$5*VmidMux+EW$6*VmidMuz+EW$23*$R78)))</f>
        <v>10.0537940044627+7.80717418290571i</v>
      </c>
      <c r="EX78" s="49" t="str">
        <f>IMPRODUCT(VKl*VaveBetax^(ABS(EX$5)/2)*VaveBetaz^(ABS(EX$6)/2),COMPLEX(COS(EX$5*VmidMux+EX$6*VmidMuz+EX$23*$R78),SIN(EX$5*VmidMux+EX$6*VmidMuz+EX$23*$R78)))</f>
        <v>-6.13314562555434+1.18808678477883i</v>
      </c>
      <c r="EY78" s="49" t="str">
        <f>IMPRODUCT(VHl*VaveBetax^(ABS(EY$5)/2)*VaveBetaz^(ABS(EY$6)/2),COMPLEX(COS(EY$5*VmidMux+EY$6*VmidMuz+EY$23*$R78),SIN(EY$5*VmidMux+EY$6*VmidMuz+EY$23*$R78)))</f>
        <v>0</v>
      </c>
      <c r="EZ78" s="49" t="str">
        <f>IMPRODUCT(VHl*VaveBetax^(ABS(EZ$5)/2)*VaveBetaz^(ABS(EZ$6)/2),COMPLEX(COS(EZ$5*VmidMux+EZ$6*VmidMuz+EZ$23*$R78),SIN(EZ$5*VmidMux+EZ$6*VmidMuz+EZ$23*$R78)))</f>
        <v>0</v>
      </c>
      <c r="FA78" s="49" t="str">
        <f>IMPRODUCT(VHl*VaveBetax^(ABS(FA$5)/2)*VaveBetaz^(ABS(FA$6)/2),COMPLEX(COS(FA$5*VmidMux+FA$6*VmidMuz+FA$23*$R78),SIN(FA$5*VmidMux+FA$6*VmidMuz+FA$23*$R78)))</f>
        <v>0</v>
      </c>
      <c r="FB78" s="49"/>
    </row>
    <row r="79" spans="1:158" s="7" customFormat="1" ht="15.75" customHeight="1" outlineLevel="1">
      <c r="A79" s="31"/>
      <c r="B79" s="31"/>
      <c r="C79" s="37"/>
      <c r="D79" s="25" t="s">
        <v>567</v>
      </c>
      <c r="E79" s="395">
        <v>0.34049499999999999</v>
      </c>
      <c r="F79" s="396"/>
      <c r="G79" s="396"/>
      <c r="H79" s="396"/>
      <c r="I79" s="540"/>
      <c r="K79" s="396"/>
      <c r="L79" s="396"/>
      <c r="M79" s="396"/>
      <c r="N79" s="525"/>
      <c r="O79" s="36"/>
      <c r="P79" s="458"/>
      <c r="Q79" s="458"/>
      <c r="R79" s="101">
        <f>R78+Vlength</f>
        <v>20.817569195212606</v>
      </c>
      <c r="S79" s="101">
        <f>S78+U78*Vlength/SQRT(1+(U78)^2)</f>
        <v>-1.3913138018510744</v>
      </c>
      <c r="T79" s="101">
        <f>T78+Vlength/SQRT(1+(U78)^2)</f>
        <v>20.727539208117058</v>
      </c>
      <c r="U79" s="101">
        <f>U78</f>
        <v>-0.19891243094979075</v>
      </c>
      <c r="V79" s="112">
        <f t="shared" si="143"/>
        <v>30.511994351741816</v>
      </c>
      <c r="W79" s="112">
        <f t="shared" si="144"/>
        <v>-15.63930700549756</v>
      </c>
      <c r="X79" s="112">
        <f t="shared" si="145"/>
        <v>8.0488977803637205</v>
      </c>
      <c r="Y79" s="112">
        <f t="shared" si="146"/>
        <v>5.6798198673687281</v>
      </c>
      <c r="Z79" s="112">
        <f t="shared" si="147"/>
        <v>20.472543260779744</v>
      </c>
      <c r="AA79" s="112">
        <f t="shared" si="148"/>
        <v>10.135348197596423</v>
      </c>
      <c r="AB79" s="112">
        <f t="shared" si="149"/>
        <v>5.0665558140611031</v>
      </c>
      <c r="AC79" s="112">
        <f t="shared" si="150"/>
        <v>1.6770189270051699</v>
      </c>
      <c r="AD79" s="101">
        <f>AD78+AE78*$CL79</f>
        <v>2.5823011662433667E-2</v>
      </c>
      <c r="AE79" s="112">
        <f>AE78</f>
        <v>2.2630441349916281E-2</v>
      </c>
      <c r="AF79" s="238">
        <f>AF78</f>
        <v>2.714758467178694E-3</v>
      </c>
      <c r="AG79" s="112">
        <f>AG78+AH78*$CL79</f>
        <v>-7.7689202320032819E-2</v>
      </c>
      <c r="AH79" s="112">
        <f>AH78</f>
        <v>-3.2763787726933682E-2</v>
      </c>
      <c r="AI79" s="112">
        <f>AI78+AJ78*$CL79</f>
        <v>0</v>
      </c>
      <c r="AJ79" s="112">
        <f>AJ78</f>
        <v>0</v>
      </c>
      <c r="AK79" s="112">
        <f>AK78+AL78*$CL79</f>
        <v>0</v>
      </c>
      <c r="AL79" s="112">
        <f>AL78</f>
        <v>0</v>
      </c>
      <c r="AM79" s="112">
        <f>AM78+AN78*$CS79</f>
        <v>0</v>
      </c>
      <c r="AN79" s="112">
        <f>AN78</f>
        <v>0</v>
      </c>
      <c r="AO79" s="112">
        <f>AO78+AP78*$CS79</f>
        <v>0</v>
      </c>
      <c r="AP79" s="112">
        <f>AP78</f>
        <v>0</v>
      </c>
      <c r="AQ79" s="101">
        <f t="shared" si="103"/>
        <v>0.33717226530943306</v>
      </c>
      <c r="AR79" s="101">
        <f t="shared" si="104"/>
        <v>2.7526972338261173E-2</v>
      </c>
      <c r="AS79" s="101">
        <f t="shared" si="105"/>
        <v>0.17426830961604875</v>
      </c>
      <c r="AT79" s="101">
        <f t="shared" si="106"/>
        <v>1.3693957110790415E-2</v>
      </c>
      <c r="AU79" s="101">
        <f t="shared" si="107"/>
        <v>13.339549566788842</v>
      </c>
      <c r="AV79" s="239">
        <f t="shared" si="166"/>
        <v>3.7012216628845733</v>
      </c>
      <c r="AW79" s="239">
        <f t="shared" si="166"/>
        <v>3.7012216628845733E-2</v>
      </c>
      <c r="AX79" s="239">
        <f t="shared" si="166"/>
        <v>1.0629909222129516E-3</v>
      </c>
      <c r="AY79" s="434">
        <f>0.5*(AD78+AD79)</f>
        <v>2.1970235598713795E-2</v>
      </c>
      <c r="AZ79" s="356">
        <f>0.5*(AE78+AE79)</f>
        <v>2.2630441349916281E-2</v>
      </c>
      <c r="BA79" s="425">
        <f>0.5*(V79+V78)-X78*Vlength*Vlength/6</f>
        <v>25.497943117766287</v>
      </c>
      <c r="BB79" s="356">
        <f t="shared" si="108"/>
        <v>5.6730609090408581</v>
      </c>
      <c r="BC79" s="434"/>
      <c r="BD79" s="434"/>
      <c r="BE79" s="434"/>
      <c r="BF79" s="425">
        <f>0.5*(Z79+Z78)-AB78*Vlength*Vlength/6</f>
        <v>24.119378810728779</v>
      </c>
      <c r="BG79" s="434">
        <f t="shared" si="109"/>
        <v>1.6699031017183539</v>
      </c>
      <c r="BH79" s="434"/>
      <c r="BI79" s="434"/>
      <c r="BJ79" s="434"/>
      <c r="BK79" s="239"/>
      <c r="BL79" s="239"/>
      <c r="BM79" s="239"/>
      <c r="BN79" s="239"/>
      <c r="BO79" s="239"/>
      <c r="BP79" s="239"/>
      <c r="BQ79" s="239"/>
      <c r="BR79" s="239"/>
      <c r="BS79" s="239"/>
      <c r="BT79" s="239"/>
      <c r="BU79" s="239"/>
      <c r="BV79" s="239"/>
      <c r="BW79" s="239"/>
      <c r="BX79" s="239"/>
      <c r="BY79" s="239"/>
      <c r="BZ79" s="239"/>
      <c r="CA79" s="239"/>
      <c r="CB79" s="239"/>
      <c r="CC79" s="239"/>
      <c r="CD79" s="239"/>
      <c r="CE79" s="239"/>
      <c r="CF79" s="101"/>
      <c r="CG79" s="101"/>
      <c r="CH79" s="112">
        <f>E79</f>
        <v>0.34049499999999999</v>
      </c>
      <c r="CI79" s="240"/>
      <c r="CJ79" s="112"/>
      <c r="CK79" s="30">
        <v>1</v>
      </c>
      <c r="CL79" s="30">
        <f>E79</f>
        <v>0.34049499999999999</v>
      </c>
      <c r="CM79" s="30">
        <v>0</v>
      </c>
      <c r="CN79" s="30">
        <v>1</v>
      </c>
      <c r="CO79" s="112"/>
      <c r="CP79" s="112"/>
      <c r="CQ79" s="112"/>
      <c r="CR79" s="30">
        <v>1</v>
      </c>
      <c r="CS79" s="30">
        <f>CL79</f>
        <v>0.34049499999999999</v>
      </c>
      <c r="CT79" s="30">
        <v>0</v>
      </c>
      <c r="CU79" s="30">
        <v>1</v>
      </c>
      <c r="CV79" s="112"/>
      <c r="CW79" s="30">
        <f t="shared" si="151"/>
        <v>0.7675380163933736</v>
      </c>
      <c r="CX79" s="30">
        <f t="shared" si="152"/>
        <v>-18.573767228265005</v>
      </c>
      <c r="CY79" s="30">
        <f t="shared" si="153"/>
        <v>0.4107455059601699</v>
      </c>
      <c r="CZ79" s="30">
        <f t="shared" si="154"/>
        <v>-8.6368248558031446</v>
      </c>
      <c r="DA79" s="112"/>
      <c r="DB79" s="30">
        <f t="shared" si="155"/>
        <v>-0.30193877883098813</v>
      </c>
      <c r="DC79" s="30">
        <f t="shared" si="156"/>
        <v>7.1482226263713287</v>
      </c>
      <c r="DD79" s="30">
        <f t="shared" si="157"/>
        <v>1.1158547494527715E-2</v>
      </c>
      <c r="DE79" s="30">
        <f t="shared" si="158"/>
        <v>-3.5761017046512809</v>
      </c>
      <c r="DF79" s="30">
        <f>AZ79^2*Vlength</f>
        <v>1.7438004548874775E-4</v>
      </c>
      <c r="DG79" s="112"/>
      <c r="DH79" s="112"/>
      <c r="DI79" s="112"/>
      <c r="DJ79" s="112"/>
      <c r="DK79" s="112"/>
      <c r="DL79" s="36"/>
      <c r="DM79" s="36"/>
      <c r="DN79" s="356"/>
      <c r="DO79" s="356"/>
      <c r="DP79" s="425"/>
      <c r="DQ79" s="425"/>
      <c r="DR79" s="425"/>
      <c r="DS79" s="425"/>
      <c r="DT79" s="425"/>
      <c r="DU79" s="425"/>
      <c r="DV79" s="425"/>
      <c r="DW79" s="425"/>
      <c r="DX79" s="425"/>
      <c r="DY79" s="425"/>
      <c r="DZ79" s="425"/>
      <c r="EA79" s="425"/>
      <c r="EB79" s="112">
        <f>E79*(1/AQ79+1/AQ78)/2</f>
        <v>1.1171161652433759</v>
      </c>
      <c r="EC79" s="112">
        <f>E79*(1/AR79+1/AR78)/2</f>
        <v>11.476802444971712</v>
      </c>
      <c r="ED79" s="112">
        <f>E79*(AS79+AS78)/2</f>
        <v>5.9337488082716515E-2</v>
      </c>
      <c r="EE79" s="238">
        <f>(X79*AD79*AD79+2*W79*AD79*AE79+V79*AE79*AE79)*CH79</f>
        <v>9.2436168428200894E-4</v>
      </c>
      <c r="EF79" s="112">
        <f>SQRT(VaveBetax/VaveBetaz*T_Coupling)</f>
        <v>0.10281808592956374</v>
      </c>
      <c r="EG79" s="112">
        <f>IF(EF79&lt;=1,EF79^(0.021-0.044*LN(EF79)),EF79^(-0.021-0.044*LN(EF79)))/(VaveBetax*VaveBetaz)^(1/4)</f>
        <v>0.15245889083579542</v>
      </c>
      <c r="EH79" s="239">
        <f t="shared" si="167"/>
        <v>3.2261345358017696E-2</v>
      </c>
      <c r="EI79" s="239" t="e">
        <f t="shared" si="167"/>
        <v>#DIV/0!</v>
      </c>
      <c r="EJ79" s="239" t="e">
        <f t="shared" si="167"/>
        <v>#DIV/0!</v>
      </c>
      <c r="EK79" s="239" t="e">
        <f t="shared" si="167"/>
        <v>#DIV/0!</v>
      </c>
      <c r="EL79" s="239" t="e">
        <f t="shared" si="167"/>
        <v>#DIV/0!</v>
      </c>
      <c r="EM79" s="239" t="e">
        <f t="shared" si="167"/>
        <v>#DIV/0!</v>
      </c>
      <c r="EN79" s="239" t="e">
        <f t="shared" si="167"/>
        <v>#DIV/0!</v>
      </c>
      <c r="EO79" s="239" t="e">
        <f t="shared" si="167"/>
        <v>#DIV/0!</v>
      </c>
      <c r="EP79" s="239" t="e">
        <f t="shared" si="167"/>
        <v>#DIV/0!</v>
      </c>
      <c r="EQ79" s="239" t="e">
        <f t="shared" si="167"/>
        <v>#DIV/0!</v>
      </c>
      <c r="ER79" s="239" t="e">
        <f t="shared" si="167"/>
        <v>#DIV/0!</v>
      </c>
      <c r="ES79" s="239" t="e">
        <f t="shared" si="167"/>
        <v>#DIV/0!</v>
      </c>
      <c r="ET79" s="239" t="e">
        <f t="shared" si="167"/>
        <v>#DIV/0!</v>
      </c>
      <c r="EU79" s="112">
        <f>Vlength*VaveBetaz</f>
        <v>8.2125278881590962</v>
      </c>
      <c r="EW79" s="30"/>
      <c r="EX79" s="30"/>
      <c r="EY79" s="30"/>
      <c r="EZ79" s="30"/>
      <c r="FA79" s="30"/>
      <c r="FB79" s="30"/>
    </row>
    <row r="80" spans="1:158" s="54" customFormat="1" ht="15.75" customHeight="1" outlineLevel="1">
      <c r="A80" s="51"/>
      <c r="B80" s="51"/>
      <c r="C80" s="52" t="s">
        <v>1194</v>
      </c>
      <c r="D80" s="53" t="s">
        <v>1125</v>
      </c>
      <c r="E80" s="397">
        <v>-1.3998999999999999</v>
      </c>
      <c r="F80" s="54">
        <v>0</v>
      </c>
      <c r="G80" s="399"/>
      <c r="H80" s="399"/>
      <c r="I80" s="548"/>
      <c r="K80" s="398"/>
      <c r="L80" s="398"/>
      <c r="M80" s="509"/>
      <c r="N80" s="528"/>
      <c r="O80" s="430"/>
      <c r="P80" s="465"/>
      <c r="Q80" s="465"/>
      <c r="R80" s="56">
        <f t="shared" ref="R80:AG81" si="168">R79</f>
        <v>20.817569195212606</v>
      </c>
      <c r="S80" s="56">
        <f t="shared" si="168"/>
        <v>-1.3913138018510744</v>
      </c>
      <c r="T80" s="56">
        <f t="shared" si="168"/>
        <v>20.727539208117058</v>
      </c>
      <c r="U80" s="56">
        <f t="shared" si="168"/>
        <v>-0.19891243094979075</v>
      </c>
      <c r="V80" s="57">
        <f t="shared" si="143"/>
        <v>30.511994351741816</v>
      </c>
      <c r="W80" s="57">
        <f t="shared" si="144"/>
        <v>-15.63930700549756</v>
      </c>
      <c r="X80" s="57">
        <f t="shared" si="145"/>
        <v>8.0488977803637205</v>
      </c>
      <c r="Y80" s="57">
        <f t="shared" si="146"/>
        <v>5.6798198673687281</v>
      </c>
      <c r="Z80" s="57">
        <f t="shared" si="147"/>
        <v>20.472543260779744</v>
      </c>
      <c r="AA80" s="57">
        <f t="shared" si="148"/>
        <v>10.135348197596423</v>
      </c>
      <c r="AB80" s="57">
        <f t="shared" si="149"/>
        <v>5.0665558140611031</v>
      </c>
      <c r="AC80" s="57">
        <f t="shared" si="150"/>
        <v>1.6770189270051699</v>
      </c>
      <c r="AD80" s="56">
        <f>AD79</f>
        <v>2.5823011662433667E-2</v>
      </c>
      <c r="AE80" s="57">
        <f>AD79*$CM80+AE79</f>
        <v>2.2630441349916281E-2</v>
      </c>
      <c r="AF80" s="58">
        <f t="shared" ref="AF80:AG80" si="169">AF79</f>
        <v>2.714758467178694E-3</v>
      </c>
      <c r="AG80" s="57">
        <f t="shared" si="169"/>
        <v>-7.7689202320032819E-2</v>
      </c>
      <c r="AH80" s="57">
        <f>AG79*$CM80+AH79</f>
        <v>-3.2763787726933682E-2</v>
      </c>
      <c r="AI80" s="57">
        <f>AI79*$CK80+AJ79*$CL80+0.001*(1-$CK80)*$K80</f>
        <v>0</v>
      </c>
      <c r="AJ80" s="57">
        <f>AI79*$CM80+AJ79*$CN80-0.001*$CM80*$K80</f>
        <v>0</v>
      </c>
      <c r="AK80" s="57">
        <f>AK79*$CK80+AL79*$CL80+0.001*(1-$CK80)*$K80</f>
        <v>0</v>
      </c>
      <c r="AL80" s="57">
        <f>AK79*$CM80+AL79*$CN80-0.001*$CM80*$K80</f>
        <v>0</v>
      </c>
      <c r="AM80" s="57">
        <f>AM79*$CR80+AN79*$CS80+0.001*(1-$CR80)*$L80</f>
        <v>0</v>
      </c>
      <c r="AN80" s="57">
        <f>AM79*$CT80+AN79*$CU80-0.001*$CT80*$L80</f>
        <v>0</v>
      </c>
      <c r="AO80" s="57">
        <f>AO79*$CR80+AP79*$CS80+0.001*(1-$CR80)*$L80</f>
        <v>0</v>
      </c>
      <c r="AP80" s="57">
        <f>AO79*$CT80+AP79*$CU80-0.001*$CT80*$L80</f>
        <v>0</v>
      </c>
      <c r="AQ80" s="56">
        <f t="shared" si="103"/>
        <v>0.33717226530943306</v>
      </c>
      <c r="AR80" s="56">
        <f t="shared" si="104"/>
        <v>2.7526972338261173E-2</v>
      </c>
      <c r="AS80" s="56">
        <f t="shared" si="105"/>
        <v>0.17426830961604875</v>
      </c>
      <c r="AT80" s="56">
        <f t="shared" si="106"/>
        <v>1.3693957110790415E-2</v>
      </c>
      <c r="AU80" s="56">
        <f t="shared" si="107"/>
        <v>13.339549566788842</v>
      </c>
      <c r="AV80" s="59">
        <f t="shared" si="166"/>
        <v>3.7012216628845733</v>
      </c>
      <c r="AW80" s="59">
        <f t="shared" si="166"/>
        <v>3.7012216628845733E-2</v>
      </c>
      <c r="AX80" s="59">
        <f t="shared" si="166"/>
        <v>1.0629909222129516E-3</v>
      </c>
      <c r="AY80" s="55">
        <f>AD80</f>
        <v>2.5823011662433667E-2</v>
      </c>
      <c r="AZ80" s="55">
        <f>0.5*(AE79+AE80)</f>
        <v>2.2630441349916281E-2</v>
      </c>
      <c r="BA80" s="430">
        <f>V80</f>
        <v>30.511994351741816</v>
      </c>
      <c r="BB80" s="55">
        <f t="shared" si="108"/>
        <v>5.6798198673687281</v>
      </c>
      <c r="BC80" s="442">
        <f>VaveBetax*AY80</f>
        <v>0.78791158598913913</v>
      </c>
      <c r="BD80" s="442"/>
      <c r="BE80" s="442"/>
      <c r="BF80" s="430">
        <f>Z80</f>
        <v>20.472543260779744</v>
      </c>
      <c r="BG80" s="442">
        <f t="shared" si="109"/>
        <v>1.6770189270051699</v>
      </c>
      <c r="BH80" s="442">
        <f>VaveBetaz*AY80</f>
        <v>0.52866272338279308</v>
      </c>
      <c r="BI80" s="442"/>
      <c r="BJ80" s="442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>
        <f>AY80^2*VaveBetaz*VHl^2</f>
        <v>2.6753438466647947E-2</v>
      </c>
      <c r="CB80" s="57"/>
      <c r="CC80" s="57">
        <f>VaveBetax*VaveBetaz*VKl^2</f>
        <v>0</v>
      </c>
      <c r="CD80" s="57">
        <f>(VaveBetax*VKl)^2</f>
        <v>0</v>
      </c>
      <c r="CE80" s="57">
        <f>(VaveBetaz*VKl)^2</f>
        <v>0</v>
      </c>
      <c r="CF80" s="56">
        <f>-0.001*$E80*$K80</f>
        <v>0</v>
      </c>
      <c r="CG80" s="56">
        <f>$E80</f>
        <v>-1.3998999999999999</v>
      </c>
      <c r="CH80" s="57"/>
      <c r="CI80" s="60"/>
      <c r="CJ80" s="57"/>
      <c r="CK80" s="61">
        <v>1</v>
      </c>
      <c r="CL80" s="61">
        <v>0</v>
      </c>
      <c r="CM80" s="56">
        <f>-VKl</f>
        <v>0</v>
      </c>
      <c r="CN80" s="61">
        <v>1</v>
      </c>
      <c r="CO80" s="57"/>
      <c r="CP80" s="57"/>
      <c r="CQ80" s="57"/>
      <c r="CR80" s="61">
        <v>1</v>
      </c>
      <c r="CS80" s="61">
        <v>0</v>
      </c>
      <c r="CT80" s="61">
        <f>VKl</f>
        <v>0</v>
      </c>
      <c r="CU80" s="61">
        <v>1</v>
      </c>
      <c r="CV80" s="57"/>
      <c r="CW80" s="61">
        <f t="shared" si="151"/>
        <v>0.7675380163933736</v>
      </c>
      <c r="CX80" s="61">
        <f t="shared" si="152"/>
        <v>-18.573767228265005</v>
      </c>
      <c r="CY80" s="61">
        <f t="shared" si="153"/>
        <v>0.4107455059601699</v>
      </c>
      <c r="CZ80" s="61">
        <f t="shared" si="154"/>
        <v>-8.6368248558031446</v>
      </c>
      <c r="DA80" s="57"/>
      <c r="DB80" s="61">
        <f t="shared" si="155"/>
        <v>-0.30193877883098813</v>
      </c>
      <c r="DC80" s="61">
        <f t="shared" si="156"/>
        <v>7.1482226263713287</v>
      </c>
      <c r="DD80" s="61">
        <f t="shared" si="157"/>
        <v>1.1158547494527715E-2</v>
      </c>
      <c r="DE80" s="61">
        <f t="shared" si="158"/>
        <v>-3.5761017046512809</v>
      </c>
      <c r="DF80" s="61"/>
      <c r="DG80" s="57"/>
      <c r="DH80" s="57"/>
      <c r="DI80" s="57"/>
      <c r="DJ80" s="57"/>
      <c r="DK80" s="57"/>
      <c r="DL80" s="62"/>
      <c r="DM80" s="62"/>
      <c r="DN80" s="55">
        <f>-VaveBetax*VKl+2*VHl*$BC80</f>
        <v>-2.2059948584523914</v>
      </c>
      <c r="DO80" s="55">
        <f>VaveBetaz*VKl-2*VHl*$BH80</f>
        <v>1.4801498929271439</v>
      </c>
      <c r="DP80" s="430" t="str">
        <f>IMPRODUCT(1/8*V80*(-CM80+2*VHl*AD80),COMPLEX(COS(2*VmidMux),SIN(2*VmidMux)))</f>
        <v>-0.0981877697145016+0.257675900955962i</v>
      </c>
      <c r="DQ80" s="430" t="str">
        <f>IMPRODUCT(-1/8*Z80*(-CM80+2*VHl*AD80),COMPLEX(COS(2*VmidMuz),SIN(2*VmidMuz)))</f>
        <v>-0.180859194441243-0.0390113404666625i</v>
      </c>
      <c r="DR80" s="430" t="str">
        <f>IMPRODUCT(1/2*SQRT(V80)*AD80*(-CM80+2*VHl*AD80),COMPLEX(COS(Y80),SIN(Y80)))</f>
        <v>-0.0042459329840929+0.00292582503318314i</v>
      </c>
      <c r="DS80" s="430" t="str">
        <f>IMPRODUCT(-1/8*VHl*V80^(3/2),COMPLEX(COS(Y80),SIN(Y80)))</f>
        <v>24.2851036121903-16.7345938685776i</v>
      </c>
      <c r="DT80" s="430" t="str">
        <f>IMPRODUCT(-1/24*VHl*V80^(3/2),COMPLEX(COS(3*Y80),SIN(3*Y80)))</f>
        <v>-2.3301370612787-9.55072446863443i</v>
      </c>
      <c r="DU80" s="430" t="str">
        <f>IMPRODUCT(1/4*VHl*V80^(1/2)*Z80,COMPLEX(COS(Y80),SIN(Y80)))</f>
        <v>-32.5890093293558+22.4567226236706i</v>
      </c>
      <c r="DV80" s="430" t="str">
        <f>IMPRODUCT(1/8*VHl*V80^(1/2)*Z80,COMPLEX(COS(Y80-2*AC80),SIN(Y80-2*AC80)))</f>
        <v>13.5606674618191-14.4116368954499i</v>
      </c>
      <c r="DW80" s="430" t="str">
        <f>IMPRODUCT(1/8*VHl*V80^(1/2)*Z80,COMPLEX(COS(Y80+2*AC80),SIN(Y80+2*AC80)))</f>
        <v>18.2956844015151-7.54021964510887i</v>
      </c>
      <c r="DX80" s="430"/>
      <c r="DY80" s="430"/>
      <c r="DZ80" s="430"/>
      <c r="EA80" s="430"/>
      <c r="EB80" s="57"/>
      <c r="EC80" s="57"/>
      <c r="ED80" s="57"/>
      <c r="EE80" s="58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W80" s="61" t="str">
        <f>IMPRODUCT(VKl*VaveBetax^(ABS(EW$5)/2)*VaveBetaz^(ABS(EW$6)/2),COMPLEX(COS(EW$5*VmidMux+EW$6*VmidMuz+EW$23*$R80),SIN(EW$5*VmidMux+EW$6*VmidMuz+EW$23*$R80)))</f>
        <v>0</v>
      </c>
      <c r="EX80" s="61" t="str">
        <f>IMPRODUCT(VKl*VaveBetax^(ABS(EX$5)/2)*VaveBetaz^(ABS(EX$6)/2),COMPLEX(COS(EX$5*VmidMux+EX$6*VmidMuz+EX$23*$R80),SIN(EX$5*VmidMux+EX$6*VmidMuz+EX$23*$R80)))</f>
        <v>0</v>
      </c>
      <c r="EY80" s="61" t="str">
        <f t="shared" ref="EY80:FA80" si="170">IMPRODUCT(VHl*VaveBetax^(ABS(EY$5)/2)*VaveBetaz^(ABS(EY$6)/2),COMPLEX(COS(EY$5*VmidMux+EY$6*VmidMuz+EY$23*$R80),SIN(EY$5*VmidMux+EY$6*VmidMuz+EY$23*$R80)))</f>
        <v>229.574610818753+54.438249320541i</v>
      </c>
      <c r="EZ80" s="61" t="str">
        <f t="shared" si="170"/>
        <v>-35.3396909613492+154.31355405084i</v>
      </c>
      <c r="FA80" s="61" t="str">
        <f t="shared" si="170"/>
        <v>-23.8327175328837+156.50421175177i</v>
      </c>
      <c r="FB80" s="61"/>
    </row>
    <row r="81" spans="1:229" s="140" customFormat="1" ht="15.75" customHeight="1" outlineLevel="1">
      <c r="A81" s="130"/>
      <c r="B81" s="130"/>
      <c r="C81" s="131" t="s">
        <v>173</v>
      </c>
      <c r="D81" s="132" t="s">
        <v>698</v>
      </c>
      <c r="E81" s="406">
        <v>0</v>
      </c>
      <c r="F81" s="406">
        <v>0</v>
      </c>
      <c r="G81" s="407"/>
      <c r="H81" s="407"/>
      <c r="I81" s="545"/>
      <c r="K81" s="407"/>
      <c r="L81" s="407"/>
      <c r="M81" s="407"/>
      <c r="N81" s="529"/>
      <c r="O81" s="134"/>
      <c r="P81" s="460"/>
      <c r="Q81" s="460"/>
      <c r="R81" s="133">
        <f t="shared" si="168"/>
        <v>20.817569195212606</v>
      </c>
      <c r="S81" s="133">
        <f t="shared" si="168"/>
        <v>-1.3913138018510744</v>
      </c>
      <c r="T81" s="133">
        <f t="shared" si="168"/>
        <v>20.727539208117058</v>
      </c>
      <c r="U81" s="133">
        <f t="shared" si="168"/>
        <v>-0.19891243094979075</v>
      </c>
      <c r="V81" s="134">
        <f t="shared" si="168"/>
        <v>30.511994351741816</v>
      </c>
      <c r="W81" s="134">
        <f t="shared" si="168"/>
        <v>-15.63930700549756</v>
      </c>
      <c r="X81" s="134">
        <f t="shared" si="168"/>
        <v>8.0488977803637205</v>
      </c>
      <c r="Y81" s="134">
        <f t="shared" si="168"/>
        <v>5.6798198673687281</v>
      </c>
      <c r="Z81" s="134">
        <f t="shared" si="168"/>
        <v>20.472543260779744</v>
      </c>
      <c r="AA81" s="134">
        <f t="shared" si="168"/>
        <v>10.135348197596423</v>
      </c>
      <c r="AB81" s="134">
        <f t="shared" si="168"/>
        <v>5.0665558140611031</v>
      </c>
      <c r="AC81" s="134">
        <f t="shared" si="168"/>
        <v>1.6770189270051699</v>
      </c>
      <c r="AD81" s="134">
        <f t="shared" si="168"/>
        <v>2.5823011662433667E-2</v>
      </c>
      <c r="AE81" s="134">
        <f t="shared" si="168"/>
        <v>2.2630441349916281E-2</v>
      </c>
      <c r="AF81" s="135">
        <f t="shared" si="168"/>
        <v>2.714758467178694E-3</v>
      </c>
      <c r="AG81" s="134">
        <f t="shared" si="168"/>
        <v>-7.7689202320032819E-2</v>
      </c>
      <c r="AH81" s="134">
        <f t="shared" ref="AH81:AI81" si="171">AH80</f>
        <v>-3.2763787726933682E-2</v>
      </c>
      <c r="AI81" s="134">
        <f t="shared" si="171"/>
        <v>0</v>
      </c>
      <c r="AJ81" s="134">
        <f>AJ80+$E81</f>
        <v>0</v>
      </c>
      <c r="AK81" s="134">
        <f>AK80</f>
        <v>0</v>
      </c>
      <c r="AL81" s="134">
        <f>AL80+$E81</f>
        <v>0</v>
      </c>
      <c r="AM81" s="134">
        <f>AM80</f>
        <v>0</v>
      </c>
      <c r="AN81" s="134">
        <f>AN80+$F81</f>
        <v>0</v>
      </c>
      <c r="AO81" s="134">
        <f>AO80</f>
        <v>0</v>
      </c>
      <c r="AP81" s="134">
        <f>AP80+$F81</f>
        <v>0</v>
      </c>
      <c r="AQ81" s="133">
        <f t="shared" si="103"/>
        <v>0.33717226530943306</v>
      </c>
      <c r="AR81" s="133">
        <f t="shared" si="104"/>
        <v>2.7526972338261173E-2</v>
      </c>
      <c r="AS81" s="133">
        <f t="shared" si="105"/>
        <v>0.17426830961604875</v>
      </c>
      <c r="AT81" s="133">
        <f t="shared" si="106"/>
        <v>1.3693957110790415E-2</v>
      </c>
      <c r="AU81" s="133">
        <f t="shared" si="107"/>
        <v>13.339549566788842</v>
      </c>
      <c r="AV81" s="136">
        <f t="shared" si="166"/>
        <v>3.7012216628845733</v>
      </c>
      <c r="AW81" s="136">
        <f t="shared" si="166"/>
        <v>3.7012216628845733E-2</v>
      </c>
      <c r="AX81" s="136">
        <f t="shared" si="166"/>
        <v>1.0629909222129516E-3</v>
      </c>
      <c r="AY81" s="431">
        <f>AD81</f>
        <v>2.5823011662433667E-2</v>
      </c>
      <c r="AZ81" s="431">
        <f>(AE81+AE80)/2</f>
        <v>2.2630441349916281E-2</v>
      </c>
      <c r="BA81" s="432">
        <f>V81</f>
        <v>30.511994351741816</v>
      </c>
      <c r="BB81" s="431">
        <f t="shared" si="108"/>
        <v>5.6798198673687281</v>
      </c>
      <c r="BC81" s="501"/>
      <c r="BD81" s="502"/>
      <c r="BE81" s="502"/>
      <c r="BF81" s="432">
        <f>Z81</f>
        <v>20.472543260779744</v>
      </c>
      <c r="BG81" s="502">
        <f t="shared" si="109"/>
        <v>1.6770189270051699</v>
      </c>
      <c r="BH81" s="502"/>
      <c r="BI81" s="502"/>
      <c r="BJ81" s="502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3"/>
      <c r="CG81" s="133"/>
      <c r="CH81" s="134"/>
      <c r="CI81" s="137"/>
      <c r="CJ81" s="134"/>
      <c r="CK81" s="138"/>
      <c r="CL81" s="138"/>
      <c r="CM81" s="138"/>
      <c r="CN81" s="138"/>
      <c r="CO81" s="134"/>
      <c r="CP81" s="134"/>
      <c r="CQ81" s="134"/>
      <c r="CR81" s="138"/>
      <c r="CS81" s="138"/>
      <c r="CT81" s="138"/>
      <c r="CU81" s="138"/>
      <c r="CV81" s="134"/>
      <c r="CW81" s="127">
        <f>CW80</f>
        <v>0.7675380163933736</v>
      </c>
      <c r="CX81" s="127">
        <f>CX80</f>
        <v>-18.573767228265005</v>
      </c>
      <c r="CY81" s="127">
        <f>CY80</f>
        <v>0.4107455059601699</v>
      </c>
      <c r="CZ81" s="127">
        <f>CZ80</f>
        <v>-8.6368248558031446</v>
      </c>
      <c r="DA81" s="134"/>
      <c r="DB81" s="127">
        <f>DB80</f>
        <v>-0.30193877883098813</v>
      </c>
      <c r="DC81" s="127">
        <f>DC80</f>
        <v>7.1482226263713287</v>
      </c>
      <c r="DD81" s="127">
        <f>DD80</f>
        <v>1.1158547494527715E-2</v>
      </c>
      <c r="DE81" s="127">
        <f>DE80</f>
        <v>-3.5761017046512809</v>
      </c>
      <c r="DF81" s="138"/>
      <c r="DG81" s="134"/>
      <c r="DH81" s="134"/>
      <c r="DI81" s="134"/>
      <c r="DJ81" s="134"/>
      <c r="DK81" s="134"/>
      <c r="DL81" s="139"/>
      <c r="DM81" s="139"/>
      <c r="DN81" s="431"/>
      <c r="DO81" s="431"/>
      <c r="DP81" s="432"/>
      <c r="DQ81" s="432"/>
      <c r="DR81" s="432"/>
      <c r="DS81" s="432"/>
      <c r="DT81" s="432"/>
      <c r="DU81" s="432"/>
      <c r="DV81" s="432"/>
      <c r="DW81" s="432"/>
      <c r="DX81" s="432"/>
      <c r="DY81" s="432"/>
      <c r="DZ81" s="432"/>
      <c r="EA81" s="432"/>
      <c r="EB81" s="134"/>
      <c r="EC81" s="134"/>
      <c r="ED81" s="134"/>
      <c r="EE81" s="135"/>
      <c r="EF81" s="135"/>
      <c r="EG81" s="135"/>
      <c r="EH81" s="134"/>
      <c r="EI81" s="134"/>
      <c r="EJ81" s="134"/>
      <c r="EK81" s="134"/>
      <c r="EL81" s="134"/>
      <c r="EM81" s="134"/>
      <c r="EN81" s="134"/>
      <c r="EO81" s="134"/>
      <c r="EP81" s="134"/>
      <c r="EQ81" s="134"/>
      <c r="ER81" s="134"/>
      <c r="ES81" s="134"/>
      <c r="ET81" s="134"/>
      <c r="EU81" s="134"/>
      <c r="EW81" s="138"/>
      <c r="EX81" s="138"/>
      <c r="EY81" s="138"/>
      <c r="EZ81" s="138"/>
      <c r="FA81" s="138"/>
      <c r="FB81" s="138"/>
    </row>
    <row r="82" spans="1:229" s="7" customFormat="1" ht="15.75" customHeight="1" outlineLevel="1">
      <c r="A82" s="31"/>
      <c r="B82" s="31"/>
      <c r="C82" s="37"/>
      <c r="D82" s="25" t="s">
        <v>567</v>
      </c>
      <c r="E82" s="395">
        <v>0.28299999999999997</v>
      </c>
      <c r="F82" s="396"/>
      <c r="G82" s="396"/>
      <c r="H82" s="396"/>
      <c r="I82" s="540"/>
      <c r="K82" s="396"/>
      <c r="L82" s="396"/>
      <c r="M82" s="396"/>
      <c r="N82" s="525"/>
      <c r="O82" s="36"/>
      <c r="P82" s="458"/>
      <c r="Q82" s="458"/>
      <c r="R82" s="101">
        <f>R81+Vlength</f>
        <v>21.100569195212607</v>
      </c>
      <c r="S82" s="101">
        <f>S81+U81*Vlength/SQRT(1+(U81)^2)</f>
        <v>-1.4465243799547463</v>
      </c>
      <c r="T82" s="101">
        <f>T81+Vlength/SQRT(1+(U81)^2)</f>
        <v>21.005101439095011</v>
      </c>
      <c r="U82" s="101">
        <f>U81</f>
        <v>-0.19891243094979075</v>
      </c>
      <c r="V82" s="112">
        <f>V81*CK82*CK82-2*W81*CK82*CL82+X81*CL82*CL82</f>
        <v>40.008470291184985</v>
      </c>
      <c r="W82" s="112">
        <f>-CM82*CK82*V81+(CK82*CN82+CL82*CM82)*W81-X81*CL82*CN82</f>
        <v>-17.917145077340493</v>
      </c>
      <c r="X82" s="112">
        <f>(1+W82^2)/V82</f>
        <v>8.0488977803637205</v>
      </c>
      <c r="Y82" s="112">
        <f>ATAN2(CN82*V82+CL82*W82,CL82)+Y81</f>
        <v>5.6879197721487058</v>
      </c>
      <c r="Z82" s="112">
        <f>Z81*CR82*CR82-2*AA81*CR82*CS82+AB81*CS82*CS82</f>
        <v>15.141711569532507</v>
      </c>
      <c r="AA82" s="112">
        <f>-CT82*CR82*Z81+(CR82*CU82+CS82*CT82)*AA81-AB81*CS82*CU82</f>
        <v>8.7015129022171305</v>
      </c>
      <c r="AB82" s="112">
        <f>(1+AA82^2)/Z82</f>
        <v>5.0665558140611031</v>
      </c>
      <c r="AC82" s="112">
        <f>ATAN2(CU82*Z82+CS82*AA82,CS82)+AC81</f>
        <v>1.6930932153562379</v>
      </c>
      <c r="AD82" s="101">
        <f>AD81+AE81*$CL82</f>
        <v>3.2227426564459975E-2</v>
      </c>
      <c r="AE82" s="112">
        <f>AE81</f>
        <v>2.2630441349916281E-2</v>
      </c>
      <c r="AF82" s="238">
        <f>AF81</f>
        <v>2.714758467178694E-3</v>
      </c>
      <c r="AG82" s="112">
        <f>AG81+AH81*$CL82</f>
        <v>-8.6961354246755052E-2</v>
      </c>
      <c r="AH82" s="112">
        <f>AH81</f>
        <v>-3.2763787726933682E-2</v>
      </c>
      <c r="AI82" s="112">
        <f>AI81+AJ81*$CL82</f>
        <v>0</v>
      </c>
      <c r="AJ82" s="112">
        <f>AJ81</f>
        <v>0</v>
      </c>
      <c r="AK82" s="112">
        <f>AK81+AL81*$CL82</f>
        <v>0</v>
      </c>
      <c r="AL82" s="112">
        <f>AL81</f>
        <v>0</v>
      </c>
      <c r="AM82" s="112">
        <f>AM81+AN81*$CS82</f>
        <v>0</v>
      </c>
      <c r="AN82" s="112">
        <f>AN81</f>
        <v>0</v>
      </c>
      <c r="AO82" s="112">
        <f>AO81+AP81*$CS82</f>
        <v>0</v>
      </c>
      <c r="AP82" s="112">
        <f>AP81</f>
        <v>0</v>
      </c>
      <c r="AQ82" s="101">
        <f t="shared" si="103"/>
        <v>0.38633378137999058</v>
      </c>
      <c r="AR82" s="101">
        <f t="shared" si="104"/>
        <v>2.36733670765913E-2</v>
      </c>
      <c r="AS82" s="101">
        <f t="shared" si="105"/>
        <v>0.17426830961604875</v>
      </c>
      <c r="AT82" s="101">
        <f t="shared" si="106"/>
        <v>1.3693957110790415E-2</v>
      </c>
      <c r="AU82" s="101">
        <f t="shared" si="107"/>
        <v>15.609402464520896</v>
      </c>
      <c r="AV82" s="239">
        <f t="shared" si="166"/>
        <v>3.7012216628845733</v>
      </c>
      <c r="AW82" s="239">
        <f t="shared" si="166"/>
        <v>3.7012216628845733E-2</v>
      </c>
      <c r="AX82" s="239">
        <f t="shared" si="166"/>
        <v>1.0629909222129516E-3</v>
      </c>
      <c r="AY82" s="434">
        <f>0.5*(AD81+AD82)</f>
        <v>2.9025219113446819E-2</v>
      </c>
      <c r="AZ82" s="356">
        <f>0.5*(AE81+AE82)</f>
        <v>2.2630441349916281E-2</v>
      </c>
      <c r="BA82" s="425">
        <f>0.5*(V82+V81)-X81*Vlength*Vlength/6</f>
        <v>35.152794292408139</v>
      </c>
      <c r="BB82" s="356">
        <f t="shared" si="108"/>
        <v>5.6838698197587174</v>
      </c>
      <c r="BC82" s="434"/>
      <c r="BD82" s="434"/>
      <c r="BE82" s="434"/>
      <c r="BF82" s="425">
        <f>0.5*(Z82+Z81)-AB81*Vlength*Vlength/6</f>
        <v>17.739498183724066</v>
      </c>
      <c r="BG82" s="434">
        <f t="shared" si="109"/>
        <v>1.6850560711807039</v>
      </c>
      <c r="BH82" s="434"/>
      <c r="BI82" s="434"/>
      <c r="BJ82" s="434"/>
      <c r="BK82" s="239"/>
      <c r="BL82" s="239"/>
      <c r="BM82" s="239"/>
      <c r="BN82" s="239"/>
      <c r="BO82" s="239"/>
      <c r="BP82" s="239"/>
      <c r="BQ82" s="239"/>
      <c r="BR82" s="239"/>
      <c r="BS82" s="239"/>
      <c r="BT82" s="239"/>
      <c r="BU82" s="239"/>
      <c r="BV82" s="239"/>
      <c r="BW82" s="239"/>
      <c r="BX82" s="239"/>
      <c r="BY82" s="239"/>
      <c r="BZ82" s="239"/>
      <c r="CA82" s="239"/>
      <c r="CB82" s="239"/>
      <c r="CC82" s="239"/>
      <c r="CD82" s="239"/>
      <c r="CE82" s="239"/>
      <c r="CF82" s="101"/>
      <c r="CG82" s="101"/>
      <c r="CH82" s="112">
        <f>E82</f>
        <v>0.28299999999999997</v>
      </c>
      <c r="CI82" s="240"/>
      <c r="CJ82" s="112"/>
      <c r="CK82" s="30">
        <v>1</v>
      </c>
      <c r="CL82" s="30">
        <f>E82</f>
        <v>0.28299999999999997</v>
      </c>
      <c r="CM82" s="30">
        <v>0</v>
      </c>
      <c r="CN82" s="30">
        <v>1</v>
      </c>
      <c r="CO82" s="112"/>
      <c r="CP82" s="112"/>
      <c r="CQ82" s="112"/>
      <c r="CR82" s="30">
        <v>1</v>
      </c>
      <c r="CS82" s="30">
        <f>CL82</f>
        <v>0.28299999999999997</v>
      </c>
      <c r="CT82" s="30">
        <v>0</v>
      </c>
      <c r="CU82" s="30">
        <v>1</v>
      </c>
      <c r="CV82" s="112"/>
      <c r="CW82" s="30">
        <f>CW81*CK82+CY81*CL82</f>
        <v>0.88377899458010167</v>
      </c>
      <c r="CX82" s="30">
        <f>CX81*CK82+CZ81*CL82</f>
        <v>-21.017988662457295</v>
      </c>
      <c r="CY82" s="30">
        <f>CW81*CM82+CY81*CN82</f>
        <v>0.4107455059601699</v>
      </c>
      <c r="CZ82" s="30">
        <f>CX81*CM82+CZ81*CN82</f>
        <v>-8.6368248558031446</v>
      </c>
      <c r="DA82" s="112"/>
      <c r="DB82" s="30">
        <f>DB81*CR82+DD81*CS82</f>
        <v>-0.29878090989003681</v>
      </c>
      <c r="DC82" s="30">
        <f>DC81*CR82+DE81*CS82</f>
        <v>6.1361858439550163</v>
      </c>
      <c r="DD82" s="30">
        <f>DB81*CT82+DD81*CU82</f>
        <v>1.1158547494527715E-2</v>
      </c>
      <c r="DE82" s="30">
        <f>DC81*CT82+DE81*CU82</f>
        <v>-3.5761017046512809</v>
      </c>
      <c r="DF82" s="30">
        <f>AZ82^2*Vlength</f>
        <v>1.4493473582083617E-4</v>
      </c>
      <c r="DG82" s="112"/>
      <c r="DH82" s="112"/>
      <c r="DI82" s="112"/>
      <c r="DJ82" s="112"/>
      <c r="DK82" s="112"/>
      <c r="DL82" s="36"/>
      <c r="DM82" s="36"/>
      <c r="DN82" s="356"/>
      <c r="DO82" s="356"/>
      <c r="DP82" s="425"/>
      <c r="DQ82" s="425"/>
      <c r="DR82" s="425"/>
      <c r="DS82" s="425"/>
      <c r="DT82" s="425"/>
      <c r="DU82" s="425"/>
      <c r="DV82" s="425"/>
      <c r="DW82" s="425"/>
      <c r="DX82" s="425"/>
      <c r="DY82" s="425"/>
      <c r="DZ82" s="425"/>
      <c r="EA82" s="425"/>
      <c r="EB82" s="112">
        <f>E82*(1/AQ82+1/AQ81)/2</f>
        <v>0.78593037923541031</v>
      </c>
      <c r="EC82" s="112">
        <f>E82*(1/AR82+1/AR81)/2</f>
        <v>11.117593769768622</v>
      </c>
      <c r="ED82" s="112">
        <f>E82*(AS82+AS81)/2</f>
        <v>4.9317931621341793E-2</v>
      </c>
      <c r="EE82" s="238">
        <f>(X82*AD82*AD82+2*W82*AD82*AE82+V82*AE82*AE82)*CH82</f>
        <v>7.6827664621156898E-4</v>
      </c>
      <c r="EF82" s="112">
        <f>SQRT(VaveBetax/VaveBetaz*T_Coupling)</f>
        <v>0.1407697246834238</v>
      </c>
      <c r="EG82" s="112">
        <f>IF(EF82&lt;=1,EF82^(0.021-0.044*LN(EF82)),EF82^(-0.021-0.044*LN(EF82)))/(VaveBetax*VaveBetaz)^(1/4)</f>
        <v>0.16215757405462358</v>
      </c>
      <c r="EH82" s="239">
        <f t="shared" ref="EH82:ET82" si="172">$EG82*Vlength/SQRT(1+EH$7*EH$7/EH$8*1000000000/Vlength*$EE82)</f>
        <v>2.8519549009543847E-2</v>
      </c>
      <c r="EI82" s="239" t="e">
        <f t="shared" si="172"/>
        <v>#DIV/0!</v>
      </c>
      <c r="EJ82" s="239" t="e">
        <f t="shared" si="172"/>
        <v>#DIV/0!</v>
      </c>
      <c r="EK82" s="239" t="e">
        <f t="shared" si="172"/>
        <v>#DIV/0!</v>
      </c>
      <c r="EL82" s="239" t="e">
        <f t="shared" si="172"/>
        <v>#DIV/0!</v>
      </c>
      <c r="EM82" s="239" t="e">
        <f t="shared" si="172"/>
        <v>#DIV/0!</v>
      </c>
      <c r="EN82" s="239" t="e">
        <f t="shared" si="172"/>
        <v>#DIV/0!</v>
      </c>
      <c r="EO82" s="239" t="e">
        <f t="shared" si="172"/>
        <v>#DIV/0!</v>
      </c>
      <c r="EP82" s="239" t="e">
        <f t="shared" si="172"/>
        <v>#DIV/0!</v>
      </c>
      <c r="EQ82" s="239" t="e">
        <f t="shared" si="172"/>
        <v>#DIV/0!</v>
      </c>
      <c r="ER82" s="239" t="e">
        <f t="shared" si="172"/>
        <v>#DIV/0!</v>
      </c>
      <c r="ES82" s="239" t="e">
        <f t="shared" si="172"/>
        <v>#DIV/0!</v>
      </c>
      <c r="ET82" s="239" t="e">
        <f t="shared" si="172"/>
        <v>#DIV/0!</v>
      </c>
      <c r="EU82" s="112">
        <f>Vlength*VaveBetaz</f>
        <v>5.0202779859939106</v>
      </c>
      <c r="EW82" s="30"/>
      <c r="EX82" s="30"/>
      <c r="EY82" s="30"/>
      <c r="EZ82" s="30"/>
      <c r="FA82" s="30"/>
      <c r="FB82" s="30"/>
    </row>
    <row r="83" spans="1:229" s="129" customFormat="1" ht="15.75" customHeight="1" outlineLevel="1">
      <c r="A83" s="119"/>
      <c r="B83" s="119"/>
      <c r="C83" s="120"/>
      <c r="D83" s="121" t="s">
        <v>729</v>
      </c>
      <c r="E83" s="521"/>
      <c r="F83" s="400"/>
      <c r="G83" s="400"/>
      <c r="H83" s="400"/>
      <c r="I83" s="511"/>
      <c r="J83" s="400"/>
      <c r="K83" s="400"/>
      <c r="L83" s="400"/>
      <c r="M83" s="512"/>
      <c r="N83" s="526"/>
      <c r="O83" s="128"/>
      <c r="P83" s="457"/>
      <c r="Q83" s="457"/>
      <c r="R83" s="122">
        <f t="shared" ref="R83:AE83" si="173">R82</f>
        <v>21.100569195212607</v>
      </c>
      <c r="S83" s="122">
        <f t="shared" si="173"/>
        <v>-1.4465243799547463</v>
      </c>
      <c r="T83" s="122">
        <f t="shared" si="173"/>
        <v>21.005101439095011</v>
      </c>
      <c r="U83" s="122">
        <f t="shared" si="173"/>
        <v>-0.19891243094979075</v>
      </c>
      <c r="V83" s="123">
        <f t="shared" si="173"/>
        <v>40.008470291184985</v>
      </c>
      <c r="W83" s="123">
        <f t="shared" si="173"/>
        <v>-17.917145077340493</v>
      </c>
      <c r="X83" s="123">
        <f t="shared" si="173"/>
        <v>8.0488977803637205</v>
      </c>
      <c r="Y83" s="123">
        <f t="shared" si="173"/>
        <v>5.6879197721487058</v>
      </c>
      <c r="Z83" s="123">
        <f t="shared" si="173"/>
        <v>15.141711569532507</v>
      </c>
      <c r="AA83" s="123">
        <f t="shared" si="173"/>
        <v>8.7015129022171305</v>
      </c>
      <c r="AB83" s="123">
        <f t="shared" si="173"/>
        <v>5.0665558140611031</v>
      </c>
      <c r="AC83" s="123">
        <f t="shared" si="173"/>
        <v>1.6930932153562379</v>
      </c>
      <c r="AD83" s="123">
        <f t="shared" si="173"/>
        <v>3.2227426564459975E-2</v>
      </c>
      <c r="AE83" s="123">
        <f t="shared" si="173"/>
        <v>2.2630441349916281E-2</v>
      </c>
      <c r="AF83" s="124">
        <f>AF82</f>
        <v>2.714758467178694E-3</v>
      </c>
      <c r="AG83" s="123">
        <f t="shared" ref="AG83:AP83" si="174">AG82</f>
        <v>-8.6961354246755052E-2</v>
      </c>
      <c r="AH83" s="123">
        <f t="shared" si="174"/>
        <v>-3.2763787726933682E-2</v>
      </c>
      <c r="AI83" s="123">
        <f t="shared" si="174"/>
        <v>0</v>
      </c>
      <c r="AJ83" s="123">
        <f t="shared" si="174"/>
        <v>0</v>
      </c>
      <c r="AK83" s="123">
        <f t="shared" si="174"/>
        <v>0</v>
      </c>
      <c r="AL83" s="123">
        <f t="shared" si="174"/>
        <v>0</v>
      </c>
      <c r="AM83" s="123">
        <f t="shared" si="174"/>
        <v>0</v>
      </c>
      <c r="AN83" s="123">
        <f t="shared" si="174"/>
        <v>0</v>
      </c>
      <c r="AO83" s="123">
        <f t="shared" si="174"/>
        <v>0</v>
      </c>
      <c r="AP83" s="123">
        <f t="shared" si="174"/>
        <v>0</v>
      </c>
      <c r="AQ83" s="122">
        <f t="shared" si="103"/>
        <v>0.38633378137999058</v>
      </c>
      <c r="AR83" s="122">
        <f t="shared" si="104"/>
        <v>2.36733670765913E-2</v>
      </c>
      <c r="AS83" s="122">
        <f t="shared" si="105"/>
        <v>0.17426830961604875</v>
      </c>
      <c r="AT83" s="122">
        <f t="shared" si="106"/>
        <v>1.3693957110790415E-2</v>
      </c>
      <c r="AU83" s="122">
        <f t="shared" si="107"/>
        <v>15.609402464520896</v>
      </c>
      <c r="AV83" s="125">
        <f t="shared" si="166"/>
        <v>3.7012216628845733</v>
      </c>
      <c r="AW83" s="125">
        <f t="shared" si="166"/>
        <v>3.7012216628845733E-2</v>
      </c>
      <c r="AX83" s="125">
        <f t="shared" si="166"/>
        <v>1.0629909222129516E-3</v>
      </c>
      <c r="AY83" s="426">
        <f>AD83</f>
        <v>3.2227426564459975E-2</v>
      </c>
      <c r="AZ83" s="426">
        <f>0.5*(AE82+AE83)</f>
        <v>2.2630441349916281E-2</v>
      </c>
      <c r="BA83" s="427">
        <f>V83</f>
        <v>40.008470291184985</v>
      </c>
      <c r="BB83" s="426">
        <f t="shared" si="108"/>
        <v>5.6879197721487058</v>
      </c>
      <c r="BC83" s="467"/>
      <c r="BD83" s="467"/>
      <c r="BE83" s="467"/>
      <c r="BF83" s="427">
        <f>Z83</f>
        <v>15.141711569532507</v>
      </c>
      <c r="BG83" s="467">
        <f t="shared" si="109"/>
        <v>1.6930932153562379</v>
      </c>
      <c r="BH83" s="467"/>
      <c r="BI83" s="467"/>
      <c r="BJ83" s="467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2"/>
      <c r="CG83" s="122"/>
      <c r="CH83" s="123"/>
      <c r="CI83" s="126"/>
      <c r="CJ83" s="123"/>
      <c r="CK83" s="127"/>
      <c r="CL83" s="127"/>
      <c r="CM83" s="127"/>
      <c r="CN83" s="127"/>
      <c r="CO83" s="123"/>
      <c r="CP83" s="123"/>
      <c r="CQ83" s="123"/>
      <c r="CR83" s="127"/>
      <c r="CS83" s="127"/>
      <c r="CT83" s="127"/>
      <c r="CU83" s="127"/>
      <c r="CV83" s="123"/>
      <c r="CW83" s="127">
        <f t="shared" ref="CW83:CZ83" si="175">CW82</f>
        <v>0.88377899458010167</v>
      </c>
      <c r="CX83" s="127">
        <f t="shared" si="175"/>
        <v>-21.017988662457295</v>
      </c>
      <c r="CY83" s="127">
        <f t="shared" si="175"/>
        <v>0.4107455059601699</v>
      </c>
      <c r="CZ83" s="127">
        <f t="shared" si="175"/>
        <v>-8.6368248558031446</v>
      </c>
      <c r="DA83" s="123"/>
      <c r="DB83" s="127">
        <f t="shared" ref="DB83:DE83" si="176">DB82</f>
        <v>-0.29878090989003681</v>
      </c>
      <c r="DC83" s="127">
        <f t="shared" si="176"/>
        <v>6.1361858439550163</v>
      </c>
      <c r="DD83" s="127">
        <f t="shared" si="176"/>
        <v>1.1158547494527715E-2</v>
      </c>
      <c r="DE83" s="127">
        <f t="shared" si="176"/>
        <v>-3.5761017046512809</v>
      </c>
      <c r="DF83" s="127"/>
      <c r="DG83" s="123"/>
      <c r="DH83" s="123"/>
      <c r="DI83" s="123"/>
      <c r="DJ83" s="123"/>
      <c r="DK83" s="123"/>
      <c r="DL83" s="128"/>
      <c r="DM83" s="128"/>
      <c r="DN83" s="426"/>
      <c r="DO83" s="426"/>
      <c r="DP83" s="427"/>
      <c r="DQ83" s="427"/>
      <c r="DR83" s="427"/>
      <c r="DS83" s="427"/>
      <c r="DT83" s="427"/>
      <c r="DU83" s="427"/>
      <c r="DV83" s="427"/>
      <c r="DW83" s="427"/>
      <c r="DX83" s="427"/>
      <c r="DY83" s="427"/>
      <c r="DZ83" s="427"/>
      <c r="EA83" s="427"/>
      <c r="EB83" s="123"/>
      <c r="EC83" s="123"/>
      <c r="ED83" s="123"/>
      <c r="EE83" s="124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W83" s="127"/>
      <c r="EX83" s="127"/>
      <c r="EY83" s="127"/>
      <c r="EZ83" s="127"/>
      <c r="FA83" s="127"/>
      <c r="FB83" s="127"/>
    </row>
    <row r="84" spans="1:229" s="7" customFormat="1" ht="15.75" customHeight="1" outlineLevel="1">
      <c r="A84" s="31"/>
      <c r="B84" s="31"/>
      <c r="C84" s="37"/>
      <c r="D84" s="25" t="s">
        <v>567</v>
      </c>
      <c r="E84" s="395">
        <v>0.10484</v>
      </c>
      <c r="F84" s="396"/>
      <c r="G84" s="396"/>
      <c r="H84" s="396"/>
      <c r="I84" s="540"/>
      <c r="K84" s="396"/>
      <c r="L84" s="396"/>
      <c r="M84" s="396"/>
      <c r="N84" s="525"/>
      <c r="O84" s="36"/>
      <c r="P84" s="458"/>
      <c r="Q84" s="458"/>
      <c r="R84" s="101">
        <f>R83+Vlength</f>
        <v>21.205409195212606</v>
      </c>
      <c r="S84" s="101">
        <f>S83+U83*Vlength/SQRT(1+(U83)^2)</f>
        <v>-1.4669776556027638</v>
      </c>
      <c r="T84" s="101">
        <f>T83+Vlength/SQRT(1+(U83)^2)</f>
        <v>21.107926966641756</v>
      </c>
      <c r="U84" s="101">
        <f>U83</f>
        <v>-0.19891243094979075</v>
      </c>
      <c r="V84" s="112">
        <f t="shared" ref="V84:V90" si="177">V83*CK84*CK84-2*W83*CK84*CL84+X83*CL84*CL84</f>
        <v>43.853806132116617</v>
      </c>
      <c r="W84" s="112">
        <f t="shared" ref="W84:W90" si="178">-CM84*CK84*V83+(CK84*CN84+CL84*CM84)*W83-X83*CL84*CN84</f>
        <v>-18.760991520633826</v>
      </c>
      <c r="X84" s="112">
        <f t="shared" ref="X84:X90" si="179">(1+W84^2)/V84</f>
        <v>8.0488977803637205</v>
      </c>
      <c r="Y84" s="112">
        <f t="shared" ref="Y84:Y90" si="180">ATAN2(CN84*V84+CL84*W84,CL84)+Y83</f>
        <v>5.6904226972066132</v>
      </c>
      <c r="Z84" s="112">
        <f t="shared" ref="Z84:Z90" si="181">Z83*CR84*CR84-2*AA83*CR84*CS84+AB83*CS84*CS84</f>
        <v>13.372867015474119</v>
      </c>
      <c r="AA84" s="112">
        <f t="shared" ref="AA84:AA90" si="182">-CT84*CR84*Z83+(CR84*CU84+CS84*CT84)*AA83-AB83*CS84*CU84</f>
        <v>8.1703351906709649</v>
      </c>
      <c r="AB84" s="112">
        <f t="shared" ref="AB84:AB90" si="183">(1+AA84^2)/Z84</f>
        <v>5.066555814061104</v>
      </c>
      <c r="AC84" s="112">
        <f t="shared" ref="AC84:AC90" si="184">ATAN2(CU84*Z84+CS84*AA84,CS84)+AC83</f>
        <v>1.7004609028034567</v>
      </c>
      <c r="AD84" s="101">
        <f>AD83+AE83*$CL84</f>
        <v>3.4600002035585199E-2</v>
      </c>
      <c r="AE84" s="112">
        <f>AE83</f>
        <v>2.2630441349916281E-2</v>
      </c>
      <c r="AF84" s="238">
        <f>AF83</f>
        <v>2.714758467178694E-3</v>
      </c>
      <c r="AG84" s="112">
        <f>AG83+AH83*$CL84</f>
        <v>-9.039630975204678E-2</v>
      </c>
      <c r="AH84" s="112">
        <f>AH83</f>
        <v>-3.2763787726933682E-2</v>
      </c>
      <c r="AI84" s="112">
        <f>AI83+AJ83*$CL84</f>
        <v>0</v>
      </c>
      <c r="AJ84" s="112">
        <f>AJ83</f>
        <v>0</v>
      </c>
      <c r="AK84" s="112">
        <f>AK83+AL83*$CL84</f>
        <v>0</v>
      </c>
      <c r="AL84" s="112">
        <f>AL83</f>
        <v>0</v>
      </c>
      <c r="AM84" s="112">
        <f>AM83+AN83*$CS84</f>
        <v>0</v>
      </c>
      <c r="AN84" s="112">
        <f>AN83</f>
        <v>0</v>
      </c>
      <c r="AO84" s="112">
        <f>AO83+AP83*$CS84</f>
        <v>0</v>
      </c>
      <c r="AP84" s="112">
        <f>AP83</f>
        <v>0</v>
      </c>
      <c r="AQ84" s="101">
        <f t="shared" si="103"/>
        <v>0.40455579095966043</v>
      </c>
      <c r="AR84" s="101">
        <f t="shared" si="104"/>
        <v>2.2247684169941682E-2</v>
      </c>
      <c r="AS84" s="101">
        <f t="shared" si="105"/>
        <v>0.17426830961604875</v>
      </c>
      <c r="AT84" s="101">
        <f t="shared" si="106"/>
        <v>1.3693957110790418E-2</v>
      </c>
      <c r="AU84" s="101">
        <f t="shared" si="107"/>
        <v>16.456008125298155</v>
      </c>
      <c r="AV84" s="239">
        <f t="shared" si="166"/>
        <v>3.7012216628845733</v>
      </c>
      <c r="AW84" s="239">
        <f t="shared" si="166"/>
        <v>3.7012216628845733E-2</v>
      </c>
      <c r="AX84" s="239">
        <f t="shared" si="166"/>
        <v>1.0629909222129516E-3</v>
      </c>
      <c r="AY84" s="434">
        <f>0.5*(AD83+AD84)</f>
        <v>3.3413714300022587E-2</v>
      </c>
      <c r="AZ84" s="356">
        <f>0.5*(AE83+AE84)</f>
        <v>2.2630441349916281E-2</v>
      </c>
      <c r="BA84" s="425">
        <f>0.5*(V84+V83)-X83*Vlength*Vlength/6</f>
        <v>41.916393401464994</v>
      </c>
      <c r="BB84" s="356">
        <f t="shared" si="108"/>
        <v>5.6891712346776595</v>
      </c>
      <c r="BC84" s="434"/>
      <c r="BD84" s="434"/>
      <c r="BE84" s="434"/>
      <c r="BF84" s="425">
        <f>0.5*(Z84+Z83)-AB83*Vlength*Vlength/6</f>
        <v>14.248007847290229</v>
      </c>
      <c r="BG84" s="434">
        <f t="shared" si="109"/>
        <v>1.6967770590798472</v>
      </c>
      <c r="BH84" s="434"/>
      <c r="BI84" s="434"/>
      <c r="BJ84" s="434"/>
      <c r="BK84" s="239"/>
      <c r="BL84" s="239"/>
      <c r="BM84" s="239"/>
      <c r="BN84" s="239"/>
      <c r="BO84" s="239"/>
      <c r="BP84" s="239"/>
      <c r="BQ84" s="239"/>
      <c r="BR84" s="239"/>
      <c r="BS84" s="239"/>
      <c r="BT84" s="239"/>
      <c r="BU84" s="239"/>
      <c r="BV84" s="239"/>
      <c r="BW84" s="239"/>
      <c r="BX84" s="239"/>
      <c r="BY84" s="239"/>
      <c r="BZ84" s="239"/>
      <c r="CA84" s="239"/>
      <c r="CB84" s="239"/>
      <c r="CC84" s="239"/>
      <c r="CD84" s="239"/>
      <c r="CE84" s="239"/>
      <c r="CF84" s="101"/>
      <c r="CG84" s="101"/>
      <c r="CH84" s="112">
        <f>E84</f>
        <v>0.10484</v>
      </c>
      <c r="CI84" s="240"/>
      <c r="CJ84" s="112"/>
      <c r="CK84" s="30">
        <v>1</v>
      </c>
      <c r="CL84" s="30">
        <f>E84</f>
        <v>0.10484</v>
      </c>
      <c r="CM84" s="30">
        <v>0</v>
      </c>
      <c r="CN84" s="30">
        <v>1</v>
      </c>
      <c r="CO84" s="112"/>
      <c r="CP84" s="112"/>
      <c r="CQ84" s="112"/>
      <c r="CR84" s="30">
        <v>1</v>
      </c>
      <c r="CS84" s="30">
        <f>CL84</f>
        <v>0.10484</v>
      </c>
      <c r="CT84" s="30">
        <v>0</v>
      </c>
      <c r="CU84" s="30">
        <v>1</v>
      </c>
      <c r="CV84" s="112"/>
      <c r="CW84" s="30">
        <f t="shared" ref="CW84:CW90" si="185">CW83*CK84+CY83*CL84</f>
        <v>0.92684155342496588</v>
      </c>
      <c r="CX84" s="30">
        <f t="shared" ref="CX84:CX90" si="186">CX83*CK84+CZ83*CL84</f>
        <v>-21.923473380339697</v>
      </c>
      <c r="CY84" s="30">
        <f t="shared" ref="CY84:CY90" si="187">CW83*CM84+CY83*CN84</f>
        <v>0.4107455059601699</v>
      </c>
      <c r="CZ84" s="30">
        <f t="shared" ref="CZ84:CZ90" si="188">CX83*CM84+CZ83*CN84</f>
        <v>-8.6368248558031446</v>
      </c>
      <c r="DA84" s="112"/>
      <c r="DB84" s="30">
        <f t="shared" ref="DB84:DB90" si="189">DB83*CR84+DD83*CS84</f>
        <v>-0.29761104777071051</v>
      </c>
      <c r="DC84" s="30">
        <f t="shared" ref="DC84:DC90" si="190">DC83*CR84+DE83*CS84</f>
        <v>5.7612673412393764</v>
      </c>
      <c r="DD84" s="30">
        <f t="shared" ref="DD84:DD90" si="191">DB83*CT84+DD83*CU84</f>
        <v>1.1158547494527715E-2</v>
      </c>
      <c r="DE84" s="30">
        <f t="shared" ref="DE84:DE90" si="192">DC83*CT84+DE83*CU84</f>
        <v>-3.5761017046512809</v>
      </c>
      <c r="DF84" s="30">
        <f>AZ84^2*Vlength</f>
        <v>5.369243004754935E-5</v>
      </c>
      <c r="DG84" s="112"/>
      <c r="DH84" s="112"/>
      <c r="DI84" s="112"/>
      <c r="DJ84" s="112"/>
      <c r="DK84" s="112"/>
      <c r="DL84" s="36"/>
      <c r="DM84" s="36"/>
      <c r="DN84" s="356"/>
      <c r="DO84" s="356"/>
      <c r="DP84" s="425"/>
      <c r="DQ84" s="425"/>
      <c r="DR84" s="425"/>
      <c r="DS84" s="425"/>
      <c r="DT84" s="425"/>
      <c r="DU84" s="425"/>
      <c r="DV84" s="425"/>
      <c r="DW84" s="425"/>
      <c r="DX84" s="425"/>
      <c r="DY84" s="425"/>
      <c r="DZ84" s="425"/>
      <c r="EA84" s="425"/>
      <c r="EB84" s="112">
        <f>E84*(1/AQ84+1/AQ83)/2</f>
        <v>0.26525999617111823</v>
      </c>
      <c r="EC84" s="112">
        <f>E84*(1/AR84+1/AR83)/2</f>
        <v>4.5705029679508211</v>
      </c>
      <c r="ED84" s="112">
        <f>E84*(AS84+AS83)/2</f>
        <v>1.8270289580146551E-2</v>
      </c>
      <c r="EE84" s="238">
        <f>(X84*AD84*AD84+2*W84*AD84*AE84+V84*AE84*AE84)*CH84</f>
        <v>2.8461527769901417E-4</v>
      </c>
      <c r="EF84" s="112">
        <f>SQRT(VaveBetax/VaveBetaz*T_Coupling)</f>
        <v>0.17152004463816387</v>
      </c>
      <c r="EG84" s="112">
        <f>IF(EF84&lt;=1,EF84^(0.021-0.044*LN(EF84)),EF84^(-0.021-0.044*LN(EF84)))/(VaveBetax*VaveBetaz)^(1/4)</f>
        <v>0.1700154993719466</v>
      </c>
      <c r="EH84" s="239">
        <f t="shared" ref="EH84:ET86" si="193">$EG84*Vlength/SQRT(1+EH$7*EH$7/EH$8*1000000000/Vlength*$EE84)</f>
        <v>1.1077315038826033E-2</v>
      </c>
      <c r="EI84" s="239" t="e">
        <f t="shared" si="193"/>
        <v>#DIV/0!</v>
      </c>
      <c r="EJ84" s="239" t="e">
        <f t="shared" si="193"/>
        <v>#DIV/0!</v>
      </c>
      <c r="EK84" s="239" t="e">
        <f t="shared" si="193"/>
        <v>#DIV/0!</v>
      </c>
      <c r="EL84" s="239" t="e">
        <f t="shared" si="193"/>
        <v>#DIV/0!</v>
      </c>
      <c r="EM84" s="239" t="e">
        <f t="shared" si="193"/>
        <v>#DIV/0!</v>
      </c>
      <c r="EN84" s="239" t="e">
        <f t="shared" si="193"/>
        <v>#DIV/0!</v>
      </c>
      <c r="EO84" s="239" t="e">
        <f t="shared" si="193"/>
        <v>#DIV/0!</v>
      </c>
      <c r="EP84" s="239" t="e">
        <f t="shared" si="193"/>
        <v>#DIV/0!</v>
      </c>
      <c r="EQ84" s="239" t="e">
        <f t="shared" si="193"/>
        <v>#DIV/0!</v>
      </c>
      <c r="ER84" s="239" t="e">
        <f t="shared" si="193"/>
        <v>#DIV/0!</v>
      </c>
      <c r="ES84" s="239" t="e">
        <f t="shared" si="193"/>
        <v>#DIV/0!</v>
      </c>
      <c r="ET84" s="239" t="e">
        <f t="shared" si="193"/>
        <v>#DIV/0!</v>
      </c>
      <c r="EU84" s="112">
        <f>Vlength*VaveBetaz</f>
        <v>1.4937611427099076</v>
      </c>
      <c r="EW84" s="30"/>
      <c r="EX84" s="30"/>
      <c r="EY84" s="30"/>
      <c r="EZ84" s="30"/>
      <c r="FA84" s="30"/>
      <c r="FB84" s="30"/>
    </row>
    <row r="85" spans="1:229" s="42" customFormat="1" ht="15.75" customHeight="1" outlineLevel="1">
      <c r="A85" s="39"/>
      <c r="B85" s="39"/>
      <c r="C85" s="40" t="s">
        <v>765</v>
      </c>
      <c r="D85" s="41" t="s">
        <v>670</v>
      </c>
      <c r="E85" s="392">
        <v>0.92432000000000003</v>
      </c>
      <c r="F85" s="393">
        <v>0.77604600000000001</v>
      </c>
      <c r="G85" s="392"/>
      <c r="H85" s="507"/>
      <c r="I85" s="541"/>
      <c r="J85" s="536"/>
      <c r="K85" s="394"/>
      <c r="L85" s="394"/>
      <c r="M85" s="507"/>
      <c r="N85" s="527"/>
      <c r="O85" s="429">
        <f>T_Energy/0.2998*F85</f>
        <v>15.634816010673783</v>
      </c>
      <c r="P85" s="459">
        <f>2*T_Energy/0.2998*G85</f>
        <v>0</v>
      </c>
      <c r="Q85" s="459">
        <f>O85*Vlength</f>
        <v>14.451573134985992</v>
      </c>
      <c r="R85" s="44">
        <f>R84+Vlength</f>
        <v>22.129729195212608</v>
      </c>
      <c r="S85" s="44">
        <f>S84+U84*Vlength/SQRT(1+(U84)^2)</f>
        <v>-1.6473035974853998</v>
      </c>
      <c r="T85" s="44">
        <f>T84+Vlength/SQRT(1+(U84)^2)</f>
        <v>22.014486405997026</v>
      </c>
      <c r="U85" s="44">
        <f>U84</f>
        <v>-0.19891243094979075</v>
      </c>
      <c r="V85" s="45">
        <f t="shared" si="177"/>
        <v>47.407937988783758</v>
      </c>
      <c r="W85" s="45">
        <f t="shared" si="178"/>
        <v>15.805774371878996</v>
      </c>
      <c r="X85" s="45">
        <f t="shared" si="179"/>
        <v>5.2907279695246174</v>
      </c>
      <c r="Y85" s="45">
        <f t="shared" si="180"/>
        <v>5.7085284940522447</v>
      </c>
      <c r="Z85" s="45">
        <f t="shared" si="181"/>
        <v>7.0312412414827881</v>
      </c>
      <c r="AA85" s="45">
        <f t="shared" si="182"/>
        <v>0.14377950925783001</v>
      </c>
      <c r="AB85" s="45">
        <f t="shared" si="183"/>
        <v>0.145162498658228</v>
      </c>
      <c r="AC85" s="45">
        <f t="shared" si="184"/>
        <v>1.8068721397874898</v>
      </c>
      <c r="AD85" s="44">
        <f>AD84*$CK85+AE84*$CL85</f>
        <v>4.243122145338963E-2</v>
      </c>
      <c r="AE85" s="45">
        <f>AD84*$CM85+AE84*$CN85</f>
        <v>-6.6323719474754902E-3</v>
      </c>
      <c r="AF85" s="46">
        <f>AF84</f>
        <v>2.714758467178694E-3</v>
      </c>
      <c r="AG85" s="45">
        <f>AG84*$CK85+AH84*$CL85</f>
        <v>-8.9095148638662608E-2</v>
      </c>
      <c r="AH85" s="45">
        <f>AG84*$CM85+AH84*$CN85</f>
        <v>3.5421875144118237E-2</v>
      </c>
      <c r="AI85" s="45">
        <f>AI84*$CK85+AJ84*$CL85+0.001*(1-$CK85)*$K85</f>
        <v>0</v>
      </c>
      <c r="AJ85" s="45">
        <f>AI84*$CM85+AJ84*$CN85-0.001*$CM85*$K85</f>
        <v>0</v>
      </c>
      <c r="AK85" s="45">
        <f>AK84*$CK85+AL84*$CL85+0.001*(1-$CK85)*$K85</f>
        <v>0</v>
      </c>
      <c r="AL85" s="45">
        <f>AK84*$CM85+AL84*$CN85-0.001*$CM85*$K85</f>
        <v>0</v>
      </c>
      <c r="AM85" s="45">
        <f>AM84*$CR85+AN84*$CS85+0.001*(1-$CR85)*$L85</f>
        <v>0</v>
      </c>
      <c r="AN85" s="45">
        <f>AM84*$CT85+AN84*$CU85-0.001*$CT85*$L85</f>
        <v>0</v>
      </c>
      <c r="AO85" s="45">
        <f>AO84*$CR85+AP84*$CS85+0.001*(1-$CR85)*$L85</f>
        <v>0</v>
      </c>
      <c r="AP85" s="45">
        <f>AO84*$CT85+AP84*$CU85-0.001*$CT85*$L85</f>
        <v>0</v>
      </c>
      <c r="AQ85" s="44">
        <f t="shared" si="103"/>
        <v>0.42130945655604252</v>
      </c>
      <c r="AR85" s="44">
        <f t="shared" si="104"/>
        <v>1.6132012397696547E-2</v>
      </c>
      <c r="AS85" s="44">
        <f t="shared" si="105"/>
        <v>0.14011374523862624</v>
      </c>
      <c r="AT85" s="44">
        <f t="shared" si="106"/>
        <v>2.3179270581109453E-3</v>
      </c>
      <c r="AU85" s="44">
        <f t="shared" si="107"/>
        <v>9.9731247260959872</v>
      </c>
      <c r="AV85" s="47">
        <f t="shared" si="166"/>
        <v>3.7012216628845733</v>
      </c>
      <c r="AW85" s="47">
        <f t="shared" si="166"/>
        <v>3.7012216628845733E-2</v>
      </c>
      <c r="AX85" s="47">
        <f t="shared" si="166"/>
        <v>1.0629909222129516E-3</v>
      </c>
      <c r="AY85" s="43">
        <f>IF(VKl=0,0.5*(AD84+AD85),(AE85-AE84)/CJ85/Vlength)</f>
        <v>4.079493650181458E-2</v>
      </c>
      <c r="AZ85" s="43">
        <f>IF(VKl=0,AE85,(AD85-AD84)/Vlength)</f>
        <v>8.4724115217721455E-3</v>
      </c>
      <c r="BA85" s="429">
        <f>IF($CJ85=0,0.5*(V85+V84)-X84*Vlength*Vlength/6,-0.5*(($X85-$CJ85*$V85)*Vlength+($W85-$W84))/$CJ85/Vlength)</f>
        <v>51.207297685955218</v>
      </c>
      <c r="BB85" s="428">
        <f t="shared" si="108"/>
        <v>5.699475595629429</v>
      </c>
      <c r="BC85" s="43">
        <f>IF(CJ85=0,AY85*BA85-(2*W84-X84*Vlength)*AE84*Vlength*Vlength/12,-(2*(X85-CJ85*V85)*AY85+(2*W85*AD85+V85*AE85-2*W84*AD84-V84*AE84)/Vlength)/3/CJ85)</f>
        <v>2.0940593693871357</v>
      </c>
      <c r="BD85" s="43"/>
      <c r="BE85" s="43"/>
      <c r="BF85" s="429">
        <f>IF($CQ85=0,0.5*(Z85+Z84)-AB84*Vlength*Vlength/6,-0.5*(($AB85-$CQ85*$Z85)*Vlength+$AA85-$AA84)/$CQ85/Vlength)</f>
        <v>9.016956055776296</v>
      </c>
      <c r="BG85" s="43">
        <f t="shared" si="109"/>
        <v>1.7536665212954734</v>
      </c>
      <c r="BH85" s="43">
        <f>IF(CQ85=0,AY85*BF85-(2*AA84-AB84*Vlength)*AE84*Vlength*Vlength/12,-(2*(AB85-CQ85*Z85)*AY85+(2*AA85*AD85+Z85*AE85-2*AA84*AD84-Z84*AE84)/Vlength)/5/CQ85)</f>
        <v>0.3633031732084383</v>
      </c>
      <c r="BI85" s="43"/>
      <c r="BJ85" s="43"/>
      <c r="BK85" s="47"/>
      <c r="BL85" s="47"/>
      <c r="BM85" s="47"/>
      <c r="BN85" s="47"/>
      <c r="BO85" s="47"/>
      <c r="BP85" s="47">
        <f>VaveBetax*BR85</f>
        <v>1349.2217872442354</v>
      </c>
      <c r="BQ85" s="47">
        <f>VaveBetaz*BS85</f>
        <v>41.83497715739238</v>
      </c>
      <c r="BR85" s="47">
        <f>VaveBetax*VKl^2</f>
        <v>26.348232541360812</v>
      </c>
      <c r="BS85" s="47">
        <f>VaveBetaz*VKl^2</f>
        <v>4.6395897793682535</v>
      </c>
      <c r="BT85" s="47">
        <f>BS85*AY85^2</f>
        <v>7.7213298568406755E-3</v>
      </c>
      <c r="BU85" s="47">
        <f>(CJ85*(V85-V84))^2</f>
        <v>7.6075007054242407</v>
      </c>
      <c r="BV85" s="47">
        <f>(CQ85*(Z85-Z84))^2</f>
        <v>24.220112164892114</v>
      </c>
      <c r="BW85" s="47">
        <f>1/VaveBetax*(CJ85*Vlength^3)^2</f>
        <v>7.3346124762513187E-3</v>
      </c>
      <c r="BX85" s="47">
        <f>1/VaveBetaz*(CQ85*Vlength^3)^2</f>
        <v>4.1653267705782024E-2</v>
      </c>
      <c r="BY85" s="47">
        <f>(CJ85*VaveBetax*(Y85-Y84))^2</f>
        <v>0.51769495335930293</v>
      </c>
      <c r="BZ85" s="47">
        <f>(CQ85*VaveBetaz*(AC85-AC84))^2</f>
        <v>0.55445948750486551</v>
      </c>
      <c r="CA85" s="45">
        <f>AY85^2*VaveBetaz*VHl^2</f>
        <v>0</v>
      </c>
      <c r="CB85" s="47">
        <f>VaveBetax*BS85</f>
        <v>237.58085497282545</v>
      </c>
      <c r="CC85" s="45">
        <f>VaveBetax*VaveBetaz*VHl^2</f>
        <v>0</v>
      </c>
      <c r="CD85" s="45">
        <f>(VaveBetax*VHl)^2</f>
        <v>0</v>
      </c>
      <c r="CE85" s="45">
        <f>(VaveBetaz*VHl)^2</f>
        <v>0</v>
      </c>
      <c r="CF85" s="44">
        <f>$CQ85*Vlength</f>
        <v>0.71731483872000001</v>
      </c>
      <c r="CG85" s="44">
        <f>$G85*Vlength</f>
        <v>0</v>
      </c>
      <c r="CH85" s="45">
        <f>$E85</f>
        <v>0.92432000000000003</v>
      </c>
      <c r="CI85" s="48"/>
      <c r="CJ85" s="49">
        <f>-$CQ85</f>
        <v>-0.77604600000000001</v>
      </c>
      <c r="CK85" s="49">
        <f>IF(CJ85=0,1,IF(CJ85&gt;0,COSH(Vlength*SQRT(CJ85)),COS(Vlength*SQRT(-CJ85))))</f>
        <v>0.68640265710312376</v>
      </c>
      <c r="CL85" s="49">
        <f>IF(CJ85=0,Vlength,IF(CJ85&gt;0,SINH(Vlength*SQRT(CJ85))/SQRT(CJ85),SIN(Vlength*SQRT(-CJ85))/SQRT(-CJ85)))</f>
        <v>0.82551143530656623</v>
      </c>
      <c r="CM85" s="49">
        <f>CL85*CJ85</f>
        <v>-0.64063484732391951</v>
      </c>
      <c r="CN85" s="49">
        <f>CK85</f>
        <v>0.68640265710312376</v>
      </c>
      <c r="CO85" s="45"/>
      <c r="CP85" s="45"/>
      <c r="CQ85" s="49">
        <f>$F85-0.001*$G85*$K85</f>
        <v>0.77604600000000001</v>
      </c>
      <c r="CR85" s="49">
        <f>IF(CQ85=0,1,IF(CQ85&gt;0,COSH(Vlength*SQRT(CQ85)),COS(Vlength*SQRT(-CQ85))))</f>
        <v>1.3502408232503762</v>
      </c>
      <c r="CS85" s="49">
        <f>IF(CQ85=0,Vlength,IF(CQ85&gt;0,SINH(Vlength*SQRT(CQ85))/SQRT(CQ85),SIN(Vlength*SQRT(-CQ85))/SQRT(-CQ85)))</f>
        <v>1.0299018374010629</v>
      </c>
      <c r="CT85" s="49">
        <f>CS85*CQ85</f>
        <v>0.7992512013077453</v>
      </c>
      <c r="CU85" s="49">
        <f>CR85</f>
        <v>1.3502408232503762</v>
      </c>
      <c r="CV85" s="45"/>
      <c r="CW85" s="49">
        <f t="shared" si="185"/>
        <v>0.97526161715538495</v>
      </c>
      <c r="CX85" s="49">
        <f t="shared" si="186"/>
        <v>-22.178128064400251</v>
      </c>
      <c r="CY85" s="49">
        <f t="shared" si="187"/>
        <v>-0.31183019038763987</v>
      </c>
      <c r="CZ85" s="49">
        <f t="shared" si="188"/>
        <v>8.1166014918663549</v>
      </c>
      <c r="DA85" s="45"/>
      <c r="DB85" s="49">
        <f t="shared" si="189"/>
        <v>-0.39035437758299008</v>
      </c>
      <c r="DC85" s="49">
        <f t="shared" si="190"/>
        <v>4.0960646414471347</v>
      </c>
      <c r="DD85" s="49">
        <f t="shared" si="191"/>
        <v>-0.22279926109790762</v>
      </c>
      <c r="DE85" s="49">
        <f t="shared" si="192"/>
        <v>-0.22389866617476706</v>
      </c>
      <c r="DF85" s="49">
        <f>AZ85^2*Vlength</f>
        <v>6.6349313624932012E-5</v>
      </c>
      <c r="DG85" s="45"/>
      <c r="DH85" s="45"/>
      <c r="DI85" s="45"/>
      <c r="DJ85" s="45"/>
      <c r="DK85" s="45"/>
      <c r="DL85" s="50"/>
      <c r="DM85" s="50"/>
      <c r="DN85" s="428">
        <f>-VKl*VaveBetax+2*VHl*$BC85</f>
        <v>-36.731754480888</v>
      </c>
      <c r="DO85" s="428">
        <f>VaveBetaz*VKl-2*VHl*$BH85</f>
        <v>6.467996378894501</v>
      </c>
      <c r="DP85" s="43" t="str">
        <f>IMPRODUCT(-1/8*(VaveBetax*VKl-2*$BC85*VHl),COMPLEX(COS(2*VmidMux),SIN(2*VmidMux)))</f>
        <v>-1.80227315001+4.22296127361408i</v>
      </c>
      <c r="DQ85" s="429" t="str">
        <f>IMPRODUCT(1/8*(VaveBetaz*VKl-2*BH85*VHl),COMPLEX(COS(2*VmidMuz),SIN(2*VmidMuz)))</f>
        <v>-0.755024759762309-0.289152434245545i</v>
      </c>
      <c r="DR85" s="429" t="str">
        <f>IMPRODUCT(-1/2*SQRT(VaveBetax)*(VKl-2*VHl*$AY85)*AY85,COMPLEX(COS(VmidMux),SIN(VmidMux)))</f>
        <v>-0.0873652528977696+0.0577033063104952i</v>
      </c>
      <c r="DS85" s="429" t="str">
        <f>IMPRODUCT(-1/8*VHl*VaveBetax^(3/2),COMPLEX(COS(VmidMux),SIN(VmidMux)))</f>
        <v>0</v>
      </c>
      <c r="DT85" s="429" t="str">
        <f>IMPRODUCT(-1/24*VHl*VaveBetax^(3/2),COMPLEX(COS(3*VmidMux),SIN(3*VmidMux)))</f>
        <v>0</v>
      </c>
      <c r="DU85" s="429" t="str">
        <f>IMPRODUCT(1/4*VHl*VaveBetax^(1/2)*VaveBetaz,COMPLEX(COS(VmidMux),SIN(VmidMux)))</f>
        <v>0</v>
      </c>
      <c r="DV85" s="429" t="str">
        <f>IMPRODUCT(1/8*VHl*VaveBetax^(1/2)*VaveBetaz,COMPLEX(COS(VmidMux-2*VmidMuz),SIN(VmidMux-2*VmidMuz)))</f>
        <v>0</v>
      </c>
      <c r="DW85" s="429" t="str">
        <f>IMPRODUCT(1/8*VHl*VaveBetax^(1/2)*VaveBetaz,COMPLEX(COS(VmidMux+2*VmidMuz),SIN(VmidMux+2*VmidMuz)))</f>
        <v>0</v>
      </c>
      <c r="DX85" s="429">
        <f>VaveBetax^2*F85^2*E85/8/PI()/2</f>
        <v>29.039634104963866</v>
      </c>
      <c r="DY85" s="429">
        <f>2*VaveBetax*VaveBetaz*F85^2*E85/8/PI()</f>
        <v>20.45404592182571</v>
      </c>
      <c r="DZ85" s="429">
        <f>VaveBetaz^2*F85^2*E85/8/PI()</f>
        <v>1.8008491130602835</v>
      </c>
      <c r="EA85" s="429">
        <f>ABS(F85)</f>
        <v>0.77604600000000001</v>
      </c>
      <c r="EB85" s="45">
        <f>E85*(1/AQ85+1/AQ84)/2</f>
        <v>2.2393496871855842</v>
      </c>
      <c r="EC85" s="45">
        <f>E85*(1/AR85+1/AR84)/2</f>
        <v>49.422024728793396</v>
      </c>
      <c r="ED85" s="45">
        <f>E85*(AS85+AS84)/2</f>
        <v>0.14529481047163659</v>
      </c>
      <c r="EE85" s="46">
        <f>(X85*AD85*AD85+2*W85*AD85*AE85+V85*AE85*AE85)*CH85</f>
        <v>2.5093055463826087E-3</v>
      </c>
      <c r="EF85" s="45">
        <f>SQRT(VaveBetax/VaveBetaz*T_Coupling)</f>
        <v>0.23830653517690353</v>
      </c>
      <c r="EG85" s="45">
        <f>IF(EF85&lt;=1,EF85^(0.021-0.044*LN(EF85)),EF85^(-0.021-0.044*LN(EF85)))/(VaveBetax*VaveBetaz)^(1/4)</f>
        <v>0.19121249150867575</v>
      </c>
      <c r="EH85" s="47">
        <f t="shared" si="193"/>
        <v>0.10983925792645233</v>
      </c>
      <c r="EI85" s="47" t="e">
        <f t="shared" si="193"/>
        <v>#DIV/0!</v>
      </c>
      <c r="EJ85" s="47" t="e">
        <f t="shared" si="193"/>
        <v>#DIV/0!</v>
      </c>
      <c r="EK85" s="47" t="e">
        <f t="shared" si="193"/>
        <v>#DIV/0!</v>
      </c>
      <c r="EL85" s="47" t="e">
        <f t="shared" si="193"/>
        <v>#DIV/0!</v>
      </c>
      <c r="EM85" s="47" t="e">
        <f t="shared" si="193"/>
        <v>#DIV/0!</v>
      </c>
      <c r="EN85" s="47" t="e">
        <f t="shared" si="193"/>
        <v>#DIV/0!</v>
      </c>
      <c r="EO85" s="47" t="e">
        <f t="shared" si="193"/>
        <v>#DIV/0!</v>
      </c>
      <c r="EP85" s="47" t="e">
        <f t="shared" si="193"/>
        <v>#DIV/0!</v>
      </c>
      <c r="EQ85" s="47" t="e">
        <f t="shared" si="193"/>
        <v>#DIV/0!</v>
      </c>
      <c r="ER85" s="47" t="e">
        <f t="shared" si="193"/>
        <v>#DIV/0!</v>
      </c>
      <c r="ES85" s="47" t="e">
        <f t="shared" si="193"/>
        <v>#DIV/0!</v>
      </c>
      <c r="ET85" s="47" t="e">
        <f t="shared" si="193"/>
        <v>#DIV/0!</v>
      </c>
      <c r="EU85" s="45">
        <f>Vlength*VaveBetaz</f>
        <v>8.3345528214751461</v>
      </c>
      <c r="EW85" s="49" t="str">
        <f>IMPRODUCT(VKl*VaveBetax^(ABS(EW$5)/2)*VaveBetaz^(ABS(EW$6)/2),COMPLEX(COS(EW$5*VmidMux+EW$6*VmidMuz+EW$23*$R85),SIN(EW$5*VmidMux+EW$6*VmidMuz+EW$23*$R85)))</f>
        <v>-4.03122438432222-5.05808334457216i</v>
      </c>
      <c r="EX85" s="49" t="str">
        <f>IMPRODUCT(VKl*VaveBetax^(ABS(EX$5)/2)*VaveBetaz^(ABS(EX$6)/2),COMPLEX(COS(EX$5*VmidMux+EX$6*VmidMuz+EX$23*$R85),SIN(EX$5*VmidMux+EX$6*VmidMuz+EX$23*$R85)))</f>
        <v>36.7313504723406-0.172278037843138i</v>
      </c>
      <c r="EY85" s="49" t="str">
        <f>IMPRODUCT(VHl*VaveBetax^(ABS(EY$5)/2)*VaveBetaz^(ABS(EY$6)/2),COMPLEX(COS(EY$5*VmidMux+EY$6*VmidMuz+EY$23*$R85),SIN(EY$5*VmidMux+EY$6*VmidMuz+EY$23*$R85)))</f>
        <v>0</v>
      </c>
      <c r="EZ85" s="49" t="str">
        <f>IMPRODUCT(VHl*VaveBetax^(ABS(EZ$5)/2)*VaveBetaz^(ABS(EZ$6)/2),COMPLEX(COS(EZ$5*VmidMux+EZ$6*VmidMuz+EZ$23*$R85),SIN(EZ$5*VmidMux+EZ$6*VmidMuz+EZ$23*$R85)))</f>
        <v>0</v>
      </c>
      <c r="FA85" s="49" t="str">
        <f>IMPRODUCT(VHl*VaveBetax^(ABS(FA$5)/2)*VaveBetaz^(ABS(FA$6)/2),COMPLEX(COS(FA$5*VmidMux+FA$6*VmidMuz+FA$23*$R85),SIN(FA$5*VmidMux+FA$6*VmidMuz+FA$23*$R85)))</f>
        <v>0</v>
      </c>
      <c r="FB85" s="49"/>
    </row>
    <row r="86" spans="1:229" s="7" customFormat="1" ht="15.75" customHeight="1" outlineLevel="1">
      <c r="A86" s="31"/>
      <c r="B86" s="31"/>
      <c r="C86" s="37"/>
      <c r="D86" s="25" t="s">
        <v>567</v>
      </c>
      <c r="E86" s="395">
        <v>0.33783999999999997</v>
      </c>
      <c r="F86" s="396"/>
      <c r="G86" s="396"/>
      <c r="H86" s="396"/>
      <c r="I86" s="540"/>
      <c r="K86" s="396"/>
      <c r="L86" s="396"/>
      <c r="M86" s="396"/>
      <c r="N86" s="525"/>
      <c r="O86" s="36"/>
      <c r="P86" s="458"/>
      <c r="Q86" s="458"/>
      <c r="R86" s="101">
        <f>R85+Vlength</f>
        <v>22.467569195212608</v>
      </c>
      <c r="S86" s="101">
        <f>S85+U85*Vlength/SQRT(1+(U85)^2)</f>
        <v>-1.7132129321375005</v>
      </c>
      <c r="T86" s="101">
        <f>T85+Vlength/SQRT(1+(U85)^2)</f>
        <v>22.345834901098055</v>
      </c>
      <c r="U86" s="101">
        <f>U85</f>
        <v>-0.19891243094979075</v>
      </c>
      <c r="V86" s="112">
        <f t="shared" si="177"/>
        <v>37.332154177648384</v>
      </c>
      <c r="W86" s="112">
        <f t="shared" si="178"/>
        <v>14.018354834654801</v>
      </c>
      <c r="X86" s="112">
        <f t="shared" si="179"/>
        <v>5.2907279695246183</v>
      </c>
      <c r="Y86" s="112">
        <f t="shared" si="180"/>
        <v>5.7165591066919212</v>
      </c>
      <c r="Z86" s="112">
        <f t="shared" si="181"/>
        <v>6.950660550104474</v>
      </c>
      <c r="AA86" s="112">
        <f t="shared" si="182"/>
        <v>9.4737810711134268E-2</v>
      </c>
      <c r="AB86" s="112">
        <f t="shared" si="183"/>
        <v>0.14516249865822795</v>
      </c>
      <c r="AC86" s="112">
        <f t="shared" si="184"/>
        <v>1.8552171011242091</v>
      </c>
      <c r="AD86" s="101">
        <f>AD85+AE85*$CL86</f>
        <v>4.0190540914654509E-2</v>
      </c>
      <c r="AE86" s="112">
        <f>AE85</f>
        <v>-6.6323719474754902E-3</v>
      </c>
      <c r="AF86" s="238">
        <f>AF85</f>
        <v>2.714758467178694E-3</v>
      </c>
      <c r="AG86" s="112">
        <f>AG85+AH85*$CL86</f>
        <v>-7.7128222339973698E-2</v>
      </c>
      <c r="AH86" s="112">
        <f>AH85</f>
        <v>3.5421875144118237E-2</v>
      </c>
      <c r="AI86" s="112">
        <f>AI85+AJ85*$CL86</f>
        <v>0</v>
      </c>
      <c r="AJ86" s="112">
        <f>AJ85</f>
        <v>0</v>
      </c>
      <c r="AK86" s="112">
        <f>AK85+AL85*$CL86</f>
        <v>0</v>
      </c>
      <c r="AL86" s="112">
        <f>AL85</f>
        <v>0</v>
      </c>
      <c r="AM86" s="112">
        <f>AM85+AN85*$CS86</f>
        <v>0</v>
      </c>
      <c r="AN86" s="112">
        <f>AN85</f>
        <v>0</v>
      </c>
      <c r="AO86" s="112">
        <f>AO85+AP85*$CS86</f>
        <v>0</v>
      </c>
      <c r="AP86" s="112">
        <f>AP85</f>
        <v>0</v>
      </c>
      <c r="AQ86" s="101">
        <f t="shared" si="103"/>
        <v>0.37416542122612367</v>
      </c>
      <c r="AR86" s="101">
        <f t="shared" si="104"/>
        <v>1.6039306530958211E-2</v>
      </c>
      <c r="AS86" s="101">
        <f t="shared" si="105"/>
        <v>0.14011374523862624</v>
      </c>
      <c r="AT86" s="101">
        <f t="shared" si="106"/>
        <v>2.3179270581109453E-3</v>
      </c>
      <c r="AU86" s="101">
        <f t="shared" si="107"/>
        <v>9.3575281477219896</v>
      </c>
      <c r="AV86" s="239">
        <f t="shared" si="166"/>
        <v>3.7012216628845733</v>
      </c>
      <c r="AW86" s="239">
        <f t="shared" si="166"/>
        <v>3.7012216628845733E-2</v>
      </c>
      <c r="AX86" s="239">
        <f t="shared" si="166"/>
        <v>1.0629909222129516E-3</v>
      </c>
      <c r="AY86" s="434">
        <f>0.5*(AD85+AD86)</f>
        <v>4.1310881184022069E-2</v>
      </c>
      <c r="AZ86" s="356">
        <f>0.5*(AE85+AE86)</f>
        <v>-6.6323719474754902E-3</v>
      </c>
      <c r="BA86" s="425">
        <f>0.5*(V86+V85)-X85*Vlength*Vlength/6</f>
        <v>42.269402447140095</v>
      </c>
      <c r="BB86" s="356">
        <f t="shared" si="108"/>
        <v>5.7125438003720834</v>
      </c>
      <c r="BC86" s="434"/>
      <c r="BD86" s="434"/>
      <c r="BE86" s="434"/>
      <c r="BF86" s="425">
        <f>0.5*(Z86+Z85)-AB85*Vlength*Vlength/6</f>
        <v>6.9881895212207947</v>
      </c>
      <c r="BG86" s="434">
        <f t="shared" si="109"/>
        <v>1.8310446204558495</v>
      </c>
      <c r="BH86" s="434"/>
      <c r="BI86" s="434"/>
      <c r="BJ86" s="434"/>
      <c r="BK86" s="239"/>
      <c r="BL86" s="239"/>
      <c r="BM86" s="239"/>
      <c r="BN86" s="239"/>
      <c r="BO86" s="239"/>
      <c r="BP86" s="239"/>
      <c r="BQ86" s="239"/>
      <c r="BR86" s="239"/>
      <c r="BS86" s="239"/>
      <c r="BT86" s="239"/>
      <c r="BU86" s="239"/>
      <c r="BV86" s="239"/>
      <c r="BW86" s="239"/>
      <c r="BX86" s="239"/>
      <c r="BY86" s="239"/>
      <c r="BZ86" s="239"/>
      <c r="CA86" s="239"/>
      <c r="CB86" s="239"/>
      <c r="CC86" s="239"/>
      <c r="CD86" s="239"/>
      <c r="CE86" s="239"/>
      <c r="CF86" s="101"/>
      <c r="CG86" s="101"/>
      <c r="CH86" s="112">
        <f>E86</f>
        <v>0.33783999999999997</v>
      </c>
      <c r="CI86" s="240"/>
      <c r="CJ86" s="112"/>
      <c r="CK86" s="30">
        <v>1</v>
      </c>
      <c r="CL86" s="30">
        <f>E86</f>
        <v>0.33783999999999997</v>
      </c>
      <c r="CM86" s="30">
        <v>0</v>
      </c>
      <c r="CN86" s="30">
        <v>1</v>
      </c>
      <c r="CO86" s="112"/>
      <c r="CP86" s="112"/>
      <c r="CQ86" s="112"/>
      <c r="CR86" s="30">
        <v>1</v>
      </c>
      <c r="CS86" s="30">
        <f>CL86</f>
        <v>0.33783999999999997</v>
      </c>
      <c r="CT86" s="30">
        <v>0</v>
      </c>
      <c r="CU86" s="30">
        <v>1</v>
      </c>
      <c r="CV86" s="112"/>
      <c r="CW86" s="30">
        <f t="shared" si="185"/>
        <v>0.86991290563482471</v>
      </c>
      <c r="CX86" s="30">
        <f t="shared" si="186"/>
        <v>-19.436015416388123</v>
      </c>
      <c r="CY86" s="30">
        <f t="shared" si="187"/>
        <v>-0.31183019038763987</v>
      </c>
      <c r="CZ86" s="30">
        <f t="shared" si="188"/>
        <v>8.1166014918663549</v>
      </c>
      <c r="DA86" s="112"/>
      <c r="DB86" s="30">
        <f t="shared" si="189"/>
        <v>-0.46562487995230717</v>
      </c>
      <c r="DC86" s="30">
        <f t="shared" si="190"/>
        <v>4.0204227160666512</v>
      </c>
      <c r="DD86" s="30">
        <f t="shared" si="191"/>
        <v>-0.22279926109790762</v>
      </c>
      <c r="DE86" s="30">
        <f t="shared" si="192"/>
        <v>-0.22389866617476706</v>
      </c>
      <c r="DF86" s="30">
        <f>AZ86^2*Vlength</f>
        <v>1.4861026748361075E-5</v>
      </c>
      <c r="DG86" s="112"/>
      <c r="DH86" s="112"/>
      <c r="DI86" s="112"/>
      <c r="DJ86" s="112"/>
      <c r="DK86" s="112"/>
      <c r="DL86" s="36"/>
      <c r="DM86" s="36"/>
      <c r="DN86" s="356"/>
      <c r="DO86" s="356"/>
      <c r="DP86" s="425"/>
      <c r="DQ86" s="425"/>
      <c r="DR86" s="425"/>
      <c r="DS86" s="425"/>
      <c r="DT86" s="425"/>
      <c r="DU86" s="425"/>
      <c r="DV86" s="425"/>
      <c r="DW86" s="425"/>
      <c r="DX86" s="425"/>
      <c r="DY86" s="425"/>
      <c r="DZ86" s="425"/>
      <c r="EA86" s="425"/>
      <c r="EB86" s="112">
        <f>E86*(1/AQ86+1/AQ85)/2</f>
        <v>0.85239851550643075</v>
      </c>
      <c r="EC86" s="112">
        <f>E86*(1/AR86+1/AR85)/2</f>
        <v>21.002732659309189</v>
      </c>
      <c r="ED86" s="112">
        <f>E86*(AS86+AS85)/2</f>
        <v>4.7336027691417489E-2</v>
      </c>
      <c r="EE86" s="238">
        <f>(X86*AD86*AD86+2*W86*AD86*AE86+V86*AE86*AE86)*CH86</f>
        <v>9.1715400055164932E-4</v>
      </c>
      <c r="EF86" s="112">
        <f>SQRT(VaveBetax/VaveBetaz*T_Coupling)</f>
        <v>0.24594087672085649</v>
      </c>
      <c r="EG86" s="112">
        <f>IF(EF86&lt;=1,EF86^(0.021-0.044*LN(EF86)),EF86^(-0.021-0.044*LN(EF86)))/(VaveBetax*VaveBetaz)^(1/4)</f>
        <v>0.21478973100916063</v>
      </c>
      <c r="EH86" s="239">
        <f t="shared" si="193"/>
        <v>4.5096575290218419E-2</v>
      </c>
      <c r="EI86" s="239" t="e">
        <f t="shared" si="193"/>
        <v>#DIV/0!</v>
      </c>
      <c r="EJ86" s="239" t="e">
        <f t="shared" si="193"/>
        <v>#DIV/0!</v>
      </c>
      <c r="EK86" s="239" t="e">
        <f t="shared" si="193"/>
        <v>#DIV/0!</v>
      </c>
      <c r="EL86" s="239" t="e">
        <f t="shared" si="193"/>
        <v>#DIV/0!</v>
      </c>
      <c r="EM86" s="239" t="e">
        <f t="shared" si="193"/>
        <v>#DIV/0!</v>
      </c>
      <c r="EN86" s="239" t="e">
        <f t="shared" si="193"/>
        <v>#DIV/0!</v>
      </c>
      <c r="EO86" s="239" t="e">
        <f t="shared" si="193"/>
        <v>#DIV/0!</v>
      </c>
      <c r="EP86" s="239" t="e">
        <f t="shared" si="193"/>
        <v>#DIV/0!</v>
      </c>
      <c r="EQ86" s="239" t="e">
        <f t="shared" si="193"/>
        <v>#DIV/0!</v>
      </c>
      <c r="ER86" s="239" t="e">
        <f t="shared" si="193"/>
        <v>#DIV/0!</v>
      </c>
      <c r="ES86" s="239" t="e">
        <f t="shared" si="193"/>
        <v>#DIV/0!</v>
      </c>
      <c r="ET86" s="239" t="e">
        <f t="shared" si="193"/>
        <v>#DIV/0!</v>
      </c>
      <c r="EU86" s="112">
        <f>Vlength*VaveBetaz</f>
        <v>2.3608899478492331</v>
      </c>
      <c r="EW86" s="30"/>
      <c r="EX86" s="30"/>
      <c r="EY86" s="30"/>
      <c r="EZ86" s="30"/>
      <c r="FA86" s="30"/>
      <c r="FB86" s="30"/>
    </row>
    <row r="87" spans="1:229" s="54" customFormat="1" ht="15.75" customHeight="1" outlineLevel="1">
      <c r="A87" s="51"/>
      <c r="B87" s="51"/>
      <c r="C87" s="52" t="s">
        <v>1012</v>
      </c>
      <c r="D87" s="53" t="s">
        <v>1125</v>
      </c>
      <c r="E87" s="397">
        <v>2.20851</v>
      </c>
      <c r="F87" s="54">
        <v>0</v>
      </c>
      <c r="G87" s="399"/>
      <c r="H87" s="399"/>
      <c r="I87" s="548"/>
      <c r="K87" s="398"/>
      <c r="L87" s="398"/>
      <c r="M87" s="509"/>
      <c r="N87" s="528"/>
      <c r="O87" s="430"/>
      <c r="P87" s="465"/>
      <c r="Q87" s="465"/>
      <c r="R87" s="56">
        <f t="shared" ref="R87:U87" si="194">R86</f>
        <v>22.467569195212608</v>
      </c>
      <c r="S87" s="56">
        <f t="shared" si="194"/>
        <v>-1.7132129321375005</v>
      </c>
      <c r="T87" s="56">
        <f t="shared" si="194"/>
        <v>22.345834901098055</v>
      </c>
      <c r="U87" s="56">
        <f t="shared" si="194"/>
        <v>-0.19891243094979075</v>
      </c>
      <c r="V87" s="57">
        <f t="shared" si="177"/>
        <v>37.332154177648384</v>
      </c>
      <c r="W87" s="57">
        <f t="shared" si="178"/>
        <v>14.018354834654801</v>
      </c>
      <c r="X87" s="57">
        <f t="shared" si="179"/>
        <v>5.2907279695246183</v>
      </c>
      <c r="Y87" s="57">
        <f t="shared" si="180"/>
        <v>5.7165591066919212</v>
      </c>
      <c r="Z87" s="57">
        <f t="shared" si="181"/>
        <v>6.950660550104474</v>
      </c>
      <c r="AA87" s="57">
        <f t="shared" si="182"/>
        <v>9.4737810711134268E-2</v>
      </c>
      <c r="AB87" s="57">
        <f t="shared" si="183"/>
        <v>0.14516249865822795</v>
      </c>
      <c r="AC87" s="57">
        <f t="shared" si="184"/>
        <v>1.8552171011242091</v>
      </c>
      <c r="AD87" s="56">
        <f>AD86</f>
        <v>4.0190540914654509E-2</v>
      </c>
      <c r="AE87" s="57">
        <f>AD86*$CM87+AE86</f>
        <v>-6.6323719474754902E-3</v>
      </c>
      <c r="AF87" s="58">
        <f t="shared" ref="AF87:AG87" si="195">AF86</f>
        <v>2.714758467178694E-3</v>
      </c>
      <c r="AG87" s="57">
        <f t="shared" si="195"/>
        <v>-7.7128222339973698E-2</v>
      </c>
      <c r="AH87" s="57">
        <f>AG86*$CM87+AH86</f>
        <v>3.5421875144118237E-2</v>
      </c>
      <c r="AI87" s="57">
        <f>AI86*$CK87+AJ86*$CL87+0.001*(1-$CK87)*$K87</f>
        <v>0</v>
      </c>
      <c r="AJ87" s="57">
        <f>AI86*$CM87+AJ86*$CN87-0.001*$CM87*$K87</f>
        <v>0</v>
      </c>
      <c r="AK87" s="57">
        <f>AK86*$CK87+AL86*$CL87+0.001*(1-$CK87)*$K87</f>
        <v>0</v>
      </c>
      <c r="AL87" s="57">
        <f>AK86*$CM87+AL86*$CN87-0.001*$CM87*$K87</f>
        <v>0</v>
      </c>
      <c r="AM87" s="57">
        <f>AM86*$CR87+AN86*$CS87+0.001*(1-$CR87)*$L87</f>
        <v>0</v>
      </c>
      <c r="AN87" s="57">
        <f>AM86*$CT87+AN86*$CU87-0.001*$CT87*$L87</f>
        <v>0</v>
      </c>
      <c r="AO87" s="57">
        <f>AO86*$CR87+AP86*$CS87+0.001*(1-$CR87)*$L87</f>
        <v>0</v>
      </c>
      <c r="AP87" s="57">
        <f>AO86*$CT87+AP86*$CU87-0.001*$CT87*$L87</f>
        <v>0</v>
      </c>
      <c r="AQ87" s="56">
        <f t="shared" si="103"/>
        <v>0.37416542122612367</v>
      </c>
      <c r="AR87" s="56">
        <f t="shared" si="104"/>
        <v>1.6039306530958211E-2</v>
      </c>
      <c r="AS87" s="56">
        <f t="shared" si="105"/>
        <v>0.14011374523862624</v>
      </c>
      <c r="AT87" s="56">
        <f t="shared" si="106"/>
        <v>2.3179270581109453E-3</v>
      </c>
      <c r="AU87" s="56">
        <f t="shared" si="107"/>
        <v>9.3575281477219896</v>
      </c>
      <c r="AV87" s="59">
        <f t="shared" si="166"/>
        <v>3.7012216628845733</v>
      </c>
      <c r="AW87" s="59">
        <f t="shared" si="166"/>
        <v>3.7012216628845733E-2</v>
      </c>
      <c r="AX87" s="59">
        <f t="shared" si="166"/>
        <v>1.0629909222129516E-3</v>
      </c>
      <c r="AY87" s="55">
        <f>AD87</f>
        <v>4.0190540914654509E-2</v>
      </c>
      <c r="AZ87" s="55">
        <f>0.5*(AE86+AE87)</f>
        <v>-6.6323719474754902E-3</v>
      </c>
      <c r="BA87" s="430">
        <f>V87</f>
        <v>37.332154177648384</v>
      </c>
      <c r="BB87" s="55">
        <f t="shared" si="108"/>
        <v>5.7165591066919212</v>
      </c>
      <c r="BC87" s="442">
        <f>VaveBetax*AY87</f>
        <v>1.5003994699089676</v>
      </c>
      <c r="BD87" s="442"/>
      <c r="BE87" s="442"/>
      <c r="BF87" s="430">
        <f>Z87</f>
        <v>6.950660550104474</v>
      </c>
      <c r="BG87" s="442">
        <f t="shared" si="109"/>
        <v>1.8552171011242091</v>
      </c>
      <c r="BH87" s="442">
        <f>VaveBetaz*AY87</f>
        <v>0.27935080722284888</v>
      </c>
      <c r="BI87" s="442"/>
      <c r="BJ87" s="442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>
        <f>AY87^2*VaveBetaz*VHl^2</f>
        <v>5.4761145233105185E-2</v>
      </c>
      <c r="CB87" s="57"/>
      <c r="CC87" s="57">
        <f>VaveBetax*VaveBetaz*VKl^2</f>
        <v>0</v>
      </c>
      <c r="CD87" s="57">
        <f>(VaveBetax*VKl)^2</f>
        <v>0</v>
      </c>
      <c r="CE87" s="57">
        <f>(VaveBetaz*VKl)^2</f>
        <v>0</v>
      </c>
      <c r="CF87" s="56">
        <f>-0.001*$E87*$K87</f>
        <v>0</v>
      </c>
      <c r="CG87" s="56">
        <f>$E87</f>
        <v>2.20851</v>
      </c>
      <c r="CH87" s="57"/>
      <c r="CI87" s="60"/>
      <c r="CJ87" s="57"/>
      <c r="CK87" s="61">
        <v>1</v>
      </c>
      <c r="CL87" s="61">
        <v>0</v>
      </c>
      <c r="CM87" s="56">
        <f>-VKl</f>
        <v>0</v>
      </c>
      <c r="CN87" s="61">
        <v>1</v>
      </c>
      <c r="CO87" s="57"/>
      <c r="CP87" s="57"/>
      <c r="CQ87" s="57"/>
      <c r="CR87" s="61">
        <v>1</v>
      </c>
      <c r="CS87" s="61">
        <v>0</v>
      </c>
      <c r="CT87" s="61">
        <f>VKl</f>
        <v>0</v>
      </c>
      <c r="CU87" s="61">
        <v>1</v>
      </c>
      <c r="CV87" s="57"/>
      <c r="CW87" s="61">
        <f t="shared" si="185"/>
        <v>0.86991290563482471</v>
      </c>
      <c r="CX87" s="61">
        <f t="shared" si="186"/>
        <v>-19.436015416388123</v>
      </c>
      <c r="CY87" s="61">
        <f t="shared" si="187"/>
        <v>-0.31183019038763987</v>
      </c>
      <c r="CZ87" s="61">
        <f t="shared" si="188"/>
        <v>8.1166014918663549</v>
      </c>
      <c r="DA87" s="57"/>
      <c r="DB87" s="61">
        <f t="shared" si="189"/>
        <v>-0.46562487995230717</v>
      </c>
      <c r="DC87" s="61">
        <f t="shared" si="190"/>
        <v>4.0204227160666512</v>
      </c>
      <c r="DD87" s="61">
        <f t="shared" si="191"/>
        <v>-0.22279926109790762</v>
      </c>
      <c r="DE87" s="61">
        <f t="shared" si="192"/>
        <v>-0.22389866617476706</v>
      </c>
      <c r="DF87" s="61"/>
      <c r="DG87" s="57"/>
      <c r="DH87" s="57"/>
      <c r="DI87" s="57"/>
      <c r="DJ87" s="57"/>
      <c r="DK87" s="57"/>
      <c r="DL87" s="62"/>
      <c r="DM87" s="62"/>
      <c r="DN87" s="55">
        <f>-VaveBetax*VKl+2*VHl*$BC87</f>
        <v>6.6272944665773075</v>
      </c>
      <c r="DO87" s="55">
        <f>VaveBetaz*VKl-2*VHl*$BH87</f>
        <v>-1.233898102519468</v>
      </c>
      <c r="DP87" s="430" t="str">
        <f>IMPRODUCT(1/8*V87*(-CM87+2*VHl*AD87),COMPLEX(COS(2*VmidMux),SIN(2*VmidMux)))</f>
        <v>0.351011375387918-0.750371333751416i</v>
      </c>
      <c r="DQ87" s="430" t="str">
        <f>IMPRODUCT(-1/8*Z87*(-CM87+2*VHl*AD87),COMPLEX(COS(2*VmidMuz),SIN(2*VmidMuz)))</f>
        <v>0.129948834309414+0.0830808865038609i</v>
      </c>
      <c r="DR87" s="430" t="str">
        <f>IMPRODUCT(1/2*SQRT(V87)*AD87*(-CM87+2*VHl*AD87),COMPLEX(COS(Y87),SIN(Y87)))</f>
        <v>0.0183901507790212-0.0117001617049236i</v>
      </c>
      <c r="DS87" s="430" t="str">
        <f>IMPRODUCT(-1/8*VHl*V87^(3/2),COMPLEX(COS(Y87),SIN(Y87)))</f>
        <v>-53.1288788294727+33.8015974406931i</v>
      </c>
      <c r="DT87" s="430" t="str">
        <f>IMPRODUCT(-1/24*VHl*V87^(3/2),COMPLEX(COS(3*Y87),SIN(3*Y87)))</f>
        <v>2.70192065358984+20.8153852774945i</v>
      </c>
      <c r="DU87" s="430" t="str">
        <f>IMPRODUCT(1/4*VHl*V87^(1/2)*Z87,COMPLEX(COS(Y87),SIN(Y87)))</f>
        <v>19.783524968532-12.5866527146298i</v>
      </c>
      <c r="DV87" s="430" t="str">
        <f>IMPRODUCT(1/8*VHl*V87^(1/2)*Z87,COMPLEX(COS(Y87-2*AC87),SIN(Y87-2*AC87)))</f>
        <v>-4.94412217485416+10.6305492616761i</v>
      </c>
      <c r="DW87" s="430" t="str">
        <f>IMPRODUCT(1/8*VHl*V87^(1/2)*Z87,COMPLEX(COS(Y87+2*AC87),SIN(Y87+2*AC87)))</f>
        <v>-11.7240030321953-0.0259727911631883i</v>
      </c>
      <c r="DX87" s="430"/>
      <c r="DY87" s="430"/>
      <c r="DZ87" s="430"/>
      <c r="EA87" s="430"/>
      <c r="EB87" s="57"/>
      <c r="EC87" s="57"/>
      <c r="ED87" s="57"/>
      <c r="EE87" s="58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W87" s="61" t="str">
        <f>IMPRODUCT(VKl*VaveBetax^(ABS(EW$5)/2)*VaveBetaz^(ABS(EW$6)/2),COMPLEX(COS(EW$5*VmidMux+EW$6*VmidMuz+EW$23*$R87),SIN(EW$5*VmidMux+EW$6*VmidMuz+EW$23*$R87)))</f>
        <v>0</v>
      </c>
      <c r="EX87" s="61" t="str">
        <f>IMPRODUCT(VKl*VaveBetax^(ABS(EX$5)/2)*VaveBetaz^(ABS(EX$6)/2),COMPLEX(COS(EX$5*VmidMux+EX$6*VmidMuz+EX$23*$R87),SIN(EX$5*VmidMux+EX$6*VmidMuz+EX$23*$R87)))</f>
        <v>0</v>
      </c>
      <c r="EY87" s="61" t="str">
        <f t="shared" ref="EY87:FA87" si="196">IMPRODUCT(VHl*VaveBetax^(ABS(EY$5)/2)*VaveBetaz^(ABS(EY$6)/2),COMPLEX(COS(EY$5*VmidMux+EY$6*VmidMuz+EY$23*$R87),SIN(EY$5*VmidMux+EY$6*VmidMuz+EY$23*$R87)))</f>
        <v>89.7827780648281-495.694967794719i</v>
      </c>
      <c r="EZ87" s="61" t="str">
        <f t="shared" si="196"/>
        <v>-35.2702534667981-86.907975515573i</v>
      </c>
      <c r="FA87" s="61" t="str">
        <f t="shared" si="196"/>
        <v>92.9142881771213+12.8032043007392i</v>
      </c>
      <c r="FB87" s="61"/>
    </row>
    <row r="88" spans="1:229" s="7" customFormat="1" ht="15.75" customHeight="1" outlineLevel="1">
      <c r="A88" s="31"/>
      <c r="B88" s="31"/>
      <c r="C88" s="37"/>
      <c r="D88" s="25" t="s">
        <v>567</v>
      </c>
      <c r="E88" s="395">
        <v>0.332895</v>
      </c>
      <c r="F88" s="396"/>
      <c r="G88" s="396"/>
      <c r="H88" s="396"/>
      <c r="I88" s="540"/>
      <c r="K88" s="396"/>
      <c r="L88" s="396"/>
      <c r="M88" s="396"/>
      <c r="N88" s="525"/>
      <c r="O88" s="36"/>
      <c r="P88" s="458"/>
      <c r="Q88" s="458"/>
      <c r="R88" s="101">
        <f>R87+Vlength</f>
        <v>22.800464195212609</v>
      </c>
      <c r="S88" s="101">
        <f>S87+U87*Vlength/SQRT(1+(U87)^2)</f>
        <v>-1.7781575448506519</v>
      </c>
      <c r="T88" s="101">
        <f>T87+Vlength/SQRT(1+(U87)^2)</f>
        <v>22.672333413046484</v>
      </c>
      <c r="U88" s="101">
        <f>U87</f>
        <v>-0.19891243094979075</v>
      </c>
      <c r="V88" s="112">
        <f t="shared" si="177"/>
        <v>28.585187323819547</v>
      </c>
      <c r="W88" s="112">
        <f t="shared" si="178"/>
        <v>12.257097947239902</v>
      </c>
      <c r="X88" s="112">
        <f t="shared" si="179"/>
        <v>5.2907279695246174</v>
      </c>
      <c r="Y88" s="112">
        <f t="shared" si="180"/>
        <v>5.7267497767910589</v>
      </c>
      <c r="Z88" s="112">
        <f t="shared" si="181"/>
        <v>6.9036718378117055</v>
      </c>
      <c r="AA88" s="112">
        <f t="shared" si="182"/>
        <v>4.6413940720303477E-2</v>
      </c>
      <c r="AB88" s="112">
        <f t="shared" si="183"/>
        <v>0.14516249865822795</v>
      </c>
      <c r="AC88" s="112">
        <f t="shared" si="184"/>
        <v>1.9032923419127821</v>
      </c>
      <c r="AD88" s="101">
        <f>AD87+AE87*$CL88</f>
        <v>3.7982657455199659E-2</v>
      </c>
      <c r="AE88" s="112">
        <f>AE87</f>
        <v>-6.6323719474754902E-3</v>
      </c>
      <c r="AF88" s="238">
        <f>AF87</f>
        <v>2.714758467178694E-3</v>
      </c>
      <c r="AG88" s="112">
        <f>AG87+AH87*$CL88</f>
        <v>-6.5336457213872462E-2</v>
      </c>
      <c r="AH88" s="112">
        <f>AH87</f>
        <v>3.5421875144118237E-2</v>
      </c>
      <c r="AI88" s="112">
        <f>AI87+AJ87*$CL88</f>
        <v>0</v>
      </c>
      <c r="AJ88" s="112">
        <f>AJ87</f>
        <v>0</v>
      </c>
      <c r="AK88" s="112">
        <f>AK87+AL87*$CL88</f>
        <v>0</v>
      </c>
      <c r="AL88" s="112">
        <f>AL87</f>
        <v>0</v>
      </c>
      <c r="AM88" s="112">
        <f>AM87+AN87*$CS88</f>
        <v>0</v>
      </c>
      <c r="AN88" s="112">
        <f>AN87</f>
        <v>0</v>
      </c>
      <c r="AO88" s="112">
        <f>AO87+AP87*$CS88</f>
        <v>0</v>
      </c>
      <c r="AP88" s="112">
        <f>AP87</f>
        <v>0</v>
      </c>
      <c r="AQ88" s="101">
        <f t="shared" si="103"/>
        <v>0.32776557622293451</v>
      </c>
      <c r="AR88" s="101">
        <f t="shared" si="104"/>
        <v>1.5984999142807245E-2</v>
      </c>
      <c r="AS88" s="101">
        <f t="shared" si="105"/>
        <v>0.14011374523862624</v>
      </c>
      <c r="AT88" s="101">
        <f t="shared" si="106"/>
        <v>2.3179270581109453E-3</v>
      </c>
      <c r="AU88" s="101">
        <f t="shared" si="107"/>
        <v>8.7582498834712972</v>
      </c>
      <c r="AV88" s="239">
        <f t="shared" si="166"/>
        <v>3.7012216628845733</v>
      </c>
      <c r="AW88" s="239">
        <f t="shared" si="166"/>
        <v>3.7012216628845733E-2</v>
      </c>
      <c r="AX88" s="239">
        <f t="shared" si="166"/>
        <v>1.0629909222129516E-3</v>
      </c>
      <c r="AY88" s="434">
        <f>0.5*(AD87+AD88)</f>
        <v>3.9086599184927087E-2</v>
      </c>
      <c r="AZ88" s="356">
        <f>0.5*(AE87+AE88)</f>
        <v>-6.6323719474754902E-3</v>
      </c>
      <c r="BA88" s="425">
        <f>0.5*(V88+V87)-X87*Vlength*Vlength/6</f>
        <v>32.860951815477968</v>
      </c>
      <c r="BB88" s="356">
        <f t="shared" si="108"/>
        <v>5.7216544417414905</v>
      </c>
      <c r="BC88" s="434"/>
      <c r="BD88" s="434"/>
      <c r="BE88" s="434"/>
      <c r="BF88" s="425">
        <f>0.5*(Z88+Z87)-AB87*Vlength*Vlength/6</f>
        <v>6.9244850648413241</v>
      </c>
      <c r="BG88" s="434">
        <f t="shared" si="109"/>
        <v>1.8792547215184956</v>
      </c>
      <c r="BH88" s="434"/>
      <c r="BI88" s="434"/>
      <c r="BJ88" s="434"/>
      <c r="BK88" s="239"/>
      <c r="BL88" s="239"/>
      <c r="BM88" s="239"/>
      <c r="BN88" s="239"/>
      <c r="BO88" s="239"/>
      <c r="BP88" s="239"/>
      <c r="BQ88" s="239"/>
      <c r="BR88" s="239"/>
      <c r="BS88" s="239"/>
      <c r="BT88" s="239"/>
      <c r="BU88" s="239"/>
      <c r="BV88" s="239"/>
      <c r="BW88" s="239"/>
      <c r="BX88" s="239"/>
      <c r="BY88" s="239"/>
      <c r="BZ88" s="239"/>
      <c r="CA88" s="239"/>
      <c r="CB88" s="239"/>
      <c r="CC88" s="239"/>
      <c r="CD88" s="239"/>
      <c r="CE88" s="239"/>
      <c r="CF88" s="101"/>
      <c r="CG88" s="101"/>
      <c r="CH88" s="112">
        <f>E88</f>
        <v>0.332895</v>
      </c>
      <c r="CI88" s="240"/>
      <c r="CJ88" s="112"/>
      <c r="CK88" s="30">
        <v>1</v>
      </c>
      <c r="CL88" s="30">
        <f>E88</f>
        <v>0.332895</v>
      </c>
      <c r="CM88" s="30">
        <v>0</v>
      </c>
      <c r="CN88" s="30">
        <v>1</v>
      </c>
      <c r="CO88" s="112"/>
      <c r="CP88" s="112"/>
      <c r="CQ88" s="112"/>
      <c r="CR88" s="30">
        <v>1</v>
      </c>
      <c r="CS88" s="30">
        <f>CL88</f>
        <v>0.332895</v>
      </c>
      <c r="CT88" s="30">
        <v>0</v>
      </c>
      <c r="CU88" s="30">
        <v>1</v>
      </c>
      <c r="CV88" s="112"/>
      <c r="CW88" s="30">
        <f t="shared" si="185"/>
        <v>0.76610619440573136</v>
      </c>
      <c r="CX88" s="30">
        <f t="shared" si="186"/>
        <v>-16.734039362753272</v>
      </c>
      <c r="CY88" s="30">
        <f t="shared" si="187"/>
        <v>-0.31183019038763987</v>
      </c>
      <c r="CZ88" s="30">
        <f t="shared" si="188"/>
        <v>8.1166014918663549</v>
      </c>
      <c r="DA88" s="112"/>
      <c r="DB88" s="30">
        <f t="shared" si="189"/>
        <v>-0.53979363997549512</v>
      </c>
      <c r="DC88" s="30">
        <f t="shared" si="190"/>
        <v>3.9458879695904021</v>
      </c>
      <c r="DD88" s="30">
        <f t="shared" si="191"/>
        <v>-0.22279926109790762</v>
      </c>
      <c r="DE88" s="30">
        <f t="shared" si="192"/>
        <v>-0.22389866617476706</v>
      </c>
      <c r="DF88" s="30">
        <f>AZ88^2*Vlength</f>
        <v>1.4643504319783509E-5</v>
      </c>
      <c r="DG88" s="112"/>
      <c r="DH88" s="112"/>
      <c r="DI88" s="112"/>
      <c r="DJ88" s="112"/>
      <c r="DK88" s="112"/>
      <c r="DL88" s="36"/>
      <c r="DM88" s="36"/>
      <c r="DN88" s="356"/>
      <c r="DO88" s="356"/>
      <c r="DP88" s="425"/>
      <c r="DQ88" s="425"/>
      <c r="DR88" s="425"/>
      <c r="DS88" s="425"/>
      <c r="DT88" s="425"/>
      <c r="DU88" s="425"/>
      <c r="DV88" s="425"/>
      <c r="DW88" s="425"/>
      <c r="DX88" s="425"/>
      <c r="DY88" s="425"/>
      <c r="DZ88" s="425"/>
      <c r="EA88" s="425"/>
      <c r="EB88" s="112">
        <f>E88*(1/AQ88+1/AQ87)/2</f>
        <v>0.9526748690785628</v>
      </c>
      <c r="EC88" s="112">
        <f>E88*(1/AR88+1/AR87)/2</f>
        <v>20.790206084890222</v>
      </c>
      <c r="ED88" s="112">
        <f>E88*(AS88+AS87)/2</f>
        <v>4.6643165221212479E-2</v>
      </c>
      <c r="EE88" s="238">
        <f>(X88*AD88*AD88+2*W88*AD88*AE88+V88*AE88*AE88)*CH88</f>
        <v>9.0372951993145123E-4</v>
      </c>
      <c r="EF88" s="112">
        <f>SQRT(VaveBetax/VaveBetaz*T_Coupling)</f>
        <v>0.21784436368085566</v>
      </c>
      <c r="EG88" s="112">
        <f>IF(EF88&lt;=1,EF88^(0.021-0.044*LN(EF88)),EF88^(-0.021-0.044*LN(EF88)))/(VaveBetax*VaveBetaz)^(1/4)</f>
        <v>0.22514051397515839</v>
      </c>
      <c r="EH88" s="239">
        <f t="shared" ref="EH88:ET90" si="197">$EG88*Vlength/SQRT(1+EH$7*EH$7/EH$8*1000000000/Vlength*$EE88)</f>
        <v>4.6577900087556544E-2</v>
      </c>
      <c r="EI88" s="239" t="e">
        <f t="shared" si="197"/>
        <v>#DIV/0!</v>
      </c>
      <c r="EJ88" s="239" t="e">
        <f t="shared" si="197"/>
        <v>#DIV/0!</v>
      </c>
      <c r="EK88" s="239" t="e">
        <f t="shared" si="197"/>
        <v>#DIV/0!</v>
      </c>
      <c r="EL88" s="239" t="e">
        <f t="shared" si="197"/>
        <v>#DIV/0!</v>
      </c>
      <c r="EM88" s="239" t="e">
        <f t="shared" si="197"/>
        <v>#DIV/0!</v>
      </c>
      <c r="EN88" s="239" t="e">
        <f t="shared" si="197"/>
        <v>#DIV/0!</v>
      </c>
      <c r="EO88" s="239" t="e">
        <f t="shared" si="197"/>
        <v>#DIV/0!</v>
      </c>
      <c r="EP88" s="239" t="e">
        <f t="shared" si="197"/>
        <v>#DIV/0!</v>
      </c>
      <c r="EQ88" s="239" t="e">
        <f t="shared" si="197"/>
        <v>#DIV/0!</v>
      </c>
      <c r="ER88" s="239" t="e">
        <f t="shared" si="197"/>
        <v>#DIV/0!</v>
      </c>
      <c r="ES88" s="239" t="e">
        <f t="shared" si="197"/>
        <v>#DIV/0!</v>
      </c>
      <c r="ET88" s="239" t="e">
        <f t="shared" si="197"/>
        <v>#DIV/0!</v>
      </c>
      <c r="EU88" s="112">
        <f>Vlength*VaveBetaz</f>
        <v>2.3051264556603526</v>
      </c>
      <c r="EW88" s="30"/>
      <c r="EX88" s="30"/>
      <c r="EY88" s="30"/>
      <c r="EZ88" s="30"/>
      <c r="FA88" s="30"/>
      <c r="FB88" s="30"/>
    </row>
    <row r="89" spans="1:229" s="42" customFormat="1" ht="15.75" customHeight="1" outlineLevel="1">
      <c r="A89" s="39"/>
      <c r="B89" s="39"/>
      <c r="C89" s="40" t="s">
        <v>513</v>
      </c>
      <c r="D89" s="41" t="s">
        <v>670</v>
      </c>
      <c r="E89" s="392">
        <v>0.43420999999999998</v>
      </c>
      <c r="F89" s="393">
        <v>-0.41251799</v>
      </c>
      <c r="G89" s="392"/>
      <c r="H89" s="507"/>
      <c r="I89" s="541"/>
      <c r="J89" s="536"/>
      <c r="K89" s="394"/>
      <c r="L89" s="394"/>
      <c r="M89" s="507"/>
      <c r="N89" s="527"/>
      <c r="O89" s="429">
        <f>T_Energy/0.2998*F89</f>
        <v>-8.3109028005336896</v>
      </c>
      <c r="P89" s="459">
        <f>2*T_Energy/0.2998*G89</f>
        <v>0</v>
      </c>
      <c r="Q89" s="459">
        <f>O89*Vlength</f>
        <v>-3.608677105019733</v>
      </c>
      <c r="R89" s="44">
        <f>R88+Vlength</f>
        <v>23.234674195212609</v>
      </c>
      <c r="S89" s="44">
        <f>S88+U88*Vlength/SQRT(1+(U88)^2)</f>
        <v>-1.8628677396152999</v>
      </c>
      <c r="T89" s="44">
        <f>T88+Vlength/SQRT(1+(U88)^2)</f>
        <v>23.09820018447029</v>
      </c>
      <c r="U89" s="44">
        <f>U88</f>
        <v>-0.19891243094979075</v>
      </c>
      <c r="V89" s="45">
        <f t="shared" si="177"/>
        <v>20.685418261833895</v>
      </c>
      <c r="W89" s="45">
        <f t="shared" si="178"/>
        <v>6.4055714019082224</v>
      </c>
      <c r="X89" s="45">
        <f t="shared" si="179"/>
        <v>2.03193111461011</v>
      </c>
      <c r="Y89" s="45">
        <f t="shared" si="180"/>
        <v>5.7448396650896756</v>
      </c>
      <c r="Z89" s="45">
        <f t="shared" si="181"/>
        <v>6.3689295779958925</v>
      </c>
      <c r="AA89" s="45">
        <f t="shared" si="182"/>
        <v>1.1530208220169178</v>
      </c>
      <c r="AB89" s="45">
        <f t="shared" si="183"/>
        <v>0.36575330084550534</v>
      </c>
      <c r="AC89" s="45">
        <f t="shared" si="184"/>
        <v>1.967974598286365</v>
      </c>
      <c r="AD89" s="44">
        <f>AD88*$CK89+AE88*$CL89</f>
        <v>3.6551996868814891E-2</v>
      </c>
      <c r="AE89" s="45">
        <f>AD88*$CM89+AE88*$CN89</f>
        <v>-5.1174342541315809E-17</v>
      </c>
      <c r="AF89" s="46">
        <f>AF88</f>
        <v>2.714758467178694E-3</v>
      </c>
      <c r="AG89" s="45">
        <f>AG88*$CK89+AH88*$CL89</f>
        <v>-5.2313073268971999E-2</v>
      </c>
      <c r="AH89" s="45">
        <f>AG88*$CM89+AH88*$CN89</f>
        <v>2.4952980471098091E-2</v>
      </c>
      <c r="AI89" s="45">
        <f>AI88*$CK89+AJ88*$CL89+0.001*(1-$CK89)*$K89</f>
        <v>0</v>
      </c>
      <c r="AJ89" s="45">
        <f>AI88*$CM89+AJ88*$CN89-0.001*$CM89*$K89</f>
        <v>0</v>
      </c>
      <c r="AK89" s="45">
        <f>AK88*$CK89+AL88*$CL89+0.001*(1-$CK89)*$K89</f>
        <v>0</v>
      </c>
      <c r="AL89" s="45">
        <f>AK88*$CM89+AL88*$CN89-0.001*$CM89*$K89</f>
        <v>0</v>
      </c>
      <c r="AM89" s="45">
        <f>AM88*$CR89+AN88*$CS89+0.001*(1-$CR89)*$L89</f>
        <v>0</v>
      </c>
      <c r="AN89" s="45">
        <f>AM88*$CT89+AN88*$CU89-0.001*$CT89*$L89</f>
        <v>0</v>
      </c>
      <c r="AO89" s="45">
        <f>AO88*$CR89+AP88*$CS89+0.001*(1-$CR89)*$L89</f>
        <v>0</v>
      </c>
      <c r="AP89" s="45">
        <f>AO88*$CT89+AP88*$CU89-0.001*$CT89*$L89</f>
        <v>0</v>
      </c>
      <c r="AQ89" s="44">
        <f t="shared" si="103"/>
        <v>0.27941185685488512</v>
      </c>
      <c r="AR89" s="44">
        <f t="shared" si="104"/>
        <v>1.5353442650905595E-2</v>
      </c>
      <c r="AS89" s="44">
        <f t="shared" si="105"/>
        <v>8.672155129426673E-2</v>
      </c>
      <c r="AT89" s="44">
        <f t="shared" si="106"/>
        <v>3.679312490616858E-3</v>
      </c>
      <c r="AU89" s="44">
        <f t="shared" ref="AU89:AU120" si="198">SQRT((V89*AV89*0.000000001+AD89*AD89*AX89^2)*(X89*AV89*0.000000001+AE89*AE89*AX89^2)-(W89*AV89*0.000000001+AD89*AE89*AX89^2)^2)*1000000000</f>
        <v>5.005266148056692</v>
      </c>
      <c r="AV89" s="47">
        <f t="shared" si="166"/>
        <v>3.7012216628845733</v>
      </c>
      <c r="AW89" s="47">
        <f t="shared" si="166"/>
        <v>3.7012216628845733E-2</v>
      </c>
      <c r="AX89" s="47">
        <f t="shared" si="166"/>
        <v>1.0629909222129516E-3</v>
      </c>
      <c r="AY89" s="43">
        <f>IF(VKl=0,0.5*(AD88+AD89),(AE89-AE88)/CJ89/Vlength)</f>
        <v>3.7027650819875468E-2</v>
      </c>
      <c r="AZ89" s="43">
        <f>IF(VKl=0,AE89,(AD89-AD88)/Vlength)</f>
        <v>-3.2948586775633161E-3</v>
      </c>
      <c r="BA89" s="429">
        <f>IF($CJ89=0,0.5*(V89+V88)-X88*Vlength*Vlength/6,-0.5*(($X89-$CJ89*$V89)*Vlength+($W89-$W88))/$CJ89/Vlength)</f>
        <v>24.214017110884942</v>
      </c>
      <c r="BB89" s="428">
        <f t="shared" si="108"/>
        <v>5.7357947209403672</v>
      </c>
      <c r="BC89" s="43">
        <f>IF(CJ89=0,AY89*BA89-(2*W88-X88*Vlength)*AE88*Vlength*Vlength/12,-(2*(X89-CJ89*V89)*AY89+(2*W89*AD89+V89*AE89-2*W88*AD88-V88*AE88)/Vlength)/3/CJ89)</f>
        <v>0.89754407597222963</v>
      </c>
      <c r="BD89" s="43"/>
      <c r="BE89" s="43"/>
      <c r="BF89" s="429">
        <f>IF($CQ89=0,0.5*(Z89+Z88)-AB88*Vlength*Vlength/6,-0.5*(($AB89-$CQ89*$Z89)*Vlength+$AA89-$AA88)/$CQ89/Vlength)</f>
        <v>6.7168023376800443</v>
      </c>
      <c r="BG89" s="43">
        <f t="shared" si="109"/>
        <v>1.9356334700995736</v>
      </c>
      <c r="BH89" s="43">
        <f>IF(CQ89=0,AY89*BF89-(2*AA88-AB88*Vlength)*AE88*Vlength*Vlength/12,-(2*(AB89-CQ89*Z89)*AY89+(2*AA89*AD89+Z89*AE89-2*AA88*AD88-Z88*AE88)/Vlength)/5/CQ89)</f>
        <v>0.24876754907787293</v>
      </c>
      <c r="BI89" s="43"/>
      <c r="BJ89" s="43"/>
      <c r="BK89" s="47"/>
      <c r="BL89" s="47"/>
      <c r="BM89" s="47"/>
      <c r="BN89" s="47"/>
      <c r="BO89" s="47"/>
      <c r="BP89" s="47">
        <f>VaveBetax*BR89</f>
        <v>18.811313371426536</v>
      </c>
      <c r="BQ89" s="47">
        <f>VaveBetaz*BS89</f>
        <v>1.4474733096992738</v>
      </c>
      <c r="BR89" s="47">
        <f>VaveBetax*VKl^2</f>
        <v>0.77687701653478525</v>
      </c>
      <c r="BS89" s="47">
        <f>VaveBetaz*VKl^2</f>
        <v>0.21550035819562691</v>
      </c>
      <c r="BT89" s="47">
        <f>BS89*AY89^2</f>
        <v>2.9546110349193649E-4</v>
      </c>
      <c r="BU89" s="47">
        <f>(CJ89*(V89-V88))^2</f>
        <v>10.619756941600677</v>
      </c>
      <c r="BV89" s="47">
        <f>(CQ89*(Z89-Z88))^2</f>
        <v>4.8660302009626337E-2</v>
      </c>
      <c r="BW89" s="47">
        <f>1/VaveBetax*(CJ89*Vlength^3)^2</f>
        <v>4.7099670408490492E-5</v>
      </c>
      <c r="BX89" s="47">
        <f>1/VaveBetaz*(CQ89*Vlength^3)^2</f>
        <v>1.6979392393168805E-4</v>
      </c>
      <c r="BY89" s="47">
        <f>(CJ89*VaveBetax*(Y89-Y88))^2</f>
        <v>3.2650606001242005E-2</v>
      </c>
      <c r="BZ89" s="47">
        <f>(CQ89*VaveBetaz*(AC89-AC88))^2</f>
        <v>3.2120422181244265E-2</v>
      </c>
      <c r="CA89" s="45">
        <f>AY89^2*VaveBetaz*VHl^2</f>
        <v>0</v>
      </c>
      <c r="CB89" s="47">
        <f>VaveBetax*BS89</f>
        <v>5.2181293607507442</v>
      </c>
      <c r="CC89" s="45">
        <f>VaveBetax*VaveBetaz*VHl^2</f>
        <v>0</v>
      </c>
      <c r="CD89" s="45">
        <f>(VaveBetax*VHl)^2</f>
        <v>0</v>
      </c>
      <c r="CE89" s="45">
        <f>(VaveBetaz*VHl)^2</f>
        <v>0</v>
      </c>
      <c r="CF89" s="44">
        <f>$CQ89*Vlength</f>
        <v>-0.17911943643789999</v>
      </c>
      <c r="CG89" s="44">
        <f>$G89*Vlength</f>
        <v>0</v>
      </c>
      <c r="CH89" s="45">
        <f>$E89</f>
        <v>0.43420999999999998</v>
      </c>
      <c r="CI89" s="48"/>
      <c r="CJ89" s="49">
        <f>-$CQ89</f>
        <v>0.41251799</v>
      </c>
      <c r="CK89" s="49">
        <f>IF(CJ89=0,1,IF(CJ89&gt;0,COSH(Vlength*SQRT(CJ89)),COS(Vlength*SQRT(-CJ89))))</f>
        <v>1.0391404221093417</v>
      </c>
      <c r="CL89" s="49">
        <f>IF(CJ89=0,Vlength,IF(CJ89&gt;0,SINH(Vlength*SQRT(CJ89))/SQRT(CJ89),SIN(Vlength*SQRT(-CJ89))/SQRT(-CJ89)))</f>
        <v>0.43986040817964772</v>
      </c>
      <c r="CM89" s="49">
        <f>CL89*CJ89</f>
        <v>0.18145033146284784</v>
      </c>
      <c r="CN89" s="49">
        <f>CK89</f>
        <v>1.0391404221093417</v>
      </c>
      <c r="CO89" s="45"/>
      <c r="CP89" s="45"/>
      <c r="CQ89" s="49">
        <f>$F89-0.001*$G89*$K89</f>
        <v>-0.41251799</v>
      </c>
      <c r="CR89" s="49">
        <f>IF(CQ89=0,1,IF(CQ89&gt;0,COSH(Vlength*SQRT(CQ89)),COS(Vlength*SQRT(-CQ89))))</f>
        <v>0.96136366476398927</v>
      </c>
      <c r="CS89" s="49">
        <f>IF(CQ89=0,Vlength,IF(CQ89&gt;0,SINH(Vlength*SQRT(CQ89))/SQRT(CQ89),SIN(Vlength*SQRT(-CQ89))/SQRT(-CQ89)))</f>
        <v>0.42860336766255303</v>
      </c>
      <c r="CT89" s="49">
        <f>CS89*CQ89</f>
        <v>-0.17680659973538737</v>
      </c>
      <c r="CU89" s="49">
        <f>CR89</f>
        <v>0.96136366476398927</v>
      </c>
      <c r="CV89" s="45"/>
      <c r="CW89" s="49">
        <f t="shared" si="185"/>
        <v>0.65893015940870858</v>
      </c>
      <c r="CX89" s="49">
        <f t="shared" si="186"/>
        <v>-13.818845081761902</v>
      </c>
      <c r="CY89" s="49">
        <f t="shared" si="187"/>
        <v>-0.18502513275518756</v>
      </c>
      <c r="CZ89" s="49">
        <f t="shared" si="188"/>
        <v>5.397891711267393</v>
      </c>
      <c r="DA89" s="45"/>
      <c r="DB89" s="49">
        <f t="shared" si="189"/>
        <v>-0.61443050556242707</v>
      </c>
      <c r="DC89" s="49">
        <f t="shared" si="190"/>
        <v>3.6974695968559068</v>
      </c>
      <c r="DD89" s="49">
        <f t="shared" si="191"/>
        <v>-0.11875203611293823</v>
      </c>
      <c r="DE89" s="49">
        <f t="shared" si="192"/>
        <v>-0.91290707708959373</v>
      </c>
      <c r="DF89" s="49">
        <f>AZ89^2*Vlength</f>
        <v>4.713824447697673E-6</v>
      </c>
      <c r="DG89" s="45"/>
      <c r="DH89" s="45"/>
      <c r="DI89" s="45"/>
      <c r="DJ89" s="45"/>
      <c r="DK89" s="45"/>
      <c r="DL89" s="50"/>
      <c r="DM89" s="50"/>
      <c r="DN89" s="428">
        <f>-VKl*VaveBetax+2*VHl*$BC89</f>
        <v>4.3372010987993779</v>
      </c>
      <c r="DO89" s="428">
        <f>VaveBetaz*VKl-2*VHl*$BH89</f>
        <v>-1.2031098493900187</v>
      </c>
      <c r="DP89" s="43" t="str">
        <f>IMPRODUCT(-1/8*(VaveBetax*VKl-2*$BC89*VHl),COMPLEX(COS(2*VmidMux),SIN(2*VmidMux)))</f>
        <v>0.248435410634803-0.481878219233093i</v>
      </c>
      <c r="DQ89" s="429" t="str">
        <f>IMPRODUCT(1/8*(VaveBetaz*VKl-2*BH89*VHl),COMPLEX(COS(2*VmidMuz),SIN(2*VmidMuz)))</f>
        <v>0.112098492617894+0.100253171604928i</v>
      </c>
      <c r="DR89" s="429" t="str">
        <f>IMPRODUCT(-1/2*SQRT(VaveBetax)*(VKl-2*VHl*$AY89)*AY89,COMPLEX(COS(VmidMux),SIN(VmidMux)))</f>
        <v>0.013933876348171-0.00849298540655902i</v>
      </c>
      <c r="DS89" s="429" t="str">
        <f>IMPRODUCT(-1/8*VHl*VaveBetax^(3/2),COMPLEX(COS(VmidMux),SIN(VmidMux)))</f>
        <v>0</v>
      </c>
      <c r="DT89" s="429" t="str">
        <f>IMPRODUCT(-1/24*VHl*VaveBetax^(3/2),COMPLEX(COS(3*VmidMux),SIN(3*VmidMux)))</f>
        <v>0</v>
      </c>
      <c r="DU89" s="429" t="str">
        <f>IMPRODUCT(1/4*VHl*VaveBetax^(1/2)*VaveBetaz,COMPLEX(COS(VmidMux),SIN(VmidMux)))</f>
        <v>0</v>
      </c>
      <c r="DV89" s="429" t="str">
        <f>IMPRODUCT(1/8*VHl*VaveBetax^(1/2)*VaveBetaz,COMPLEX(COS(VmidMux-2*VmidMuz),SIN(VmidMux-2*VmidMuz)))</f>
        <v>0</v>
      </c>
      <c r="DW89" s="429" t="str">
        <f>IMPRODUCT(1/8*VHl*VaveBetax^(1/2)*VaveBetaz,COMPLEX(COS(VmidMux+2*VmidMuz),SIN(VmidMux+2*VmidMuz)))</f>
        <v>0</v>
      </c>
      <c r="DX89" s="429">
        <f>VaveBetax^2*F89^2*E89/8/PI()/2</f>
        <v>0.86188523672681416</v>
      </c>
      <c r="DY89" s="429">
        <f>2*VaveBetax*VaveBetaz*F89^2*E89/8/PI()</f>
        <v>0.95632422267616224</v>
      </c>
      <c r="DZ89" s="429">
        <f>VaveBetaz^2*F89^2*E89/8/PI()</f>
        <v>0.13263889145357391</v>
      </c>
      <c r="EA89" s="429">
        <f>ABS(F89)</f>
        <v>0.41251799</v>
      </c>
      <c r="EB89" s="45">
        <f>E89*(1/AQ89+1/AQ88)/2</f>
        <v>1.4393860065640542</v>
      </c>
      <c r="EC89" s="45">
        <f>E89*(1/AR89+1/AR88)/2</f>
        <v>27.722272987250147</v>
      </c>
      <c r="ED89" s="45">
        <f>E89*(AS89+AS88)/2</f>
        <v>4.9247077053773729E-2</v>
      </c>
      <c r="EE89" s="46">
        <f>(X89*AD89*AD89+2*W89*AD89*AE89+V89*AE89*AE89)*CH89</f>
        <v>1.1787752740336614E-3</v>
      </c>
      <c r="EF89" s="45">
        <f>SQRT(VaveBetax/VaveBetaz*T_Coupling)</f>
        <v>0.18986815858553951</v>
      </c>
      <c r="EG89" s="45">
        <f>IF(EF89&lt;=1,EF89^(0.021-0.044*LN(EF89)),EF89^(-0.021-0.044*LN(EF89)))/(VaveBetax*VaveBetaz)^(1/4)</f>
        <v>0.23949311552301428</v>
      </c>
      <c r="EH89" s="47">
        <f t="shared" si="197"/>
        <v>6.4626678284914973E-2</v>
      </c>
      <c r="EI89" s="47" t="e">
        <f t="shared" si="197"/>
        <v>#DIV/0!</v>
      </c>
      <c r="EJ89" s="47" t="e">
        <f t="shared" si="197"/>
        <v>#DIV/0!</v>
      </c>
      <c r="EK89" s="47" t="e">
        <f t="shared" si="197"/>
        <v>#DIV/0!</v>
      </c>
      <c r="EL89" s="47" t="e">
        <f t="shared" si="197"/>
        <v>#DIV/0!</v>
      </c>
      <c r="EM89" s="47" t="e">
        <f t="shared" si="197"/>
        <v>#DIV/0!</v>
      </c>
      <c r="EN89" s="47" t="e">
        <f t="shared" si="197"/>
        <v>#DIV/0!</v>
      </c>
      <c r="EO89" s="47" t="e">
        <f t="shared" si="197"/>
        <v>#DIV/0!</v>
      </c>
      <c r="EP89" s="47" t="e">
        <f t="shared" si="197"/>
        <v>#DIV/0!</v>
      </c>
      <c r="EQ89" s="47" t="e">
        <f t="shared" si="197"/>
        <v>#DIV/0!</v>
      </c>
      <c r="ER89" s="47" t="e">
        <f t="shared" si="197"/>
        <v>#DIV/0!</v>
      </c>
      <c r="ES89" s="47" t="e">
        <f t="shared" si="197"/>
        <v>#DIV/0!</v>
      </c>
      <c r="ET89" s="47" t="e">
        <f t="shared" si="197"/>
        <v>#DIV/0!</v>
      </c>
      <c r="EU89" s="45">
        <f>Vlength*VaveBetaz</f>
        <v>2.916502743044052</v>
      </c>
      <c r="EW89" s="49" t="str">
        <f>IMPRODUCT(VKl*VaveBetax^(ABS(EW$5)/2)*VaveBetaz^(ABS(EW$6)/2),COMPLEX(COS(EW$5*VmidMux+EW$6*VmidMuz+EW$23*$R89),SIN(EW$5*VmidMux+EW$6*VmidMuz+EW$23*$R89)))</f>
        <v>0.335255841387128+1.15545524816632i</v>
      </c>
      <c r="EX89" s="49" t="str">
        <f>IMPRODUCT(VKl*VaveBetax^(ABS(EX$5)/2)*VaveBetaz^(ABS(EX$6)/2),COMPLEX(COS(EX$5*VmidMux+EX$6*VmidMuz+EX$23*$R89),SIN(EX$5*VmidMux+EX$6*VmidMuz+EX$23*$R89)))</f>
        <v>-4.30281599290938-0.545057705742979i</v>
      </c>
      <c r="EY89" s="49" t="str">
        <f>IMPRODUCT(VHl*VaveBetax^(ABS(EY$5)/2)*VaveBetaz^(ABS(EY$6)/2),COMPLEX(COS(EY$5*VmidMux+EY$6*VmidMuz+EY$23*$R89),SIN(EY$5*VmidMux+EY$6*VmidMuz+EY$23*$R89)))</f>
        <v>0</v>
      </c>
      <c r="EZ89" s="49" t="str">
        <f>IMPRODUCT(VHl*VaveBetax^(ABS(EZ$5)/2)*VaveBetaz^(ABS(EZ$6)/2),COMPLEX(COS(EZ$5*VmidMux+EZ$6*VmidMuz+EZ$23*$R89),SIN(EZ$5*VmidMux+EZ$6*VmidMuz+EZ$23*$R89)))</f>
        <v>0</v>
      </c>
      <c r="FA89" s="49" t="str">
        <f>IMPRODUCT(VHl*VaveBetax^(ABS(FA$5)/2)*VaveBetaz^(ABS(FA$6)/2),COMPLEX(COS(FA$5*VmidMux+FA$6*VmidMuz+FA$23*$R89),SIN(FA$5*VmidMux+FA$6*VmidMuz+FA$23*$R89)))</f>
        <v>0</v>
      </c>
      <c r="FB89" s="49"/>
    </row>
    <row r="90" spans="1:229" s="7" customFormat="1" ht="15.75" customHeight="1" outlineLevel="1">
      <c r="A90" s="31"/>
      <c r="B90" s="31"/>
      <c r="C90" s="37"/>
      <c r="D90" s="25" t="s">
        <v>567</v>
      </c>
      <c r="E90" s="395">
        <v>9.9894999999999998E-2</v>
      </c>
      <c r="F90" s="396"/>
      <c r="G90" s="396"/>
      <c r="H90" s="396"/>
      <c r="I90" s="540"/>
      <c r="K90" s="396"/>
      <c r="L90" s="396"/>
      <c r="M90" s="396"/>
      <c r="N90" s="525"/>
      <c r="O90" s="36"/>
      <c r="P90" s="458"/>
      <c r="Q90" s="458"/>
      <c r="R90" s="101">
        <f>R89+Vlength</f>
        <v>23.334569195212609</v>
      </c>
      <c r="S90" s="101">
        <f>S89+U89*Vlength/SQRT(1+(U89)^2)</f>
        <v>-1.882356293324368</v>
      </c>
      <c r="T90" s="101">
        <f>T89+Vlength/SQRT(1+(U89)^2)</f>
        <v>23.196175728864432</v>
      </c>
      <c r="U90" s="101">
        <f>U89</f>
        <v>-0.19891243094979075</v>
      </c>
      <c r="V90" s="112">
        <f t="shared" si="177"/>
        <v>19.425925814441388</v>
      </c>
      <c r="W90" s="112">
        <f t="shared" si="178"/>
        <v>6.2025916432142454</v>
      </c>
      <c r="X90" s="112">
        <f t="shared" si="179"/>
        <v>2.0319311146101096</v>
      </c>
      <c r="Y90" s="112">
        <f t="shared" si="180"/>
        <v>5.7498230281935374</v>
      </c>
      <c r="Z90" s="112">
        <f t="shared" si="181"/>
        <v>6.1422174041867006</v>
      </c>
      <c r="AA90" s="112">
        <f t="shared" si="182"/>
        <v>1.116483896028956</v>
      </c>
      <c r="AB90" s="112">
        <f t="shared" si="183"/>
        <v>0.36575330084550522</v>
      </c>
      <c r="AC90" s="112">
        <f t="shared" si="184"/>
        <v>1.9839468594042686</v>
      </c>
      <c r="AD90" s="101">
        <f>AD89+AE89*$CL90</f>
        <v>3.6551996868814884E-2</v>
      </c>
      <c r="AE90" s="112">
        <f>AE89</f>
        <v>-5.1174342541315809E-17</v>
      </c>
      <c r="AF90" s="238">
        <f>AF89</f>
        <v>2.714758467178694E-3</v>
      </c>
      <c r="AG90" s="112">
        <f>AG89+AH89*$CL90</f>
        <v>-4.9820395284811657E-2</v>
      </c>
      <c r="AH90" s="112">
        <f>AH89</f>
        <v>2.4952980471098091E-2</v>
      </c>
      <c r="AI90" s="112">
        <f>AI89+AJ89*$CL90</f>
        <v>0</v>
      </c>
      <c r="AJ90" s="112">
        <f>AJ89</f>
        <v>0</v>
      </c>
      <c r="AK90" s="112">
        <f>AK89+AL89*$CL90</f>
        <v>0</v>
      </c>
      <c r="AL90" s="112">
        <f>AL89</f>
        <v>0</v>
      </c>
      <c r="AM90" s="112">
        <f>AM89+AN89*$CS90</f>
        <v>0</v>
      </c>
      <c r="AN90" s="112">
        <f>AN89</f>
        <v>0</v>
      </c>
      <c r="AO90" s="112">
        <f>AO89+AP89*$CS90</f>
        <v>0</v>
      </c>
      <c r="AP90" s="112">
        <f>AP89</f>
        <v>0</v>
      </c>
      <c r="AQ90" s="101">
        <f t="shared" si="103"/>
        <v>0.27094155277580839</v>
      </c>
      <c r="AR90" s="101">
        <f t="shared" si="104"/>
        <v>1.5077701454307438E-2</v>
      </c>
      <c r="AS90" s="101">
        <f t="shared" si="105"/>
        <v>8.6721551294266716E-2</v>
      </c>
      <c r="AT90" s="101">
        <f t="shared" si="106"/>
        <v>3.6793124906168576E-3</v>
      </c>
      <c r="AU90" s="101">
        <f t="shared" si="198"/>
        <v>5.0052661480566716</v>
      </c>
      <c r="AV90" s="239">
        <f t="shared" si="166"/>
        <v>3.7012216628845733</v>
      </c>
      <c r="AW90" s="239">
        <f t="shared" si="166"/>
        <v>3.7012216628845733E-2</v>
      </c>
      <c r="AX90" s="239">
        <f t="shared" si="166"/>
        <v>1.0629909222129516E-3</v>
      </c>
      <c r="AY90" s="434">
        <f>0.5*(AD89+AD90)</f>
        <v>3.6551996868814884E-2</v>
      </c>
      <c r="AZ90" s="356">
        <f>0.5*(AE89+AE90)</f>
        <v>-5.1174342541315809E-17</v>
      </c>
      <c r="BA90" s="425">
        <f>0.5*(V90+V89)-X89*Vlength*Vlength/6</f>
        <v>20.05229259430519</v>
      </c>
      <c r="BB90" s="356">
        <f t="shared" si="108"/>
        <v>5.7473313466416069</v>
      </c>
      <c r="BC90" s="434"/>
      <c r="BD90" s="434"/>
      <c r="BE90" s="434"/>
      <c r="BF90" s="425">
        <f>0.5*(Z90+Z89)-AB89*Vlength*Vlength/6</f>
        <v>6.254965181721035</v>
      </c>
      <c r="BG90" s="434">
        <f t="shared" si="109"/>
        <v>1.9759607288453167</v>
      </c>
      <c r="BH90" s="434"/>
      <c r="BI90" s="434"/>
      <c r="BJ90" s="434"/>
      <c r="BK90" s="239"/>
      <c r="BL90" s="239"/>
      <c r="BM90" s="239"/>
      <c r="BN90" s="239"/>
      <c r="BO90" s="239"/>
      <c r="BP90" s="239"/>
      <c r="BQ90" s="239"/>
      <c r="BR90" s="239"/>
      <c r="BS90" s="239"/>
      <c r="BT90" s="239"/>
      <c r="BU90" s="239"/>
      <c r="BV90" s="239"/>
      <c r="BW90" s="239"/>
      <c r="BX90" s="239"/>
      <c r="BY90" s="239"/>
      <c r="BZ90" s="239"/>
      <c r="CA90" s="239"/>
      <c r="CB90" s="239"/>
      <c r="CC90" s="239"/>
      <c r="CD90" s="239"/>
      <c r="CE90" s="239"/>
      <c r="CF90" s="101"/>
      <c r="CG90" s="101"/>
      <c r="CH90" s="112">
        <f>E90</f>
        <v>9.9894999999999998E-2</v>
      </c>
      <c r="CI90" s="240"/>
      <c r="CJ90" s="112"/>
      <c r="CK90" s="30">
        <v>1</v>
      </c>
      <c r="CL90" s="30">
        <f>E90</f>
        <v>9.9894999999999998E-2</v>
      </c>
      <c r="CM90" s="30">
        <v>0</v>
      </c>
      <c r="CN90" s="30">
        <v>1</v>
      </c>
      <c r="CO90" s="112"/>
      <c r="CP90" s="112"/>
      <c r="CQ90" s="112"/>
      <c r="CR90" s="30">
        <v>1</v>
      </c>
      <c r="CS90" s="30">
        <f>CL90</f>
        <v>9.9894999999999998E-2</v>
      </c>
      <c r="CT90" s="30">
        <v>0</v>
      </c>
      <c r="CU90" s="30">
        <v>1</v>
      </c>
      <c r="CV90" s="112"/>
      <c r="CW90" s="30">
        <f t="shared" si="185"/>
        <v>0.64044707377212917</v>
      </c>
      <c r="CX90" s="30">
        <f t="shared" si="186"/>
        <v>-13.279622689264846</v>
      </c>
      <c r="CY90" s="30">
        <f t="shared" si="187"/>
        <v>-0.18502513275518756</v>
      </c>
      <c r="CZ90" s="30">
        <f t="shared" si="188"/>
        <v>5.397891711267393</v>
      </c>
      <c r="DA90" s="112"/>
      <c r="DB90" s="30">
        <f t="shared" si="189"/>
        <v>-0.62629324020992905</v>
      </c>
      <c r="DC90" s="30">
        <f t="shared" si="190"/>
        <v>3.606274744390042</v>
      </c>
      <c r="DD90" s="30">
        <f t="shared" si="191"/>
        <v>-0.11875203611293823</v>
      </c>
      <c r="DE90" s="30">
        <f t="shared" si="192"/>
        <v>-0.91290707708959373</v>
      </c>
      <c r="DF90" s="30">
        <f>AZ90^2*Vlength</f>
        <v>2.6160635805346621E-34</v>
      </c>
      <c r="DG90" s="112"/>
      <c r="DH90" s="112"/>
      <c r="DI90" s="112"/>
      <c r="DJ90" s="112"/>
      <c r="DK90" s="112"/>
      <c r="DL90" s="36"/>
      <c r="DM90" s="36"/>
      <c r="DN90" s="356"/>
      <c r="DO90" s="356"/>
      <c r="DP90" s="425"/>
      <c r="DQ90" s="425"/>
      <c r="DR90" s="425"/>
      <c r="DS90" s="425"/>
      <c r="DT90" s="425"/>
      <c r="DU90" s="425"/>
      <c r="DV90" s="425"/>
      <c r="DW90" s="425"/>
      <c r="DX90" s="425"/>
      <c r="DY90" s="425"/>
      <c r="DZ90" s="425"/>
      <c r="EA90" s="425"/>
      <c r="EB90" s="112">
        <f>E90*(1/AQ90+1/AQ89)/2</f>
        <v>0.36310729156278504</v>
      </c>
      <c r="EC90" s="112">
        <f>E90*(1/AR90+1/AR89)/2</f>
        <v>6.5658525458730432</v>
      </c>
      <c r="ED90" s="112">
        <f>E90*(AS90+AS89)/2</f>
        <v>8.6630493665407742E-3</v>
      </c>
      <c r="EE90" s="238">
        <f>(X90*AD90*AD90+2*W90*AD90*AE90+V90*AE90*AE90)*CH90</f>
        <v>2.7119079707881569E-4</v>
      </c>
      <c r="EF90" s="112">
        <f>SQRT(VaveBetax/VaveBetaz*T_Coupling)</f>
        <v>0.17904803876210931</v>
      </c>
      <c r="EG90" s="112">
        <f>IF(EF90&lt;=1,EF90^(0.021-0.044*LN(EF90)),EF90^(-0.021-0.044*LN(EF90)))/(VaveBetax*VaveBetaz)^(1/4)</f>
        <v>0.25303263678935162</v>
      </c>
      <c r="EH90" s="239">
        <f t="shared" si="197"/>
        <v>1.5708664776999445E-2</v>
      </c>
      <c r="EI90" s="239" t="e">
        <f t="shared" si="197"/>
        <v>#DIV/0!</v>
      </c>
      <c r="EJ90" s="239" t="e">
        <f t="shared" si="197"/>
        <v>#DIV/0!</v>
      </c>
      <c r="EK90" s="239" t="e">
        <f t="shared" si="197"/>
        <v>#DIV/0!</v>
      </c>
      <c r="EL90" s="239" t="e">
        <f t="shared" si="197"/>
        <v>#DIV/0!</v>
      </c>
      <c r="EM90" s="239" t="e">
        <f t="shared" si="197"/>
        <v>#DIV/0!</v>
      </c>
      <c r="EN90" s="239" t="e">
        <f t="shared" si="197"/>
        <v>#DIV/0!</v>
      </c>
      <c r="EO90" s="239" t="e">
        <f t="shared" si="197"/>
        <v>#DIV/0!</v>
      </c>
      <c r="EP90" s="239" t="e">
        <f t="shared" si="197"/>
        <v>#DIV/0!</v>
      </c>
      <c r="EQ90" s="239" t="e">
        <f t="shared" si="197"/>
        <v>#DIV/0!</v>
      </c>
      <c r="ER90" s="239" t="e">
        <f t="shared" si="197"/>
        <v>#DIV/0!</v>
      </c>
      <c r="ES90" s="239" t="e">
        <f t="shared" si="197"/>
        <v>#DIV/0!</v>
      </c>
      <c r="ET90" s="239" t="e">
        <f t="shared" si="197"/>
        <v>#DIV/0!</v>
      </c>
      <c r="EU90" s="112">
        <f>Vlength*VaveBetaz</f>
        <v>0.62483974682802279</v>
      </c>
      <c r="EW90" s="30"/>
      <c r="EX90" s="30"/>
      <c r="EY90" s="30"/>
      <c r="EZ90" s="30"/>
      <c r="FA90" s="30"/>
      <c r="FB90" s="30"/>
    </row>
    <row r="91" spans="1:229" s="129" customFormat="1" ht="15.75" customHeight="1" outlineLevel="1">
      <c r="A91" s="119"/>
      <c r="B91" s="119"/>
      <c r="C91" s="120"/>
      <c r="D91" s="121" t="s">
        <v>729</v>
      </c>
      <c r="E91" s="521"/>
      <c r="F91" s="400"/>
      <c r="G91" s="400"/>
      <c r="H91" s="400"/>
      <c r="I91" s="511"/>
      <c r="J91" s="400"/>
      <c r="K91" s="400"/>
      <c r="L91" s="400"/>
      <c r="M91" s="512"/>
      <c r="N91" s="526"/>
      <c r="O91" s="128"/>
      <c r="P91" s="457"/>
      <c r="Q91" s="457"/>
      <c r="R91" s="122">
        <f t="shared" ref="R91:AE91" si="199">R90</f>
        <v>23.334569195212609</v>
      </c>
      <c r="S91" s="122">
        <f t="shared" si="199"/>
        <v>-1.882356293324368</v>
      </c>
      <c r="T91" s="122">
        <f t="shared" si="199"/>
        <v>23.196175728864432</v>
      </c>
      <c r="U91" s="122">
        <f t="shared" si="199"/>
        <v>-0.19891243094979075</v>
      </c>
      <c r="V91" s="123">
        <f t="shared" si="199"/>
        <v>19.425925814441388</v>
      </c>
      <c r="W91" s="123">
        <f t="shared" si="199"/>
        <v>6.2025916432142454</v>
      </c>
      <c r="X91" s="123">
        <f t="shared" si="199"/>
        <v>2.0319311146101096</v>
      </c>
      <c r="Y91" s="123">
        <f t="shared" si="199"/>
        <v>5.7498230281935374</v>
      </c>
      <c r="Z91" s="123">
        <f t="shared" si="199"/>
        <v>6.1422174041867006</v>
      </c>
      <c r="AA91" s="123">
        <f t="shared" si="199"/>
        <v>1.116483896028956</v>
      </c>
      <c r="AB91" s="123">
        <f t="shared" si="199"/>
        <v>0.36575330084550522</v>
      </c>
      <c r="AC91" s="123">
        <f t="shared" si="199"/>
        <v>1.9839468594042686</v>
      </c>
      <c r="AD91" s="123">
        <f t="shared" si="199"/>
        <v>3.6551996868814884E-2</v>
      </c>
      <c r="AE91" s="123">
        <f t="shared" si="199"/>
        <v>-5.1174342541315809E-17</v>
      </c>
      <c r="AF91" s="124">
        <f>AF90</f>
        <v>2.714758467178694E-3</v>
      </c>
      <c r="AG91" s="123">
        <f t="shared" ref="AG91:AP91" si="200">AG90</f>
        <v>-4.9820395284811657E-2</v>
      </c>
      <c r="AH91" s="123">
        <f t="shared" si="200"/>
        <v>2.4952980471098091E-2</v>
      </c>
      <c r="AI91" s="123">
        <f t="shared" si="200"/>
        <v>0</v>
      </c>
      <c r="AJ91" s="123">
        <f t="shared" si="200"/>
        <v>0</v>
      </c>
      <c r="AK91" s="123">
        <f t="shared" si="200"/>
        <v>0</v>
      </c>
      <c r="AL91" s="123">
        <f t="shared" si="200"/>
        <v>0</v>
      </c>
      <c r="AM91" s="123">
        <f t="shared" si="200"/>
        <v>0</v>
      </c>
      <c r="AN91" s="123">
        <f t="shared" si="200"/>
        <v>0</v>
      </c>
      <c r="AO91" s="123">
        <f t="shared" si="200"/>
        <v>0</v>
      </c>
      <c r="AP91" s="123">
        <f t="shared" si="200"/>
        <v>0</v>
      </c>
      <c r="AQ91" s="122">
        <f t="shared" si="103"/>
        <v>0.27094155277580839</v>
      </c>
      <c r="AR91" s="122">
        <f t="shared" si="104"/>
        <v>1.5077701454307438E-2</v>
      </c>
      <c r="AS91" s="122">
        <f t="shared" si="105"/>
        <v>8.6721551294266716E-2</v>
      </c>
      <c r="AT91" s="122">
        <f t="shared" si="106"/>
        <v>3.6793124906168576E-3</v>
      </c>
      <c r="AU91" s="122">
        <f t="shared" si="198"/>
        <v>5.0052661480566716</v>
      </c>
      <c r="AV91" s="125">
        <f t="shared" si="166"/>
        <v>3.7012216628845733</v>
      </c>
      <c r="AW91" s="125">
        <f t="shared" si="166"/>
        <v>3.7012216628845733E-2</v>
      </c>
      <c r="AX91" s="125">
        <f t="shared" si="166"/>
        <v>1.0629909222129516E-3</v>
      </c>
      <c r="AY91" s="426">
        <f>AD91</f>
        <v>3.6551996868814884E-2</v>
      </c>
      <c r="AZ91" s="426">
        <f>0.5*(AE90+AE91)</f>
        <v>-5.1174342541315809E-17</v>
      </c>
      <c r="BA91" s="427">
        <f>V91</f>
        <v>19.425925814441388</v>
      </c>
      <c r="BB91" s="426">
        <f t="shared" si="108"/>
        <v>5.7498230281935374</v>
      </c>
      <c r="BC91" s="467"/>
      <c r="BD91" s="467"/>
      <c r="BE91" s="467"/>
      <c r="BF91" s="427">
        <f>Z91</f>
        <v>6.1422174041867006</v>
      </c>
      <c r="BG91" s="467">
        <f t="shared" si="109"/>
        <v>1.9839468594042686</v>
      </c>
      <c r="BH91" s="467"/>
      <c r="BI91" s="467"/>
      <c r="BJ91" s="467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2"/>
      <c r="CG91" s="122"/>
      <c r="CH91" s="123"/>
      <c r="CI91" s="126"/>
      <c r="CJ91" s="123"/>
      <c r="CK91" s="127"/>
      <c r="CL91" s="127"/>
      <c r="CM91" s="127"/>
      <c r="CN91" s="127"/>
      <c r="CO91" s="123"/>
      <c r="CP91" s="123"/>
      <c r="CQ91" s="123"/>
      <c r="CR91" s="127"/>
      <c r="CS91" s="127"/>
      <c r="CT91" s="127"/>
      <c r="CU91" s="127"/>
      <c r="CV91" s="123"/>
      <c r="CW91" s="127">
        <f t="shared" ref="CW91:CZ91" si="201">CW90</f>
        <v>0.64044707377212917</v>
      </c>
      <c r="CX91" s="127">
        <f t="shared" si="201"/>
        <v>-13.279622689264846</v>
      </c>
      <c r="CY91" s="127">
        <f t="shared" si="201"/>
        <v>-0.18502513275518756</v>
      </c>
      <c r="CZ91" s="127">
        <f t="shared" si="201"/>
        <v>5.397891711267393</v>
      </c>
      <c r="DA91" s="123"/>
      <c r="DB91" s="127">
        <f t="shared" ref="DB91:DE91" si="202">DB90</f>
        <v>-0.62629324020992905</v>
      </c>
      <c r="DC91" s="127">
        <f t="shared" si="202"/>
        <v>3.606274744390042</v>
      </c>
      <c r="DD91" s="127">
        <f t="shared" si="202"/>
        <v>-0.11875203611293823</v>
      </c>
      <c r="DE91" s="127">
        <f t="shared" si="202"/>
        <v>-0.91290707708959373</v>
      </c>
      <c r="DF91" s="127"/>
      <c r="DG91" s="123"/>
      <c r="DH91" s="123"/>
      <c r="DI91" s="123"/>
      <c r="DJ91" s="123"/>
      <c r="DK91" s="123"/>
      <c r="DL91" s="128"/>
      <c r="DM91" s="128"/>
      <c r="DN91" s="426"/>
      <c r="DO91" s="426"/>
      <c r="DP91" s="427"/>
      <c r="DQ91" s="427"/>
      <c r="DR91" s="427"/>
      <c r="DS91" s="427"/>
      <c r="DT91" s="427"/>
      <c r="DU91" s="427"/>
      <c r="DV91" s="427"/>
      <c r="DW91" s="427"/>
      <c r="DX91" s="427"/>
      <c r="DY91" s="427"/>
      <c r="DZ91" s="427"/>
      <c r="EA91" s="427"/>
      <c r="EB91" s="123"/>
      <c r="EC91" s="123"/>
      <c r="ED91" s="123"/>
      <c r="EE91" s="124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W91" s="127"/>
      <c r="EX91" s="127"/>
      <c r="EY91" s="127"/>
      <c r="EZ91" s="127"/>
      <c r="FA91" s="127"/>
      <c r="FB91" s="127"/>
    </row>
    <row r="92" spans="1:229" s="7" customFormat="1" ht="15.75" customHeight="1" outlineLevel="1">
      <c r="A92" s="31"/>
      <c r="B92" s="31"/>
      <c r="C92" s="37" t="s">
        <v>567</v>
      </c>
      <c r="D92" s="25" t="s">
        <v>567</v>
      </c>
      <c r="E92" s="395">
        <v>3.0525600000000002</v>
      </c>
      <c r="F92" s="396"/>
      <c r="G92" s="396"/>
      <c r="H92" s="396"/>
      <c r="I92" s="540"/>
      <c r="K92" s="396"/>
      <c r="L92" s="396"/>
      <c r="M92" s="396"/>
      <c r="N92" s="525"/>
      <c r="O92" s="36"/>
      <c r="P92" s="458"/>
      <c r="Q92" s="458"/>
      <c r="R92" s="101">
        <f>R91+Vlength</f>
        <v>26.387129195212609</v>
      </c>
      <c r="S92" s="101">
        <f>S91+U91*Vlength/SQRT(1+(U91)^2)</f>
        <v>-2.4778813897771759</v>
      </c>
      <c r="T92" s="101">
        <f>T91+Vlength/SQRT(1+(U91)^2)</f>
        <v>26.190081607995385</v>
      </c>
      <c r="U92" s="101">
        <f>U91</f>
        <v>-0.19891243094979075</v>
      </c>
      <c r="V92" s="112">
        <f>V91*CK92*CK92-2*W91*CK92*CL92+X91*CL92*CL92</f>
        <v>0.49214266803128126</v>
      </c>
      <c r="W92" s="112">
        <f>-CM92*CK92*V91+(CK92*CN92+CL92*CM92)*W91-X91*CL92*CN92</f>
        <v>8.8817841970012523E-15</v>
      </c>
      <c r="X92" s="112">
        <f>(1+W92^2)/V92</f>
        <v>2.0319311146101207</v>
      </c>
      <c r="Y92" s="112">
        <f>ATAN2(CN92*V92+CL92*W92,CL92)+Y91</f>
        <v>7.1607719161046299</v>
      </c>
      <c r="Z92" s="112">
        <f>Z91*CR92*CR92-2*AA91*CR92*CS92+AB91*CS92*CS92</f>
        <v>2.7340833225245489</v>
      </c>
      <c r="AA92" s="112">
        <f>-CT92*CR92*Z91+(CR92*CU92+CS92*CT92)*AA91-AB91*CS92*CU92</f>
        <v>0</v>
      </c>
      <c r="AB92" s="112">
        <f>(1+AA92^2)/Z92</f>
        <v>0.36575330084550528</v>
      </c>
      <c r="AC92" s="112">
        <f>ATAN2(CU92*Z92+CS92*AA92,CS92)+AC91</f>
        <v>2.8243260689276819</v>
      </c>
      <c r="AD92" s="101">
        <f>AD91+AE91*$CL92</f>
        <v>3.6551996868814725E-2</v>
      </c>
      <c r="AE92" s="112">
        <f>AE91</f>
        <v>-5.1174342541315809E-17</v>
      </c>
      <c r="AF92" s="238">
        <f>AF91</f>
        <v>2.714758467178694E-3</v>
      </c>
      <c r="AG92" s="112">
        <f>AG91+AH91*$CL92</f>
        <v>2.6350074782043535E-2</v>
      </c>
      <c r="AH92" s="112">
        <f>AH91</f>
        <v>2.4952980471098091E-2</v>
      </c>
      <c r="AI92" s="112">
        <f>AI91+AJ91*$CL92</f>
        <v>0</v>
      </c>
      <c r="AJ92" s="112">
        <f>AJ91</f>
        <v>0</v>
      </c>
      <c r="AK92" s="112">
        <f>AK91+AL91*$CL92</f>
        <v>0</v>
      </c>
      <c r="AL92" s="112">
        <f>AL91</f>
        <v>0</v>
      </c>
      <c r="AM92" s="112">
        <f>AM91+AN91*$CS92</f>
        <v>0</v>
      </c>
      <c r="AN92" s="112">
        <f>AN91</f>
        <v>0</v>
      </c>
      <c r="AO92" s="112">
        <f>AO91+AP91*$CS92</f>
        <v>0</v>
      </c>
      <c r="AP92" s="112">
        <f>AP91</f>
        <v>0</v>
      </c>
      <c r="AQ92" s="101">
        <f t="shared" si="103"/>
        <v>5.771651998097449E-2</v>
      </c>
      <c r="AR92" s="101">
        <f t="shared" si="104"/>
        <v>1.0059546918951813E-2</v>
      </c>
      <c r="AS92" s="101">
        <f t="shared" si="105"/>
        <v>8.6721551294266966E-2</v>
      </c>
      <c r="AT92" s="101">
        <f t="shared" si="106"/>
        <v>3.679312490616858E-3</v>
      </c>
      <c r="AU92" s="101">
        <f t="shared" si="198"/>
        <v>5.0052661480566636</v>
      </c>
      <c r="AV92" s="239">
        <f t="shared" si="166"/>
        <v>3.7012216628845733</v>
      </c>
      <c r="AW92" s="239">
        <f t="shared" si="166"/>
        <v>3.7012216628845733E-2</v>
      </c>
      <c r="AX92" s="239">
        <f t="shared" si="166"/>
        <v>1.0629909222129516E-3</v>
      </c>
      <c r="AY92" s="434">
        <f>0.5*(AD91+AD92)</f>
        <v>3.6551996868814801E-2</v>
      </c>
      <c r="AZ92" s="356">
        <f>0.5*(AE91+AE92)</f>
        <v>-5.1174342541315809E-17</v>
      </c>
      <c r="BA92" s="425">
        <f>0.5*(V92+V91)-X91*Vlength*Vlength/6</f>
        <v>6.8034037168346604</v>
      </c>
      <c r="BB92" s="356">
        <f t="shared" si="108"/>
        <v>6.4552974721490841</v>
      </c>
      <c r="BC92" s="434"/>
      <c r="BD92" s="434"/>
      <c r="BE92" s="434"/>
      <c r="BF92" s="425">
        <f>0.5*(Z92+Z91)-AB91*Vlength*Vlength/6</f>
        <v>3.8701280164119334</v>
      </c>
      <c r="BG92" s="434">
        <f t="shared" si="109"/>
        <v>2.4041364641659753</v>
      </c>
      <c r="BH92" s="434"/>
      <c r="BI92" s="434"/>
      <c r="BJ92" s="434"/>
      <c r="BK92" s="239"/>
      <c r="BL92" s="239"/>
      <c r="BM92" s="239"/>
      <c r="BN92" s="239"/>
      <c r="BO92" s="239"/>
      <c r="BP92" s="239"/>
      <c r="BQ92" s="239"/>
      <c r="BR92" s="239"/>
      <c r="BS92" s="239"/>
      <c r="BT92" s="239"/>
      <c r="BU92" s="239"/>
      <c r="BV92" s="239"/>
      <c r="BW92" s="239"/>
      <c r="BX92" s="239"/>
      <c r="BY92" s="239"/>
      <c r="BZ92" s="239"/>
      <c r="CA92" s="239"/>
      <c r="CB92" s="239"/>
      <c r="CC92" s="239"/>
      <c r="CD92" s="239"/>
      <c r="CE92" s="239"/>
      <c r="CF92" s="101"/>
      <c r="CG92" s="101"/>
      <c r="CH92" s="112">
        <f>E92</f>
        <v>3.0525600000000002</v>
      </c>
      <c r="CI92" s="240"/>
      <c r="CJ92" s="112"/>
      <c r="CK92" s="30">
        <v>1</v>
      </c>
      <c r="CL92" s="30">
        <f>E92</f>
        <v>3.0525600000000002</v>
      </c>
      <c r="CM92" s="30">
        <v>0</v>
      </c>
      <c r="CN92" s="30">
        <v>1</v>
      </c>
      <c r="CO92" s="112"/>
      <c r="CP92" s="112"/>
      <c r="CQ92" s="112"/>
      <c r="CR92" s="30">
        <v>1</v>
      </c>
      <c r="CS92" s="30">
        <f>CL92</f>
        <v>3.0525600000000002</v>
      </c>
      <c r="CT92" s="30">
        <v>0</v>
      </c>
      <c r="CU92" s="30">
        <v>1</v>
      </c>
      <c r="CV92" s="112"/>
      <c r="CW92" s="30">
        <f>CW91*CK92+CY91*CL92</f>
        <v>7.5646754528953752E-2</v>
      </c>
      <c r="CX92" s="30">
        <f>CX91*CK92+CZ91*CL92</f>
        <v>3.1977656328815467</v>
      </c>
      <c r="CY92" s="30">
        <f>CW91*CM92+CY91*CN92</f>
        <v>-0.18502513275518756</v>
      </c>
      <c r="CZ92" s="30">
        <f>CX91*CM92+CZ91*CN92</f>
        <v>5.397891711267393</v>
      </c>
      <c r="DA92" s="112"/>
      <c r="DB92" s="30">
        <f>DB91*CR92+DD91*CS92</f>
        <v>-0.98879095556683982</v>
      </c>
      <c r="DC92" s="30">
        <f>DC91*CR92+DE91*CS92</f>
        <v>0.81957111714943176</v>
      </c>
      <c r="DD92" s="30">
        <f>DB91*CT92+DD91*CU92</f>
        <v>-0.11875203611293823</v>
      </c>
      <c r="DE92" s="30">
        <f>DC91*CT92+DE91*CU92</f>
        <v>-0.91290707708959373</v>
      </c>
      <c r="DF92" s="30">
        <f>AZ92^2*Vlength</f>
        <v>7.9940848324709841E-33</v>
      </c>
      <c r="DG92" s="112"/>
      <c r="DH92" s="112"/>
      <c r="DI92" s="112"/>
      <c r="DJ92" s="112"/>
      <c r="DK92" s="112"/>
      <c r="DL92" s="36"/>
      <c r="DM92" s="36"/>
      <c r="DN92" s="356"/>
      <c r="DO92" s="356"/>
      <c r="DP92" s="425"/>
      <c r="DQ92" s="425"/>
      <c r="DR92" s="425"/>
      <c r="DS92" s="425"/>
      <c r="DT92" s="425"/>
      <c r="DU92" s="425"/>
      <c r="DV92" s="425"/>
      <c r="DW92" s="425"/>
      <c r="DX92" s="425"/>
      <c r="DY92" s="425"/>
      <c r="DZ92" s="425"/>
      <c r="EA92" s="425"/>
      <c r="EB92" s="112">
        <f>E92*(1/AQ92+1/AQ91)/2</f>
        <v>32.077666269499495</v>
      </c>
      <c r="EC92" s="112">
        <f>E92*(1/AR92+1/AR91)/2</f>
        <v>252.95215824437517</v>
      </c>
      <c r="ED92" s="112">
        <f>E92*(AS92+AS91)/2</f>
        <v>0.26472273861882722</v>
      </c>
      <c r="EE92" s="238">
        <f>(X92*AD92*AD92+2*W92*AD92*AE92+V92*AE92*AE92)*CH92</f>
        <v>8.2869631065710415E-3</v>
      </c>
      <c r="EF92" s="112">
        <f>SQRT(VaveBetax/VaveBetaz*T_Coupling)</f>
        <v>0.13258685099810283</v>
      </c>
      <c r="EG92" s="112">
        <f>IF(EF92&lt;=1,EF92^(0.021-0.044*LN(EF92)),EF92^(-0.021-0.044*LN(EF92)))/(VaveBetax*VaveBetaz)^(1/4)</f>
        <v>0.35354726426785754</v>
      </c>
      <c r="EH92" s="239">
        <f t="shared" ref="EH92:ET93" si="203">$EG92*Vlength/SQRT(1+EH$7*EH$7/EH$8*1000000000/Vlength*$EE92)</f>
        <v>0.67070364972129892</v>
      </c>
      <c r="EI92" s="239" t="e">
        <f t="shared" si="203"/>
        <v>#DIV/0!</v>
      </c>
      <c r="EJ92" s="239" t="e">
        <f t="shared" si="203"/>
        <v>#DIV/0!</v>
      </c>
      <c r="EK92" s="239" t="e">
        <f t="shared" si="203"/>
        <v>#DIV/0!</v>
      </c>
      <c r="EL92" s="239" t="e">
        <f t="shared" si="203"/>
        <v>#DIV/0!</v>
      </c>
      <c r="EM92" s="239" t="e">
        <f t="shared" si="203"/>
        <v>#DIV/0!</v>
      </c>
      <c r="EN92" s="239" t="e">
        <f t="shared" si="203"/>
        <v>#DIV/0!</v>
      </c>
      <c r="EO92" s="239" t="e">
        <f t="shared" si="203"/>
        <v>#DIV/0!</v>
      </c>
      <c r="EP92" s="239" t="e">
        <f t="shared" si="203"/>
        <v>#DIV/0!</v>
      </c>
      <c r="EQ92" s="239" t="e">
        <f t="shared" si="203"/>
        <v>#DIV/0!</v>
      </c>
      <c r="ER92" s="239" t="e">
        <f t="shared" si="203"/>
        <v>#DIV/0!</v>
      </c>
      <c r="ES92" s="239" t="e">
        <f t="shared" si="203"/>
        <v>#DIV/0!</v>
      </c>
      <c r="ET92" s="239" t="e">
        <f t="shared" si="203"/>
        <v>#DIV/0!</v>
      </c>
      <c r="EU92" s="112">
        <f>Vlength*VaveBetaz</f>
        <v>11.813797977778412</v>
      </c>
      <c r="EW92" s="30"/>
      <c r="EX92" s="30"/>
      <c r="EY92" s="30"/>
      <c r="EZ92" s="30"/>
      <c r="FA92" s="30"/>
      <c r="FB92" s="30"/>
    </row>
    <row r="93" spans="1:229" s="7" customFormat="1" ht="15.75" customHeight="1" outlineLevel="1">
      <c r="A93" s="31"/>
      <c r="B93" s="31"/>
      <c r="C93" s="37"/>
      <c r="D93" s="25" t="s">
        <v>1204</v>
      </c>
      <c r="E93" s="395">
        <v>0</v>
      </c>
      <c r="F93" s="396">
        <v>0.28125</v>
      </c>
      <c r="G93" s="396">
        <v>992</v>
      </c>
      <c r="H93" s="396">
        <v>0</v>
      </c>
      <c r="I93" s="540"/>
      <c r="K93" s="396"/>
      <c r="L93" s="396"/>
      <c r="M93" s="396"/>
      <c r="N93" s="525"/>
      <c r="O93" s="36"/>
      <c r="P93" s="458"/>
      <c r="Q93" s="458"/>
      <c r="R93" s="101">
        <f>R92+Vlength</f>
        <v>26.387129195212609</v>
      </c>
      <c r="S93" s="101">
        <f>S92+U92*Vlength/SQRT(1+(U92)^2)</f>
        <v>-2.4778813897771759</v>
      </c>
      <c r="T93" s="101">
        <f>T92+Vlength/SQRT(1+(U92)^2)</f>
        <v>26.190081607995385</v>
      </c>
      <c r="U93" s="101">
        <f>U92</f>
        <v>-0.19891243094979075</v>
      </c>
      <c r="V93" s="112">
        <f>V92*CK93*CK93-2*W92*CK93*CL93+X92*CL93*CL93</f>
        <v>0.49214266803128126</v>
      </c>
      <c r="W93" s="112">
        <f>-CM93*CK93*V92+(CK93*CN93+CL93*CM93)*W92-X92*CL93*CN93</f>
        <v>8.8817841970012523E-15</v>
      </c>
      <c r="X93" s="112">
        <f>(1+W93^2)/V93</f>
        <v>2.0319311146101207</v>
      </c>
      <c r="Y93" s="112">
        <f>ATAN2(CN93*V93+CL93*W93,CL93)+Y92</f>
        <v>7.1607719161046299</v>
      </c>
      <c r="Z93" s="112">
        <f>Z92*CR93*CR93-2*AA92*CR93*CS93+AB92*CS93*CS93</f>
        <v>2.7340833225245489</v>
      </c>
      <c r="AA93" s="112">
        <f>-CT93*CR93*Z92+(CR93*CU93+CS93*CT93)*AA92-AB92*CS93*CU93</f>
        <v>0</v>
      </c>
      <c r="AB93" s="112">
        <f>(1+AA93^2)/Z93</f>
        <v>0.36575330084550528</v>
      </c>
      <c r="AC93" s="112">
        <f>ATAN2(CU93*Z93+CS93*AA93,CS93)+AC92</f>
        <v>2.8243260689276819</v>
      </c>
      <c r="AD93" s="101">
        <f>AD92+AE92*$CL93</f>
        <v>3.6551996868814725E-2</v>
      </c>
      <c r="AE93" s="112">
        <f>AE92</f>
        <v>-5.1174342541315809E-17</v>
      </c>
      <c r="AF93" s="238">
        <f>AF92</f>
        <v>2.714758467178694E-3</v>
      </c>
      <c r="AG93" s="112">
        <f>AG92+AH92*$CL93</f>
        <v>2.6350074782043535E-2</v>
      </c>
      <c r="AH93" s="112">
        <f>AH92</f>
        <v>2.4952980471098091E-2</v>
      </c>
      <c r="AI93" s="112">
        <f>AI92+AJ92*$CL93</f>
        <v>0</v>
      </c>
      <c r="AJ93" s="112">
        <f>AJ92</f>
        <v>0</v>
      </c>
      <c r="AK93" s="112">
        <f>AK92+AL92*$CL93</f>
        <v>0</v>
      </c>
      <c r="AL93" s="112">
        <f>AL92</f>
        <v>0</v>
      </c>
      <c r="AM93" s="112">
        <f>AM92+AN92*$CS93</f>
        <v>0</v>
      </c>
      <c r="AN93" s="112">
        <f>AN92</f>
        <v>0</v>
      </c>
      <c r="AO93" s="112">
        <f>AO92+AP92*$CS93</f>
        <v>0</v>
      </c>
      <c r="AP93" s="112">
        <f>AP92</f>
        <v>0</v>
      </c>
      <c r="AQ93" s="101">
        <f t="shared" si="103"/>
        <v>5.771651998097449E-2</v>
      </c>
      <c r="AR93" s="101">
        <f t="shared" si="104"/>
        <v>1.0059546918951813E-2</v>
      </c>
      <c r="AS93" s="101">
        <f t="shared" si="105"/>
        <v>8.6721551294266966E-2</v>
      </c>
      <c r="AT93" s="101">
        <f t="shared" si="106"/>
        <v>3.679312490616858E-3</v>
      </c>
      <c r="AU93" s="101">
        <f t="shared" si="198"/>
        <v>5.0052661480566636</v>
      </c>
      <c r="AV93" s="239">
        <f t="shared" ref="AV93:AX93" si="204">AV92</f>
        <v>3.7012216628845733</v>
      </c>
      <c r="AW93" s="239">
        <f t="shared" si="204"/>
        <v>3.7012216628845733E-2</v>
      </c>
      <c r="AX93" s="239">
        <f t="shared" si="204"/>
        <v>1.0629909222129516E-3</v>
      </c>
      <c r="AY93" s="434">
        <f>0.5*(AD92+AD93)</f>
        <v>3.6551996868814725E-2</v>
      </c>
      <c r="AZ93" s="356">
        <f>0.5*(AE92+AE93)</f>
        <v>-5.1174342541315809E-17</v>
      </c>
      <c r="BA93" s="425">
        <f>0.5*(V93+V92)-X92*Vlength*Vlength/6</f>
        <v>0.49214266803128126</v>
      </c>
      <c r="BB93" s="356">
        <f t="shared" si="108"/>
        <v>7.1607719161046299</v>
      </c>
      <c r="BC93" s="434"/>
      <c r="BD93" s="434"/>
      <c r="BE93" s="434"/>
      <c r="BF93" s="425">
        <f>0.5*(Z93+Z92)-AB92*Vlength*Vlength/6</f>
        <v>2.7340833225245489</v>
      </c>
      <c r="BG93" s="434">
        <f t="shared" si="109"/>
        <v>2.8243260689276819</v>
      </c>
      <c r="BH93" s="434"/>
      <c r="BI93" s="434"/>
      <c r="BJ93" s="434"/>
      <c r="BK93" s="239"/>
      <c r="BL93" s="239"/>
      <c r="BM93" s="239"/>
      <c r="BN93" s="239"/>
      <c r="BO93" s="239"/>
      <c r="BP93" s="239"/>
      <c r="BQ93" s="239"/>
      <c r="BR93" s="239"/>
      <c r="BS93" s="239"/>
      <c r="BT93" s="239"/>
      <c r="BU93" s="239"/>
      <c r="BV93" s="239"/>
      <c r="BW93" s="239"/>
      <c r="BX93" s="239"/>
      <c r="BY93" s="239"/>
      <c r="BZ93" s="239"/>
      <c r="CA93" s="239"/>
      <c r="CB93" s="239"/>
      <c r="CC93" s="239"/>
      <c r="CD93" s="239"/>
      <c r="CE93" s="239"/>
      <c r="CF93" s="101"/>
      <c r="CG93" s="101"/>
      <c r="CH93" s="112">
        <f>E93</f>
        <v>0</v>
      </c>
      <c r="CI93" s="240"/>
      <c r="CJ93" s="112"/>
      <c r="CK93" s="30">
        <v>1</v>
      </c>
      <c r="CL93" s="30">
        <f>E93</f>
        <v>0</v>
      </c>
      <c r="CM93" s="30">
        <v>0</v>
      </c>
      <c r="CN93" s="30">
        <v>1</v>
      </c>
      <c r="CO93" s="112"/>
      <c r="CP93" s="112"/>
      <c r="CQ93" s="112"/>
      <c r="CR93" s="30">
        <v>1</v>
      </c>
      <c r="CS93" s="30">
        <f>CL93</f>
        <v>0</v>
      </c>
      <c r="CT93" s="30">
        <v>0</v>
      </c>
      <c r="CU93" s="30">
        <v>1</v>
      </c>
      <c r="CV93" s="112"/>
      <c r="CW93" s="30">
        <f>CW92*CK93+CY92*CL93</f>
        <v>7.5646754528953752E-2</v>
      </c>
      <c r="CX93" s="30">
        <f>CX92*CK93+CZ92*CL93</f>
        <v>3.1977656328815467</v>
      </c>
      <c r="CY93" s="30">
        <f>CW92*CM93+CY92*CN93</f>
        <v>-0.18502513275518756</v>
      </c>
      <c r="CZ93" s="30">
        <f>CX92*CM93+CZ92*CN93</f>
        <v>5.397891711267393</v>
      </c>
      <c r="DA93" s="112"/>
      <c r="DB93" s="30">
        <f>DB92*CR93+DD92*CS93</f>
        <v>-0.98879095556683982</v>
      </c>
      <c r="DC93" s="30">
        <f>DC92*CR93+DE92*CS93</f>
        <v>0.81957111714943176</v>
      </c>
      <c r="DD93" s="30">
        <f>DB92*CT93+DD92*CU93</f>
        <v>-0.11875203611293823</v>
      </c>
      <c r="DE93" s="30">
        <f>DC92*CT93+DE92*CU93</f>
        <v>-0.91290707708959373</v>
      </c>
      <c r="DF93" s="30">
        <f>AZ93^2*Vlength</f>
        <v>0</v>
      </c>
      <c r="DG93" s="112"/>
      <c r="DH93" s="112"/>
      <c r="DI93" s="112"/>
      <c r="DJ93" s="112"/>
      <c r="DK93" s="112"/>
      <c r="DL93" s="36"/>
      <c r="DM93" s="36"/>
      <c r="DN93" s="356"/>
      <c r="DO93" s="356"/>
      <c r="DP93" s="425"/>
      <c r="DQ93" s="425"/>
      <c r="DR93" s="425"/>
      <c r="DS93" s="425"/>
      <c r="DT93" s="425"/>
      <c r="DU93" s="425"/>
      <c r="DV93" s="425"/>
      <c r="DW93" s="425"/>
      <c r="DX93" s="425"/>
      <c r="DY93" s="425"/>
      <c r="DZ93" s="425"/>
      <c r="EA93" s="425"/>
      <c r="EB93" s="112">
        <f>E93*(1/AQ93+1/AQ92)/2</f>
        <v>0</v>
      </c>
      <c r="EC93" s="112">
        <f>E93*(1/AR93+1/AR92)/2</f>
        <v>0</v>
      </c>
      <c r="ED93" s="112">
        <f>E93*(AS93+AS92)/2</f>
        <v>0</v>
      </c>
      <c r="EE93" s="238">
        <f>(X93*AD93*AD93+2*W93*AD93*AE93+V93*AE93*AE93)*CH93</f>
        <v>0</v>
      </c>
      <c r="EF93" s="112">
        <f>SQRT(VaveBetax/VaveBetaz*T_Coupling)</f>
        <v>4.242673747996125E-2</v>
      </c>
      <c r="EG93" s="112">
        <f>IF(EF93&lt;=1,EF93^(0.021-0.044*LN(EF93)),EF93^(-0.021-0.044*LN(EF93)))/(VaveBetax*VaveBetaz)^(1/4)</f>
        <v>0.5599421678144314</v>
      </c>
      <c r="EH93" s="239" t="e">
        <f t="shared" si="203"/>
        <v>#DIV/0!</v>
      </c>
      <c r="EI93" s="239" t="e">
        <f t="shared" si="203"/>
        <v>#DIV/0!</v>
      </c>
      <c r="EJ93" s="239" t="e">
        <f t="shared" si="203"/>
        <v>#DIV/0!</v>
      </c>
      <c r="EK93" s="239" t="e">
        <f t="shared" si="203"/>
        <v>#DIV/0!</v>
      </c>
      <c r="EL93" s="239" t="e">
        <f t="shared" si="203"/>
        <v>#DIV/0!</v>
      </c>
      <c r="EM93" s="239" t="e">
        <f t="shared" si="203"/>
        <v>#DIV/0!</v>
      </c>
      <c r="EN93" s="239" t="e">
        <f t="shared" si="203"/>
        <v>#DIV/0!</v>
      </c>
      <c r="EO93" s="239" t="e">
        <f t="shared" si="203"/>
        <v>#DIV/0!</v>
      </c>
      <c r="EP93" s="239" t="e">
        <f t="shared" si="203"/>
        <v>#DIV/0!</v>
      </c>
      <c r="EQ93" s="239" t="e">
        <f t="shared" si="203"/>
        <v>#DIV/0!</v>
      </c>
      <c r="ER93" s="239" t="e">
        <f t="shared" si="203"/>
        <v>#DIV/0!</v>
      </c>
      <c r="ES93" s="239" t="e">
        <f t="shared" si="203"/>
        <v>#DIV/0!</v>
      </c>
      <c r="ET93" s="239" t="e">
        <f t="shared" si="203"/>
        <v>#DIV/0!</v>
      </c>
      <c r="EU93" s="112">
        <f>Vlength*VaveBetaz</f>
        <v>0</v>
      </c>
      <c r="EW93" s="30"/>
      <c r="EX93" s="30"/>
      <c r="EY93" s="30"/>
      <c r="EZ93" s="30"/>
      <c r="FA93" s="30"/>
      <c r="FB93" s="30"/>
    </row>
    <row r="94" spans="1:229" s="7" customFormat="1" ht="15.75" customHeight="1" outlineLevel="1">
      <c r="C94" s="78"/>
      <c r="D94" s="79" t="s">
        <v>254</v>
      </c>
      <c r="E94" s="80"/>
      <c r="F94" s="81"/>
      <c r="G94" s="81"/>
      <c r="H94" s="81"/>
      <c r="I94" s="539"/>
      <c r="J94" s="81"/>
      <c r="K94" s="79"/>
      <c r="L94" s="79"/>
      <c r="M94" s="515"/>
      <c r="N94" s="532"/>
      <c r="O94" s="36"/>
      <c r="P94" s="458"/>
      <c r="Q94" s="458"/>
      <c r="R94" s="32">
        <f t="shared" ref="R94:W94" si="205">R93</f>
        <v>26.387129195212609</v>
      </c>
      <c r="S94" s="32">
        <f t="shared" si="205"/>
        <v>-2.4778813897771759</v>
      </c>
      <c r="T94" s="32">
        <f t="shared" si="205"/>
        <v>26.190081607995385</v>
      </c>
      <c r="U94" s="32">
        <f t="shared" si="205"/>
        <v>-0.19891243094979075</v>
      </c>
      <c r="V94" s="29">
        <f t="shared" si="205"/>
        <v>0.49214266803128126</v>
      </c>
      <c r="W94" s="29">
        <f t="shared" si="205"/>
        <v>8.8817841970012523E-15</v>
      </c>
      <c r="X94" s="29">
        <f>(1+W94^2)/V94</f>
        <v>2.0319311146101207</v>
      </c>
      <c r="Y94" s="29">
        <f>Y93</f>
        <v>7.1607719161046299</v>
      </c>
      <c r="Z94" s="29">
        <f>Z93</f>
        <v>2.7340833225245489</v>
      </c>
      <c r="AA94" s="29">
        <f>AA93</f>
        <v>0</v>
      </c>
      <c r="AB94" s="29">
        <f>(1+AA94^2)/Z94</f>
        <v>0.36575330084550528</v>
      </c>
      <c r="AC94" s="29">
        <f t="shared" ref="AC94:AP94" si="206">AC93</f>
        <v>2.8243260689276819</v>
      </c>
      <c r="AD94" s="32">
        <f t="shared" si="206"/>
        <v>3.6551996868814725E-2</v>
      </c>
      <c r="AE94" s="29">
        <f t="shared" si="206"/>
        <v>-5.1174342541315809E-17</v>
      </c>
      <c r="AF94" s="29"/>
      <c r="AG94" s="32">
        <f t="shared" si="206"/>
        <v>2.6350074782043535E-2</v>
      </c>
      <c r="AH94" s="32">
        <f t="shared" si="206"/>
        <v>2.4952980471098091E-2</v>
      </c>
      <c r="AI94" s="29">
        <f t="shared" si="206"/>
        <v>0</v>
      </c>
      <c r="AJ94" s="29">
        <f t="shared" si="206"/>
        <v>0</v>
      </c>
      <c r="AK94" s="29">
        <f t="shared" si="206"/>
        <v>0</v>
      </c>
      <c r="AL94" s="29">
        <f t="shared" si="206"/>
        <v>0</v>
      </c>
      <c r="AM94" s="29">
        <f t="shared" si="206"/>
        <v>0</v>
      </c>
      <c r="AN94" s="29">
        <f t="shared" si="206"/>
        <v>0</v>
      </c>
      <c r="AO94" s="29">
        <f t="shared" si="206"/>
        <v>0</v>
      </c>
      <c r="AP94" s="29">
        <f t="shared" si="206"/>
        <v>0</v>
      </c>
      <c r="AQ94" s="32">
        <f t="shared" ref="AQ94" si="207">SQRT(AV94*V94/1000000000+AX94*AX94*AD94*AD94)*1000</f>
        <v>5.771651998097449E-2</v>
      </c>
      <c r="AR94" s="32">
        <f t="shared" ref="AR94" si="208">SQRT(AW94*Z94/1000000000)*1000</f>
        <v>1.0059546918951813E-2</v>
      </c>
      <c r="AS94" s="32">
        <f t="shared" ref="AS94" si="209">SQRT(AV94/1000000000*X94+AX94*AX94*AE94*AE94)*1000</f>
        <v>8.6721551294266966E-2</v>
      </c>
      <c r="AT94" s="32">
        <f t="shared" ref="AT94" si="210">SQRT(AW94/1000000000*AB94)*1000</f>
        <v>3.679312490616858E-3</v>
      </c>
      <c r="AU94" s="32">
        <f t="shared" ref="AU94" si="211">SQRT((V94*AV94*0.000000001+AD94*AD94*AX94^2)*(X94*AV94*0.000000001+AE94*AE94*AX94^2)-(W94*AV94*0.000000001+AD94*AE94*AX94^2)^2)*1000000000</f>
        <v>5.0052661480566636</v>
      </c>
      <c r="AV94" s="34">
        <f t="shared" ref="AV94:AX94" si="212">AV93</f>
        <v>3.7012216628845733</v>
      </c>
      <c r="AW94" s="34">
        <f t="shared" si="212"/>
        <v>3.7012216628845733E-2</v>
      </c>
      <c r="AX94" s="34">
        <f t="shared" si="212"/>
        <v>1.0629909222129516E-3</v>
      </c>
      <c r="AY94" s="34"/>
      <c r="AZ94" s="34"/>
      <c r="BA94" s="34"/>
      <c r="BB94" s="29">
        <f>Y94</f>
        <v>7.1607719161046299</v>
      </c>
      <c r="BC94" s="29"/>
      <c r="BD94" s="29"/>
      <c r="BE94" s="29"/>
      <c r="BF94" s="34"/>
      <c r="BG94" s="29">
        <f>AC94</f>
        <v>2.8243260689276819</v>
      </c>
      <c r="BH94" s="29"/>
      <c r="BI94" s="29"/>
      <c r="BJ94" s="29"/>
      <c r="BK94" s="29">
        <f t="shared" ref="BK94:CE94" si="213">SUM(BK24:BK93)</f>
        <v>1.2971065364827464E-2</v>
      </c>
      <c r="BL94" s="29">
        <f t="shared" si="213"/>
        <v>0.29958557137363429</v>
      </c>
      <c r="BM94" s="29">
        <f t="shared" si="213"/>
        <v>1.4569712504426178E-2</v>
      </c>
      <c r="BN94" s="29">
        <f t="shared" si="213"/>
        <v>2.3579887831775541E-5</v>
      </c>
      <c r="BO94" s="29">
        <f t="shared" si="213"/>
        <v>0</v>
      </c>
      <c r="BP94" s="29">
        <f t="shared" si="213"/>
        <v>1891.3642603510425</v>
      </c>
      <c r="BQ94" s="29">
        <f t="shared" si="213"/>
        <v>607.48723745079076</v>
      </c>
      <c r="BR94" s="29">
        <f t="shared" si="213"/>
        <v>46.940410697691462</v>
      </c>
      <c r="BS94" s="29">
        <f t="shared" si="213"/>
        <v>25.847598257058792</v>
      </c>
      <c r="BT94" s="29">
        <f t="shared" si="213"/>
        <v>0.79165944727439586</v>
      </c>
      <c r="BU94" s="29">
        <f t="shared" si="213"/>
        <v>142.7820625048719</v>
      </c>
      <c r="BV94" s="29">
        <f t="shared" si="213"/>
        <v>100.1632278934492</v>
      </c>
      <c r="BW94" s="29">
        <f t="shared" si="213"/>
        <v>1.4300046509350801E-2</v>
      </c>
      <c r="BX94" s="29">
        <f t="shared" si="213"/>
        <v>5.6169953947375E-2</v>
      </c>
      <c r="BY94" s="29">
        <f t="shared" si="213"/>
        <v>1.4796873209501693</v>
      </c>
      <c r="BZ94" s="29">
        <f t="shared" si="213"/>
        <v>1.5083548299879981</v>
      </c>
      <c r="CA94" s="29">
        <f t="shared" si="213"/>
        <v>53.223507749825437</v>
      </c>
      <c r="CB94" s="29">
        <f t="shared" si="213"/>
        <v>620.46365421830808</v>
      </c>
      <c r="CC94" s="29">
        <f t="shared" si="213"/>
        <v>0</v>
      </c>
      <c r="CD94" s="29">
        <f t="shared" si="213"/>
        <v>0</v>
      </c>
      <c r="CE94" s="29">
        <f t="shared" si="213"/>
        <v>0</v>
      </c>
      <c r="CF94" s="32">
        <f>E4</f>
        <v>6.04</v>
      </c>
      <c r="CG94" s="32"/>
      <c r="CH94" s="29">
        <f>SUM(CH24:CH93)</f>
        <v>26.387129195212609</v>
      </c>
      <c r="CI94" s="35"/>
      <c r="CJ94" s="29"/>
      <c r="CK94" s="17" t="s">
        <v>255</v>
      </c>
      <c r="CL94" s="29">
        <f>IF(E6="P",0.5*(CW94+CZ94),IF(E6="S",2*CW94*CZ94-1))</f>
        <v>-0.18333402148776279</v>
      </c>
      <c r="CM94" s="17" t="s">
        <v>1113</v>
      </c>
      <c r="CN94" s="29">
        <f>SIN(2*PI()*IF(E6="P",IF(CX94&gt;0,ACOS(CL94)/2/PI(),1-ACOS(CL94)/2/PI()),IF(E6="S",IF(CW94*CX94&lt;0,1-ACOS(2*CW94*CZ94-1)/PI()/2,ACOS(2*CW94*CZ94-1)/PI()/2),0)))</f>
        <v>0.98305067853347439</v>
      </c>
      <c r="CO94" s="29"/>
      <c r="CP94" s="29"/>
      <c r="CQ94" s="29"/>
      <c r="CR94" s="17" t="s">
        <v>255</v>
      </c>
      <c r="CS94" s="29">
        <f>IF(E6="P",(DB94+DE94)/2,IF(E6="S",2*DB94*DE94-1))</f>
        <v>0.80534852219830011</v>
      </c>
      <c r="CT94" s="17" t="s">
        <v>1113</v>
      </c>
      <c r="CU94" s="29">
        <f>SIN(2*PI()*IF(E6="P",IF(DC94&gt;0,ACOS(CS94)/2/PI(),1-ACOS(CS94)/2/PI()),IF(E6="S",IF(DB94*DC94&lt;0,1-ACOS(2*DB94*DE94-1)/PI()/2,ACOS(2*DB94*DE94-1)/PI()/2),0)))</f>
        <v>-0.59280161756949867</v>
      </c>
      <c r="CV94" s="29"/>
      <c r="CW94" s="8">
        <f>CW93</f>
        <v>7.5646754528953752E-2</v>
      </c>
      <c r="CX94" s="8">
        <f>CX93</f>
        <v>3.1977656328815467</v>
      </c>
      <c r="CY94" s="8">
        <f>CY93</f>
        <v>-0.18502513275518756</v>
      </c>
      <c r="CZ94" s="8">
        <f>CZ93</f>
        <v>5.397891711267393</v>
      </c>
      <c r="DA94" s="29"/>
      <c r="DB94" s="8">
        <f>DB93</f>
        <v>-0.98879095556683982</v>
      </c>
      <c r="DC94" s="8">
        <f>DC93</f>
        <v>0.81957111714943176</v>
      </c>
      <c r="DD94" s="8">
        <f>DD93</f>
        <v>-0.11875203611293823</v>
      </c>
      <c r="DE94" s="8">
        <f>DE93</f>
        <v>-0.91290707708959373</v>
      </c>
      <c r="DF94" s="29">
        <f t="shared" ref="DF94:DO94" si="214">SUM(DF24:DF93)</f>
        <v>7.1847466496162971E-2</v>
      </c>
      <c r="DG94" s="29">
        <f t="shared" si="214"/>
        <v>4.846113974580425E-3</v>
      </c>
      <c r="DH94" s="29">
        <f t="shared" si="214"/>
        <v>8.136221065303437E-3</v>
      </c>
      <c r="DI94" s="29">
        <f t="shared" si="214"/>
        <v>3.4286927788399607E-4</v>
      </c>
      <c r="DJ94" s="29">
        <f t="shared" si="214"/>
        <v>7.6258575517342327E-6</v>
      </c>
      <c r="DK94" s="29">
        <f t="shared" si="214"/>
        <v>5.6636344283236831E-7</v>
      </c>
      <c r="DL94" s="29">
        <f t="shared" si="214"/>
        <v>0.19634960199999998</v>
      </c>
      <c r="DM94" s="29">
        <f t="shared" si="214"/>
        <v>1.195489300086369E-2</v>
      </c>
      <c r="DN94" s="424">
        <f t="shared" si="214"/>
        <v>1.5836311984956435</v>
      </c>
      <c r="DO94" s="424">
        <f t="shared" si="214"/>
        <v>2.3367025474637764</v>
      </c>
      <c r="DP94" s="434" t="str">
        <f t="shared" ref="DP94:DW94" si="215">IMSUM(DP24:DP93)</f>
        <v>1.45710622535473+0.670408865385635i</v>
      </c>
      <c r="DQ94" s="434" t="str">
        <f t="shared" si="215"/>
        <v>-0.354031873572725+0.380535833570219i</v>
      </c>
      <c r="DR94" s="434" t="str">
        <f t="shared" si="215"/>
        <v>-0.921696451635974+0.241940245844358i</v>
      </c>
      <c r="DS94" s="434" t="str">
        <f t="shared" si="215"/>
        <v>-3.7252264290415+4.97476623789371i</v>
      </c>
      <c r="DT94" s="434" t="str">
        <f t="shared" si="215"/>
        <v>5.35108708302792-0.0424101252493543i</v>
      </c>
      <c r="DU94" s="434" t="str">
        <f t="shared" si="215"/>
        <v>7.8057733338627-3.15352382209028i</v>
      </c>
      <c r="DV94" s="434" t="str">
        <f t="shared" si="215"/>
        <v>-4.43884711962201+1.20556263255263i</v>
      </c>
      <c r="DW94" s="434" t="str">
        <f t="shared" si="215"/>
        <v>-0.0541045905099811-1.65672044506513i</v>
      </c>
      <c r="DX94" s="425">
        <f>SUM(DX24:DX93)</f>
        <v>46.097695960577063</v>
      </c>
      <c r="DY94" s="425">
        <f>SUM(DY24:DY93)</f>
        <v>75.582548464305049</v>
      </c>
      <c r="DZ94" s="425">
        <f>SUM(DZ24:DZ93)</f>
        <v>47.184629849213316</v>
      </c>
      <c r="EA94" s="425">
        <f>MAX(EA24:EA93)</f>
        <v>0.77604600000000001</v>
      </c>
      <c r="EB94" s="29">
        <f>SUM(EB24:EB93)</f>
        <v>158.36332825347588</v>
      </c>
      <c r="EC94" s="29">
        <f>SUM(EC24:EC93)</f>
        <v>1248.1841123957531</v>
      </c>
      <c r="ED94" s="29">
        <f>SUM(ED24:ED93)</f>
        <v>2.4021700490106568</v>
      </c>
      <c r="EE94" s="33">
        <f>SUM(EE24:EE93)</f>
        <v>5.9253003706672677E-2</v>
      </c>
      <c r="EF94" s="29"/>
      <c r="EG94" s="29"/>
      <c r="EH94" s="29" t="e">
        <f t="shared" ref="EH94:EU94" si="216">SUM(EH24:EH93)</f>
        <v>#DIV/0!</v>
      </c>
      <c r="EI94" s="29" t="e">
        <f t="shared" si="216"/>
        <v>#DIV/0!</v>
      </c>
      <c r="EJ94" s="29" t="e">
        <f t="shared" si="216"/>
        <v>#DIV/0!</v>
      </c>
      <c r="EK94" s="29" t="e">
        <f t="shared" si="216"/>
        <v>#DIV/0!</v>
      </c>
      <c r="EL94" s="29" t="e">
        <f t="shared" si="216"/>
        <v>#DIV/0!</v>
      </c>
      <c r="EM94" s="29" t="e">
        <f t="shared" si="216"/>
        <v>#DIV/0!</v>
      </c>
      <c r="EN94" s="29" t="e">
        <f t="shared" si="216"/>
        <v>#DIV/0!</v>
      </c>
      <c r="EO94" s="29" t="e">
        <f t="shared" si="216"/>
        <v>#DIV/0!</v>
      </c>
      <c r="EP94" s="29" t="e">
        <f t="shared" si="216"/>
        <v>#DIV/0!</v>
      </c>
      <c r="EQ94" s="29" t="e">
        <f t="shared" si="216"/>
        <v>#DIV/0!</v>
      </c>
      <c r="ER94" s="29" t="e">
        <f t="shared" si="216"/>
        <v>#DIV/0!</v>
      </c>
      <c r="ES94" s="29" t="e">
        <f t="shared" si="216"/>
        <v>#DIV/0!</v>
      </c>
      <c r="ET94" s="29" t="e">
        <f t="shared" si="216"/>
        <v>#DIV/0!</v>
      </c>
      <c r="EU94" s="29">
        <f t="shared" si="216"/>
        <v>542.12289743624547</v>
      </c>
      <c r="EW94" s="239" t="str">
        <f>IMSUM(EW24:EW93)</f>
        <v>17.0811767197545+0.654752347001366i</v>
      </c>
      <c r="EX94" s="239" t="str">
        <f>IMSUM(EX24:EX93)</f>
        <v>51.2994068757872+8.40052520945214i</v>
      </c>
      <c r="EY94" s="239" t="str">
        <f>IMSUM(EY24:EY93)</f>
        <v>352.785594118041+67.8971430062253i</v>
      </c>
      <c r="EZ94" s="239" t="str">
        <f>IMSUM(EZ24:EZ93)</f>
        <v>77.5705060079181+139.708233909496i</v>
      </c>
      <c r="FA94" s="239" t="str">
        <f>IMSUM(FA24:FA93)</f>
        <v>-186.935058084128+222.058499485466i</v>
      </c>
      <c r="FB94" s="239"/>
    </row>
    <row r="95" spans="1:229" ht="17.25" customHeight="1" outlineLevel="1">
      <c r="R95" s="28"/>
      <c r="S95" s="28"/>
      <c r="T95" s="28"/>
      <c r="U95" s="28"/>
      <c r="V95" s="84"/>
      <c r="W95" s="84"/>
      <c r="X95" s="84"/>
      <c r="Y95" s="84"/>
      <c r="Z95" s="84"/>
      <c r="AA95" s="84"/>
      <c r="AB95" s="84"/>
      <c r="AC95" s="84"/>
      <c r="AD95" s="28"/>
      <c r="AE95" s="84"/>
      <c r="AF95" s="84"/>
      <c r="AG95" s="28"/>
      <c r="AH95" s="28"/>
      <c r="AI95" s="84"/>
      <c r="AJ95" s="84"/>
      <c r="AK95" s="84"/>
      <c r="AL95" s="84"/>
      <c r="AM95" s="84"/>
      <c r="AN95" s="84"/>
      <c r="AO95" s="84"/>
      <c r="AP95" s="84"/>
      <c r="AQ95" s="28"/>
      <c r="AR95" s="28"/>
      <c r="AS95" s="28"/>
      <c r="AT95" s="28"/>
      <c r="AU95" s="28"/>
      <c r="AV95" s="85"/>
      <c r="AW95" s="85"/>
      <c r="AX95" s="85"/>
      <c r="AY95" s="85"/>
      <c r="AZ95" s="85"/>
      <c r="BA95" s="85"/>
      <c r="BB95" s="85"/>
      <c r="BC95" s="85"/>
      <c r="BD95" s="85"/>
      <c r="BE95" s="85"/>
      <c r="BF95" s="85"/>
      <c r="BG95" s="85"/>
      <c r="BH95" s="85"/>
      <c r="BI95" s="85"/>
      <c r="BJ95" s="85"/>
      <c r="BK95" s="85"/>
      <c r="BL95" s="85"/>
      <c r="BM95" s="85"/>
      <c r="BN95" s="85"/>
      <c r="BO95" s="85"/>
      <c r="BP95" s="85"/>
      <c r="BQ95" s="85"/>
      <c r="BR95" s="85"/>
      <c r="BS95" s="85"/>
      <c r="BT95" s="85"/>
      <c r="BU95" s="85"/>
      <c r="BV95" s="85"/>
      <c r="BW95" s="85"/>
      <c r="BX95" s="85"/>
      <c r="BY95" s="85"/>
      <c r="BZ95" s="85"/>
      <c r="CA95" s="85"/>
      <c r="CB95" s="85"/>
      <c r="CC95" s="85"/>
      <c r="CD95" s="85"/>
      <c r="CE95" s="85"/>
      <c r="CF95" s="28"/>
      <c r="CG95" s="28"/>
      <c r="CH95" s="84"/>
      <c r="CI95" s="86"/>
      <c r="CJ95" s="84"/>
      <c r="CK95" s="87"/>
      <c r="CL95" s="84"/>
      <c r="CM95" s="87"/>
      <c r="CN95" s="84"/>
      <c r="CO95" s="84"/>
      <c r="CP95" s="84"/>
      <c r="CQ95" s="84"/>
      <c r="CR95" s="87"/>
      <c r="CS95" s="84"/>
      <c r="CT95" s="87"/>
      <c r="CU95" s="84"/>
      <c r="CV95" s="84"/>
      <c r="CW95" s="12"/>
      <c r="CX95" s="12"/>
      <c r="CY95" s="12"/>
      <c r="CZ95" s="12"/>
      <c r="DA95" s="84"/>
      <c r="DB95" s="12"/>
      <c r="DC95" s="12"/>
      <c r="DD95" s="12"/>
      <c r="DE95" s="12"/>
      <c r="DF95" s="12"/>
      <c r="DG95" s="84"/>
      <c r="DH95" s="84"/>
      <c r="DI95" s="84"/>
      <c r="DJ95" s="84"/>
      <c r="DK95" s="84"/>
      <c r="DL95" s="84"/>
      <c r="DM95" s="84"/>
      <c r="DN95" s="99"/>
      <c r="DO95" s="99"/>
      <c r="DP95" s="435">
        <f t="shared" ref="DP95:DW95" si="217">IMABS(DP94)</f>
        <v>1.6039347239695148</v>
      </c>
      <c r="DQ95" s="435">
        <f t="shared" si="217"/>
        <v>0.51975579663568483</v>
      </c>
      <c r="DR95" s="435">
        <f t="shared" si="217"/>
        <v>0.95292152432273969</v>
      </c>
      <c r="DS95" s="435">
        <f t="shared" si="217"/>
        <v>6.2149506087592057</v>
      </c>
      <c r="DT95" s="435">
        <f t="shared" si="217"/>
        <v>5.3512551414478384</v>
      </c>
      <c r="DU95" s="435">
        <f t="shared" si="217"/>
        <v>8.4187178261379501</v>
      </c>
      <c r="DV95" s="435">
        <f t="shared" si="217"/>
        <v>4.5996461833910489</v>
      </c>
      <c r="DW95" s="435">
        <f t="shared" si="217"/>
        <v>1.6576036739254214</v>
      </c>
      <c r="DX95" s="435"/>
      <c r="DY95" s="435"/>
      <c r="DZ95" s="435"/>
      <c r="EA95" s="436"/>
      <c r="EB95" s="84"/>
      <c r="EC95" s="84"/>
      <c r="ED95" s="84"/>
      <c r="EE95" s="97"/>
      <c r="EF95" s="97"/>
      <c r="EG95" s="97"/>
      <c r="EH95" s="84"/>
      <c r="EI95" s="84"/>
      <c r="EJ95" s="84"/>
      <c r="EK95" s="84"/>
      <c r="EL95" s="84"/>
      <c r="EM95" s="84"/>
      <c r="EN95" s="84"/>
      <c r="EO95" s="84"/>
      <c r="EP95" s="84"/>
      <c r="EQ95" s="84"/>
      <c r="ER95" s="84"/>
      <c r="ES95" s="84"/>
      <c r="ET95" s="84"/>
      <c r="EU95" s="84"/>
    </row>
    <row r="96" spans="1:229" s="89" customFormat="1" ht="15.75" customHeight="1" collapsed="1">
      <c r="B96" s="90" t="s">
        <v>168</v>
      </c>
      <c r="D96" s="91"/>
      <c r="N96" s="447"/>
      <c r="O96" s="447"/>
      <c r="P96" s="464"/>
      <c r="Q96" s="464"/>
      <c r="CH96" s="92"/>
      <c r="DN96" s="437"/>
      <c r="DO96" s="437"/>
      <c r="DP96" s="438"/>
      <c r="DQ96" s="438"/>
      <c r="DR96" s="438"/>
      <c r="DS96" s="438"/>
      <c r="DT96" s="438"/>
      <c r="DU96" s="438"/>
      <c r="DV96" s="438"/>
      <c r="DW96" s="438"/>
      <c r="DX96" s="438"/>
      <c r="DY96" s="438"/>
      <c r="DZ96" s="438"/>
      <c r="EA96" s="438"/>
      <c r="EE96" s="339"/>
      <c r="EF96" s="339"/>
      <c r="EG96" s="339"/>
      <c r="EH96" s="340"/>
      <c r="EI96" s="340"/>
      <c r="EJ96" s="340"/>
      <c r="EK96" s="340"/>
      <c r="EL96" s="340"/>
      <c r="EM96" s="340"/>
      <c r="EN96" s="340"/>
      <c r="EO96" s="340"/>
      <c r="EP96" s="340"/>
      <c r="EQ96" s="340"/>
      <c r="ER96" s="340"/>
      <c r="ES96" s="340"/>
      <c r="ET96" s="340"/>
      <c r="EU96" s="340"/>
      <c r="EV96" s="31"/>
      <c r="EW96" s="24"/>
      <c r="EX96" s="24"/>
      <c r="EY96" s="24"/>
      <c r="EZ96" s="24"/>
      <c r="FA96" s="24"/>
      <c r="FB96" s="24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</row>
    <row r="97" spans="2:229" ht="18.75" hidden="1" customHeight="1" outlineLevel="1">
      <c r="D97" s="93"/>
      <c r="F97" s="93"/>
      <c r="G97" s="24"/>
      <c r="H97" s="24"/>
      <c r="I97" s="24"/>
      <c r="J97" s="24"/>
      <c r="R97" s="28"/>
      <c r="S97" s="28"/>
      <c r="T97" s="28"/>
      <c r="U97" s="28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28"/>
      <c r="AH97" s="28"/>
      <c r="AI97" s="84"/>
      <c r="AJ97" s="84"/>
      <c r="AK97" s="84"/>
      <c r="AL97" s="84"/>
      <c r="AM97" s="84"/>
      <c r="AN97" s="84"/>
      <c r="AO97" s="84"/>
      <c r="AP97" s="84"/>
      <c r="AQ97" s="28"/>
      <c r="AR97" s="28"/>
      <c r="AS97" s="28"/>
      <c r="AT97" s="28"/>
      <c r="AU97" s="28"/>
      <c r="AV97" s="85"/>
      <c r="AW97" s="85"/>
      <c r="AX97" s="85"/>
      <c r="AY97" s="85"/>
      <c r="AZ97" s="85"/>
      <c r="BA97" s="85"/>
      <c r="BB97" s="85"/>
      <c r="BC97" s="85"/>
      <c r="BD97" s="85"/>
      <c r="BE97" s="85"/>
      <c r="BF97" s="85"/>
      <c r="BG97" s="85"/>
      <c r="BH97" s="85"/>
      <c r="BI97" s="85"/>
      <c r="BJ97" s="85"/>
      <c r="BK97" s="85"/>
      <c r="BL97" s="85"/>
      <c r="BM97" s="85"/>
      <c r="BN97" s="85"/>
      <c r="BO97" s="85"/>
      <c r="BP97" s="85"/>
      <c r="BQ97" s="85"/>
      <c r="BR97" s="85"/>
      <c r="BS97" s="85"/>
      <c r="BT97" s="85"/>
      <c r="BU97" s="85"/>
      <c r="BV97" s="85"/>
      <c r="BW97" s="85"/>
      <c r="BX97" s="85"/>
      <c r="BY97" s="85"/>
      <c r="BZ97" s="85"/>
      <c r="CA97" s="85"/>
      <c r="CB97" s="85"/>
      <c r="CC97" s="85"/>
      <c r="CD97" s="85"/>
      <c r="CE97" s="85"/>
      <c r="CF97" s="28"/>
      <c r="CG97" s="28"/>
      <c r="CH97" s="84"/>
      <c r="CI97" s="86"/>
      <c r="CJ97" s="84"/>
      <c r="CK97" s="87"/>
      <c r="CL97" s="84"/>
      <c r="CM97" s="87"/>
      <c r="CN97" s="84"/>
      <c r="CO97" s="84"/>
      <c r="CP97" s="84"/>
      <c r="CQ97" s="84"/>
      <c r="CR97" s="87"/>
      <c r="CS97" s="84"/>
      <c r="CT97" s="87"/>
      <c r="CU97" s="84"/>
      <c r="CV97" s="84"/>
      <c r="CW97" s="12"/>
      <c r="CX97" s="12"/>
      <c r="CY97" s="12"/>
      <c r="CZ97" s="12"/>
      <c r="DA97" s="84"/>
      <c r="DB97" s="12"/>
      <c r="DC97" s="12"/>
      <c r="DD97" s="12"/>
      <c r="DE97" s="12"/>
      <c r="DF97" s="12"/>
      <c r="DG97" s="84"/>
      <c r="DH97" s="84"/>
      <c r="DI97" s="84"/>
      <c r="DJ97" s="84"/>
      <c r="DK97" s="84"/>
      <c r="DL97" s="84"/>
      <c r="DM97" s="84"/>
      <c r="DN97" s="99"/>
      <c r="DO97" s="99"/>
      <c r="DP97" s="435"/>
      <c r="DQ97" s="435"/>
      <c r="DR97" s="435"/>
      <c r="DS97" s="435"/>
      <c r="DT97" s="435"/>
      <c r="DU97" s="435"/>
      <c r="DV97" s="435"/>
      <c r="DW97" s="435"/>
      <c r="DX97" s="435"/>
      <c r="DY97" s="435"/>
      <c r="DZ97" s="435"/>
      <c r="EA97" s="436"/>
      <c r="EB97" s="84"/>
      <c r="EC97" s="84"/>
      <c r="ED97" s="84"/>
      <c r="EE97" s="97"/>
      <c r="EF97" s="97"/>
      <c r="EG97" s="97"/>
      <c r="EH97" s="84"/>
      <c r="EI97" s="84"/>
      <c r="EJ97" s="84"/>
      <c r="EK97" s="84"/>
      <c r="EL97" s="84"/>
      <c r="EM97" s="84"/>
      <c r="EN97" s="84"/>
      <c r="EO97" s="84"/>
      <c r="EP97" s="84"/>
      <c r="EQ97" s="84"/>
      <c r="ER97" s="84"/>
      <c r="ES97" s="84"/>
      <c r="ET97" s="84"/>
      <c r="EU97" s="84"/>
    </row>
    <row r="98" spans="2:229" ht="18.75" hidden="1" customHeight="1" outlineLevel="1">
      <c r="C98" s="94"/>
      <c r="D98" s="93"/>
      <c r="F98" s="93"/>
      <c r="G98" s="31" t="s">
        <v>440</v>
      </c>
      <c r="H98" s="31" t="s">
        <v>441</v>
      </c>
      <c r="I98" s="24"/>
      <c r="J98" s="24"/>
      <c r="R98" s="28"/>
      <c r="S98" s="28"/>
      <c r="T98" s="28"/>
      <c r="U98" s="28"/>
      <c r="V98" s="84"/>
      <c r="W98" s="84"/>
      <c r="X98" s="84"/>
      <c r="Y98" s="84"/>
      <c r="Z98" s="84"/>
      <c r="AA98" s="84"/>
      <c r="AB98" s="84"/>
      <c r="AC98" s="84"/>
      <c r="AD98" s="28"/>
      <c r="AE98" s="84"/>
      <c r="AF98" s="84"/>
      <c r="AG98" s="28"/>
      <c r="AH98" s="28"/>
      <c r="AI98" s="84"/>
      <c r="AJ98" s="84"/>
      <c r="AK98" s="84"/>
      <c r="AL98" s="84"/>
      <c r="AM98" s="84"/>
      <c r="AN98" s="84"/>
      <c r="AO98" s="84"/>
      <c r="AP98" s="84"/>
      <c r="AQ98" s="28"/>
      <c r="AR98" s="28"/>
      <c r="AS98" s="28"/>
      <c r="AT98" s="28"/>
      <c r="AU98" s="28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5"/>
      <c r="BL98" s="85"/>
      <c r="BM98" s="85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28"/>
      <c r="CG98" s="28"/>
      <c r="CH98" s="84"/>
      <c r="CI98" s="86"/>
      <c r="CJ98" s="84"/>
      <c r="CK98" s="87"/>
      <c r="CL98" s="84"/>
      <c r="CM98" s="87"/>
      <c r="CN98" s="84"/>
      <c r="CO98" s="84"/>
      <c r="CP98" s="84"/>
      <c r="CQ98" s="84"/>
      <c r="CR98" s="87"/>
      <c r="CS98" s="84"/>
      <c r="CT98" s="87"/>
      <c r="CU98" s="84"/>
      <c r="CV98" s="84"/>
      <c r="CW98" s="12"/>
      <c r="CX98" s="12"/>
      <c r="CY98" s="12"/>
      <c r="CZ98" s="12"/>
      <c r="DA98" s="84"/>
      <c r="DB98" s="12"/>
      <c r="DC98" s="12"/>
      <c r="DD98" s="12"/>
      <c r="DE98" s="12"/>
      <c r="DF98" s="12"/>
      <c r="DG98" s="84"/>
      <c r="DH98" s="84"/>
      <c r="DI98" s="84"/>
      <c r="DJ98" s="84"/>
      <c r="DK98" s="84"/>
      <c r="DL98" s="84"/>
      <c r="DM98" s="84"/>
      <c r="DN98" s="99"/>
      <c r="DO98" s="99"/>
      <c r="DP98" s="435"/>
      <c r="DQ98" s="435"/>
      <c r="DR98" s="435"/>
      <c r="DS98" s="435"/>
      <c r="DT98" s="435"/>
      <c r="DU98" s="435"/>
      <c r="DV98" s="435"/>
      <c r="DW98" s="435"/>
      <c r="DX98" s="435"/>
      <c r="DY98" s="435"/>
      <c r="DZ98" s="435"/>
      <c r="EA98" s="436"/>
      <c r="EB98" s="84"/>
      <c r="EC98" s="84"/>
      <c r="ED98" s="84"/>
      <c r="EE98" s="97"/>
      <c r="EF98" s="97"/>
      <c r="EG98" s="97"/>
      <c r="EH98" s="84"/>
      <c r="EI98" s="84"/>
      <c r="EJ98" s="84"/>
      <c r="EK98" s="84"/>
      <c r="EL98" s="84"/>
      <c r="EM98" s="84"/>
      <c r="EN98" s="84"/>
      <c r="EO98" s="84"/>
      <c r="EP98" s="84"/>
      <c r="EQ98" s="84"/>
      <c r="ER98" s="84"/>
      <c r="ES98" s="84"/>
      <c r="ET98" s="84"/>
      <c r="EU98" s="84"/>
    </row>
    <row r="99" spans="2:229" ht="18.75" hidden="1" customHeight="1" outlineLevel="1">
      <c r="C99" s="94"/>
      <c r="D99" s="93"/>
      <c r="F99" s="93" t="s">
        <v>1120</v>
      </c>
      <c r="G99" s="28">
        <f>F186/H99</f>
        <v>7.9733172366604685E-7</v>
      </c>
      <c r="H99" s="336">
        <v>1000000</v>
      </c>
      <c r="I99" s="24" t="s">
        <v>442</v>
      </c>
      <c r="J99" s="94">
        <f>C202/K99</f>
        <v>-7.7345606382154468</v>
      </c>
      <c r="K99" s="31">
        <v>1</v>
      </c>
      <c r="R99" s="28"/>
      <c r="S99" s="28"/>
      <c r="T99" s="28"/>
      <c r="U99" s="28"/>
      <c r="V99" s="84"/>
      <c r="W99" s="84"/>
      <c r="X99" s="84"/>
      <c r="Y99" s="84"/>
      <c r="Z99" s="84"/>
      <c r="AA99" s="84"/>
      <c r="AB99" s="84"/>
      <c r="AC99" s="84"/>
      <c r="AD99" s="28"/>
      <c r="AE99" s="84"/>
      <c r="AF99" s="84"/>
      <c r="AG99" s="28"/>
      <c r="AH99" s="28"/>
      <c r="AI99" s="84"/>
      <c r="AJ99" s="84"/>
      <c r="AK99" s="84"/>
      <c r="AL99" s="84"/>
      <c r="AM99" s="84"/>
      <c r="AN99" s="84"/>
      <c r="AO99" s="84"/>
      <c r="AP99" s="84"/>
      <c r="AQ99" s="28"/>
      <c r="AR99" s="28"/>
      <c r="AS99" s="28"/>
      <c r="AT99" s="28"/>
      <c r="AU99" s="28"/>
      <c r="AV99" s="85"/>
      <c r="AW99" s="85"/>
      <c r="AX99" s="85"/>
      <c r="AY99" s="85"/>
      <c r="AZ99" s="85"/>
      <c r="BA99" s="85"/>
      <c r="BB99" s="85"/>
      <c r="BC99" s="85"/>
      <c r="BD99" s="85"/>
      <c r="BE99" s="85"/>
      <c r="BF99" s="85"/>
      <c r="BG99" s="85"/>
      <c r="BH99" s="85"/>
      <c r="BI99" s="85"/>
      <c r="BJ99" s="85"/>
      <c r="BK99" s="85"/>
      <c r="BL99" s="85"/>
      <c r="BM99" s="85"/>
      <c r="BN99" s="85"/>
      <c r="BO99" s="85"/>
      <c r="BP99" s="85"/>
      <c r="BQ99" s="85"/>
      <c r="BR99" s="85"/>
      <c r="BS99" s="85"/>
      <c r="BT99" s="85"/>
      <c r="BU99" s="85"/>
      <c r="BV99" s="85"/>
      <c r="BW99" s="85"/>
      <c r="BX99" s="85"/>
      <c r="BY99" s="85"/>
      <c r="BZ99" s="85"/>
      <c r="CA99" s="85"/>
      <c r="CB99" s="85"/>
      <c r="CC99" s="85"/>
      <c r="CD99" s="85"/>
      <c r="CE99" s="85"/>
      <c r="CF99" s="28"/>
      <c r="CG99" s="28"/>
      <c r="CH99" s="84"/>
      <c r="CI99" s="86"/>
      <c r="CJ99" s="84"/>
      <c r="CK99" s="87"/>
      <c r="CL99" s="84"/>
      <c r="CM99" s="87"/>
      <c r="CN99" s="84"/>
      <c r="CO99" s="84"/>
      <c r="CP99" s="84"/>
      <c r="CQ99" s="84"/>
      <c r="CR99" s="87"/>
      <c r="CS99" s="84"/>
      <c r="CT99" s="87"/>
      <c r="CU99" s="84"/>
      <c r="CV99" s="84"/>
      <c r="CW99" s="12"/>
      <c r="CX99" s="12"/>
      <c r="CY99" s="12"/>
      <c r="CZ99" s="12"/>
      <c r="DA99" s="84"/>
      <c r="DB99" s="12"/>
      <c r="DC99" s="12"/>
      <c r="DD99" s="12"/>
      <c r="DE99" s="12"/>
      <c r="DF99" s="12"/>
      <c r="DG99" s="84"/>
      <c r="DH99" s="84"/>
      <c r="DI99" s="84"/>
      <c r="DJ99" s="84"/>
      <c r="DK99" s="84"/>
      <c r="DL99" s="84"/>
      <c r="DM99" s="84"/>
      <c r="DN99" s="99"/>
      <c r="DO99" s="99"/>
      <c r="DP99" s="435"/>
      <c r="DQ99" s="435"/>
      <c r="DR99" s="435"/>
      <c r="DS99" s="435"/>
      <c r="DT99" s="435"/>
      <c r="DU99" s="435"/>
      <c r="DV99" s="435"/>
      <c r="DW99" s="435"/>
      <c r="DX99" s="435"/>
      <c r="DY99" s="435"/>
      <c r="DZ99" s="435"/>
      <c r="EA99" s="436"/>
      <c r="EB99" s="84"/>
      <c r="EC99" s="84"/>
      <c r="ED99" s="84"/>
      <c r="EE99" s="97"/>
      <c r="EF99" s="97"/>
      <c r="EG99" s="97"/>
      <c r="EH99" s="84"/>
      <c r="EI99" s="84"/>
      <c r="EJ99" s="84"/>
      <c r="EK99" s="84"/>
      <c r="EL99" s="84"/>
      <c r="EM99" s="84"/>
      <c r="EN99" s="84"/>
      <c r="EO99" s="84"/>
      <c r="EP99" s="84"/>
      <c r="EQ99" s="84"/>
      <c r="ER99" s="84"/>
      <c r="ES99" s="84"/>
      <c r="ET99" s="84"/>
      <c r="EU99" s="84"/>
    </row>
    <row r="100" spans="2:229" ht="17.25" hidden="1" customHeight="1" outlineLevel="1">
      <c r="D100" s="93"/>
      <c r="E100" s="24"/>
      <c r="F100" s="93" t="s">
        <v>903</v>
      </c>
      <c r="G100" s="28">
        <f>F187/H100</f>
        <v>1.7230091441732502E-6</v>
      </c>
      <c r="H100" s="336">
        <v>1000000</v>
      </c>
      <c r="I100" s="24" t="s">
        <v>444</v>
      </c>
      <c r="J100" s="94">
        <f>C203/K100</f>
        <v>-5.728383608637972</v>
      </c>
      <c r="K100" s="31">
        <v>1</v>
      </c>
      <c r="R100" s="28"/>
      <c r="S100" s="28"/>
      <c r="T100" s="28"/>
      <c r="U100" s="28"/>
      <c r="V100" s="84"/>
      <c r="W100" s="84"/>
      <c r="X100" s="84"/>
      <c r="Y100" s="84"/>
      <c r="Z100" s="84"/>
      <c r="AA100" s="84"/>
      <c r="AB100" s="84"/>
      <c r="AC100" s="84"/>
      <c r="AD100" s="28"/>
      <c r="AE100" s="84"/>
      <c r="AF100" s="84"/>
      <c r="AG100" s="28"/>
      <c r="AH100" s="28"/>
      <c r="AI100" s="84"/>
      <c r="AJ100" s="84"/>
      <c r="AK100" s="84"/>
      <c r="AL100" s="84"/>
      <c r="AM100" s="84"/>
      <c r="AN100" s="84"/>
      <c r="AO100" s="84"/>
      <c r="AP100" s="84"/>
      <c r="AQ100" s="28"/>
      <c r="AR100" s="28"/>
      <c r="AS100" s="28"/>
      <c r="AT100" s="28"/>
      <c r="AU100" s="28"/>
      <c r="AV100" s="85"/>
      <c r="AW100" s="85"/>
      <c r="AX100" s="85"/>
      <c r="AY100" s="85"/>
      <c r="AZ100" s="85"/>
      <c r="BA100" s="85"/>
      <c r="BB100" s="85"/>
      <c r="BC100" s="85"/>
      <c r="BD100" s="85"/>
      <c r="BE100" s="85"/>
      <c r="BF100" s="85"/>
      <c r="BG100" s="85"/>
      <c r="BH100" s="85"/>
      <c r="BI100" s="85"/>
      <c r="BJ100" s="85"/>
      <c r="BK100" s="85"/>
      <c r="BL100" s="85"/>
      <c r="BM100" s="85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28"/>
      <c r="CG100" s="28"/>
      <c r="CH100" s="84"/>
      <c r="CI100" s="86"/>
      <c r="CJ100" s="84"/>
      <c r="CK100" s="87"/>
      <c r="CL100" s="84"/>
      <c r="CM100" s="87"/>
      <c r="CN100" s="84"/>
      <c r="CO100" s="84"/>
      <c r="CP100" s="84"/>
      <c r="CQ100" s="84"/>
      <c r="CR100" s="87"/>
      <c r="CS100" s="84"/>
      <c r="CT100" s="87"/>
      <c r="CU100" s="84"/>
      <c r="CV100" s="84"/>
      <c r="CW100" s="12"/>
      <c r="CX100" s="12"/>
      <c r="CY100" s="12"/>
      <c r="CZ100" s="12"/>
      <c r="DA100" s="84"/>
      <c r="DB100" s="12"/>
      <c r="DC100" s="12"/>
      <c r="DD100" s="12"/>
      <c r="DE100" s="12"/>
      <c r="DF100" s="12"/>
      <c r="DG100" s="84"/>
      <c r="DH100" s="84"/>
      <c r="DI100" s="84"/>
      <c r="DJ100" s="84"/>
      <c r="DK100" s="84"/>
      <c r="DL100" s="84"/>
      <c r="DM100" s="84"/>
      <c r="DN100" s="99"/>
      <c r="DO100" s="99"/>
      <c r="DP100" s="435"/>
      <c r="DQ100" s="435"/>
      <c r="DR100" s="435"/>
      <c r="DS100" s="435"/>
      <c r="DT100" s="435"/>
      <c r="DU100" s="435"/>
      <c r="DV100" s="435"/>
      <c r="DW100" s="435"/>
      <c r="DX100" s="435"/>
      <c r="DY100" s="435"/>
      <c r="DZ100" s="435"/>
      <c r="EA100" s="436"/>
      <c r="EB100" s="84"/>
      <c r="EC100" s="84"/>
      <c r="ED100" s="84"/>
      <c r="EE100" s="97"/>
      <c r="EF100" s="97"/>
      <c r="EG100" s="97"/>
      <c r="EH100" s="84"/>
      <c r="EI100" s="84"/>
      <c r="EJ100" s="84"/>
      <c r="EK100" s="84"/>
      <c r="EL100" s="84"/>
      <c r="EM100" s="84"/>
      <c r="EN100" s="84"/>
      <c r="EO100" s="84"/>
      <c r="EP100" s="84"/>
      <c r="EQ100" s="84"/>
      <c r="ER100" s="84"/>
      <c r="ES100" s="84"/>
      <c r="ET100" s="84"/>
      <c r="EU100" s="84"/>
    </row>
    <row r="101" spans="2:229" ht="17.25" hidden="1" customHeight="1" outlineLevel="1">
      <c r="C101" s="24" t="s">
        <v>169</v>
      </c>
      <c r="D101" s="96">
        <f>D168</f>
        <v>3.7012216628845733</v>
      </c>
      <c r="F101" s="31" t="s">
        <v>565</v>
      </c>
      <c r="G101" s="28">
        <f>F188/H101</f>
        <v>1.0475118383373858</v>
      </c>
      <c r="H101" s="31">
        <v>1</v>
      </c>
      <c r="I101" s="31" t="s">
        <v>443</v>
      </c>
      <c r="J101" s="94">
        <f>C204/K101</f>
        <v>-5.0184808842948021</v>
      </c>
      <c r="K101" s="31">
        <v>1</v>
      </c>
      <c r="R101" s="28"/>
      <c r="S101" s="28"/>
      <c r="T101" s="28"/>
      <c r="U101" s="28"/>
      <c r="AB101" s="84"/>
      <c r="AC101" s="84"/>
      <c r="AD101" s="28"/>
      <c r="AE101" s="84">
        <f>MIN($D$102)</f>
        <v>3.9830971748735911</v>
      </c>
      <c r="AF101" s="84"/>
      <c r="AG101" s="28"/>
      <c r="AH101" s="28"/>
      <c r="AI101" s="84"/>
      <c r="AJ101" s="84"/>
      <c r="AK101" s="84"/>
      <c r="AL101" s="84"/>
      <c r="AM101" s="84"/>
      <c r="AN101" s="84"/>
      <c r="AO101" s="84"/>
      <c r="AP101" s="84"/>
      <c r="AQ101" s="28"/>
      <c r="AR101" s="28"/>
      <c r="AS101" s="28"/>
      <c r="AT101" s="28"/>
      <c r="AU101" s="28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28"/>
      <c r="CG101" s="28"/>
      <c r="CH101" s="84"/>
      <c r="CI101" s="86"/>
      <c r="CJ101" s="84"/>
      <c r="CK101" s="87"/>
      <c r="CL101" s="84"/>
      <c r="CM101" s="87"/>
      <c r="CN101" s="84"/>
      <c r="CO101" s="84"/>
      <c r="CP101" s="84"/>
      <c r="CQ101" s="84"/>
      <c r="CR101" s="87"/>
      <c r="CS101" s="84"/>
      <c r="CT101" s="87"/>
      <c r="CU101" s="84"/>
      <c r="CV101" s="84"/>
      <c r="CW101" s="12"/>
      <c r="CX101" s="12"/>
      <c r="CY101" s="12"/>
      <c r="CZ101" s="12"/>
      <c r="DA101" s="84"/>
      <c r="DB101" s="12"/>
      <c r="DC101" s="12"/>
      <c r="DD101" s="12"/>
      <c r="DE101" s="12"/>
      <c r="DF101" s="12"/>
      <c r="DG101" s="84"/>
      <c r="DH101" s="84"/>
      <c r="DI101" s="84"/>
      <c r="DJ101" s="84"/>
      <c r="DK101" s="84"/>
      <c r="DL101" s="84"/>
      <c r="DM101" s="84"/>
      <c r="DN101" s="99"/>
      <c r="DO101" s="99"/>
      <c r="DP101" s="435"/>
      <c r="DQ101" s="435"/>
      <c r="DR101" s="435"/>
      <c r="DS101" s="435"/>
      <c r="DT101" s="435"/>
      <c r="DU101" s="435"/>
      <c r="DV101" s="435"/>
      <c r="DW101" s="435"/>
      <c r="DX101" s="435"/>
      <c r="DY101" s="435"/>
      <c r="DZ101" s="435"/>
      <c r="EA101" s="436"/>
      <c r="EB101" s="84"/>
      <c r="EC101" s="84"/>
      <c r="ED101" s="84"/>
      <c r="EE101" s="97"/>
      <c r="EF101" s="97"/>
      <c r="EG101" s="97"/>
      <c r="EH101" s="84"/>
      <c r="EI101" s="84"/>
      <c r="EJ101" s="84"/>
      <c r="EK101" s="84"/>
      <c r="EL101" s="84"/>
      <c r="EM101" s="84"/>
      <c r="EN101" s="84"/>
      <c r="EO101" s="84"/>
      <c r="EP101" s="84"/>
      <c r="EQ101" s="84"/>
      <c r="ER101" s="84"/>
      <c r="ES101" s="84"/>
      <c r="ET101" s="84"/>
      <c r="EU101" s="84"/>
    </row>
    <row r="102" spans="2:229" ht="17.25" hidden="1" customHeight="1" outlineLevel="1">
      <c r="C102" s="24" t="s">
        <v>170</v>
      </c>
      <c r="D102" s="96">
        <f>SQRT(D134*D134)</f>
        <v>3.9830971748735911</v>
      </c>
      <c r="F102" s="94" t="s">
        <v>565</v>
      </c>
      <c r="G102" s="28">
        <f>F193/H102</f>
        <v>3.7600943251697008E-6</v>
      </c>
      <c r="H102" s="28">
        <v>1000000</v>
      </c>
      <c r="I102" s="28"/>
      <c r="J102" s="28"/>
      <c r="R102" s="28"/>
      <c r="S102" s="28"/>
      <c r="T102" s="28"/>
      <c r="U102" s="28"/>
      <c r="V102" s="84" t="s">
        <v>815</v>
      </c>
      <c r="W102" s="97">
        <f>D155</f>
        <v>1.836544604276107E-4</v>
      </c>
      <c r="X102" s="84"/>
      <c r="Y102" s="84"/>
      <c r="Z102" s="94" t="s">
        <v>1120</v>
      </c>
      <c r="AA102" s="84">
        <f>F186</f>
        <v>0.79733172366604688</v>
      </c>
      <c r="AB102" s="84"/>
      <c r="AC102" s="84"/>
      <c r="AD102" s="28"/>
      <c r="AE102" s="84">
        <f>COUNT(#REF!,#REF!,#REF!,#REF!,#REF!)</f>
        <v>0</v>
      </c>
      <c r="AF102" s="84"/>
      <c r="AG102" s="28"/>
      <c r="AH102" s="28"/>
      <c r="AI102" s="84"/>
      <c r="AJ102" s="84"/>
      <c r="AK102" s="84"/>
      <c r="AL102" s="84"/>
      <c r="AM102" s="84"/>
      <c r="AN102" s="84"/>
      <c r="AO102" s="84"/>
      <c r="AP102" s="84"/>
      <c r="AQ102" s="28"/>
      <c r="AR102" s="28"/>
      <c r="AS102" s="28"/>
      <c r="AT102" s="28"/>
      <c r="AU102" s="28"/>
      <c r="AV102" s="85"/>
      <c r="AW102" s="85"/>
      <c r="AX102" s="85"/>
      <c r="AY102" s="85"/>
      <c r="AZ102" s="85"/>
      <c r="BA102" s="85"/>
      <c r="BB102" s="85"/>
      <c r="BC102" s="85"/>
      <c r="BD102" s="85"/>
      <c r="BE102" s="85"/>
      <c r="BF102" s="85"/>
      <c r="BG102" s="85"/>
      <c r="BH102" s="85"/>
      <c r="BI102" s="85"/>
      <c r="BJ102" s="85"/>
      <c r="BK102" s="85"/>
      <c r="BL102" s="85"/>
      <c r="BM102" s="85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28"/>
      <c r="CG102" s="28"/>
      <c r="CH102" s="84"/>
      <c r="CI102" s="86"/>
      <c r="CJ102" s="84"/>
      <c r="CK102" s="87"/>
      <c r="CL102" s="84"/>
      <c r="CM102" s="87"/>
      <c r="CN102" s="84"/>
      <c r="CO102" s="84"/>
      <c r="CP102" s="84"/>
      <c r="CQ102" s="84"/>
      <c r="CR102" s="87"/>
      <c r="CS102" s="84"/>
      <c r="CT102" s="87"/>
      <c r="CU102" s="84"/>
      <c r="CV102" s="84"/>
      <c r="CW102" s="12"/>
      <c r="CX102" s="12"/>
      <c r="CY102" s="12"/>
      <c r="CZ102" s="12"/>
      <c r="DA102" s="84"/>
      <c r="DB102" s="12"/>
      <c r="DC102" s="12"/>
      <c r="DD102" s="12"/>
      <c r="DE102" s="12"/>
      <c r="DF102" s="12"/>
      <c r="DG102" s="84"/>
      <c r="DH102" s="84"/>
      <c r="DI102" s="84"/>
      <c r="DJ102" s="84"/>
      <c r="DK102" s="84"/>
      <c r="DL102" s="84"/>
      <c r="DM102" s="84"/>
      <c r="DN102" s="99"/>
      <c r="DO102" s="99"/>
      <c r="DP102" s="435"/>
      <c r="DQ102" s="435"/>
      <c r="DR102" s="435"/>
      <c r="DS102" s="435"/>
      <c r="DT102" s="435"/>
      <c r="DU102" s="435"/>
      <c r="DV102" s="435"/>
      <c r="DW102" s="435"/>
      <c r="DX102" s="435"/>
      <c r="DY102" s="435"/>
      <c r="DZ102" s="435"/>
      <c r="EA102" s="436"/>
      <c r="EB102" s="84"/>
      <c r="EC102" s="84"/>
      <c r="ED102" s="84"/>
      <c r="EE102" s="97"/>
      <c r="EF102" s="97"/>
      <c r="EG102" s="97"/>
      <c r="EH102" s="84"/>
      <c r="EI102" s="84"/>
      <c r="EJ102" s="84"/>
      <c r="EK102" s="84"/>
      <c r="EL102" s="84"/>
      <c r="EM102" s="84"/>
      <c r="EN102" s="84"/>
      <c r="EO102" s="84"/>
      <c r="EP102" s="84"/>
      <c r="EQ102" s="84"/>
      <c r="ER102" s="84"/>
      <c r="ES102" s="84"/>
      <c r="ET102" s="84"/>
      <c r="EU102" s="84"/>
    </row>
    <row r="103" spans="2:229" ht="17.25" hidden="1" customHeight="1" outlineLevel="1">
      <c r="C103" s="24" t="s">
        <v>1121</v>
      </c>
      <c r="D103" s="88">
        <f>D161</f>
        <v>0.99906272734104362</v>
      </c>
      <c r="F103" s="94" t="s">
        <v>1171</v>
      </c>
      <c r="G103" s="28">
        <f>F194/H103</f>
        <v>1.9270279859108137E-5</v>
      </c>
      <c r="H103" s="28">
        <v>1000000</v>
      </c>
      <c r="I103" s="28"/>
      <c r="J103" s="28"/>
      <c r="R103" s="28"/>
      <c r="S103" s="28"/>
      <c r="T103" s="28"/>
      <c r="U103" s="28"/>
      <c r="V103" s="84" t="s">
        <v>902</v>
      </c>
      <c r="W103" s="84">
        <f>D159</f>
        <v>844.38813424680347</v>
      </c>
      <c r="X103" s="84"/>
      <c r="Y103" s="84"/>
      <c r="Z103" s="94" t="s">
        <v>903</v>
      </c>
      <c r="AA103" s="84">
        <f>F187</f>
        <v>1.7230091441732502</v>
      </c>
      <c r="AB103" s="84"/>
      <c r="AC103" s="84"/>
      <c r="AD103" s="28"/>
      <c r="AE103" s="84" t="b">
        <f>$AA$94=0</f>
        <v>1</v>
      </c>
      <c r="AF103" s="84"/>
      <c r="AG103" s="28"/>
      <c r="AH103" s="28"/>
      <c r="AI103" s="84"/>
      <c r="AJ103" s="84"/>
      <c r="AK103" s="84"/>
      <c r="AL103" s="84"/>
      <c r="AM103" s="84"/>
      <c r="AN103" s="84"/>
      <c r="AO103" s="84"/>
      <c r="AP103" s="84"/>
      <c r="AQ103" s="28"/>
      <c r="AR103" s="28"/>
      <c r="AS103" s="28"/>
      <c r="AT103" s="28"/>
      <c r="AU103" s="28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28"/>
      <c r="CG103" s="28"/>
      <c r="CH103" s="84"/>
      <c r="CI103" s="86"/>
      <c r="CJ103" s="84"/>
      <c r="CK103" s="87"/>
      <c r="CL103" s="84"/>
      <c r="CM103" s="87"/>
      <c r="CN103" s="84"/>
      <c r="CO103" s="84"/>
      <c r="CP103" s="84"/>
      <c r="CQ103" s="84"/>
      <c r="CR103" s="87"/>
      <c r="CS103" s="84"/>
      <c r="CT103" s="87"/>
      <c r="CU103" s="84"/>
      <c r="CV103" s="84"/>
      <c r="CW103" s="12"/>
      <c r="CX103" s="12"/>
      <c r="CY103" s="12"/>
      <c r="CZ103" s="12"/>
      <c r="DA103" s="84"/>
      <c r="DB103" s="12"/>
      <c r="DC103" s="12"/>
      <c r="DD103" s="12"/>
      <c r="DE103" s="12"/>
      <c r="DF103" s="12"/>
      <c r="DG103" s="84"/>
      <c r="DH103" s="84"/>
      <c r="DI103" s="84"/>
      <c r="DJ103" s="84"/>
      <c r="DK103" s="84"/>
      <c r="DL103" s="84"/>
      <c r="DM103" s="84"/>
      <c r="DN103" s="99"/>
      <c r="DO103" s="99"/>
      <c r="DP103" s="435"/>
      <c r="DQ103" s="435"/>
      <c r="DR103" s="435"/>
      <c r="DS103" s="435"/>
      <c r="DT103" s="435"/>
      <c r="DU103" s="435"/>
      <c r="DV103" s="435"/>
      <c r="DW103" s="435"/>
      <c r="DX103" s="435"/>
      <c r="DY103" s="435"/>
      <c r="DZ103" s="435"/>
      <c r="EA103" s="436"/>
      <c r="EB103" s="84"/>
      <c r="EC103" s="84"/>
      <c r="ED103" s="84"/>
      <c r="EE103" s="97"/>
      <c r="EF103" s="97"/>
      <c r="EG103" s="97"/>
      <c r="EH103" s="84"/>
      <c r="EI103" s="84"/>
      <c r="EJ103" s="84"/>
      <c r="EK103" s="84"/>
      <c r="EL103" s="84"/>
      <c r="EM103" s="84"/>
      <c r="EN103" s="84"/>
      <c r="EO103" s="84"/>
      <c r="EP103" s="84"/>
      <c r="EQ103" s="84"/>
      <c r="ER103" s="84"/>
      <c r="ES103" s="84"/>
      <c r="ET103" s="84"/>
      <c r="EU103" s="84"/>
    </row>
    <row r="104" spans="2:229" ht="17.25" hidden="1" customHeight="1" outlineLevel="1">
      <c r="C104" s="87" t="s">
        <v>1094</v>
      </c>
      <c r="D104" s="98">
        <f>D167</f>
        <v>1.0629909222129516E-3</v>
      </c>
      <c r="F104" s="94" t="s">
        <v>565</v>
      </c>
      <c r="G104" s="28">
        <f>F195/H104</f>
        <v>6.6621911894747878E-6</v>
      </c>
      <c r="H104" s="28">
        <v>1000000</v>
      </c>
      <c r="I104" s="28"/>
      <c r="J104" s="28"/>
      <c r="R104" s="28"/>
      <c r="S104" s="28"/>
      <c r="T104" s="28"/>
      <c r="U104" s="28"/>
      <c r="V104" s="84" t="s">
        <v>755</v>
      </c>
      <c r="W104" s="84">
        <f>D153</f>
        <v>36.469511897653589</v>
      </c>
      <c r="X104" s="84"/>
      <c r="Y104" s="84"/>
      <c r="Z104" s="94" t="s">
        <v>565</v>
      </c>
      <c r="AA104" s="84">
        <f>F188</f>
        <v>1.0475118383373858</v>
      </c>
      <c r="AB104" s="84"/>
      <c r="AC104" s="84"/>
      <c r="AD104" s="28"/>
      <c r="AE104" s="84" t="b">
        <f>$W$94=0</f>
        <v>0</v>
      </c>
      <c r="AF104" s="84"/>
      <c r="AG104" s="28"/>
      <c r="AH104" s="28"/>
      <c r="AI104" s="84"/>
      <c r="AJ104" s="84"/>
      <c r="AK104" s="84"/>
      <c r="AL104" s="84"/>
      <c r="AM104" s="84"/>
      <c r="AN104" s="84"/>
      <c r="AO104" s="84"/>
      <c r="AP104" s="84"/>
      <c r="AQ104" s="28"/>
      <c r="AR104" s="28"/>
      <c r="AS104" s="28"/>
      <c r="AT104" s="28"/>
      <c r="AU104" s="28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28"/>
      <c r="CG104" s="28"/>
      <c r="CH104" s="84"/>
      <c r="CI104" s="86"/>
      <c r="CJ104" s="84"/>
      <c r="CK104" s="87"/>
      <c r="CL104" s="84"/>
      <c r="CM104" s="87"/>
      <c r="CN104" s="84"/>
      <c r="CO104" s="84"/>
      <c r="CP104" s="84"/>
      <c r="CQ104" s="84"/>
      <c r="CR104" s="87"/>
      <c r="CS104" s="84"/>
      <c r="CT104" s="87"/>
      <c r="CU104" s="84"/>
      <c r="CV104" s="84"/>
      <c r="CW104" s="12"/>
      <c r="CX104" s="12"/>
      <c r="CY104" s="12"/>
      <c r="CZ104" s="12"/>
      <c r="DA104" s="84"/>
      <c r="DB104" s="12"/>
      <c r="DC104" s="12"/>
      <c r="DD104" s="12"/>
      <c r="DE104" s="12"/>
      <c r="DF104" s="12"/>
      <c r="DG104" s="84"/>
      <c r="DH104" s="84"/>
      <c r="DI104" s="84"/>
      <c r="DJ104" s="84"/>
      <c r="DK104" s="84"/>
      <c r="DL104" s="84"/>
      <c r="DM104" s="84"/>
      <c r="DN104" s="99"/>
      <c r="DO104" s="99"/>
      <c r="DP104" s="435"/>
      <c r="DQ104" s="435"/>
      <c r="DR104" s="435"/>
      <c r="DS104" s="435"/>
      <c r="DT104" s="435"/>
      <c r="DU104" s="435"/>
      <c r="DV104" s="435"/>
      <c r="DW104" s="435"/>
      <c r="DX104" s="435"/>
      <c r="DY104" s="435"/>
      <c r="DZ104" s="435"/>
      <c r="EA104" s="436"/>
      <c r="EB104" s="84"/>
      <c r="EC104" s="84"/>
      <c r="ED104" s="84"/>
      <c r="EE104" s="97"/>
      <c r="EF104" s="97"/>
      <c r="EG104" s="97"/>
      <c r="EH104" s="84"/>
      <c r="EI104" s="84"/>
      <c r="EJ104" s="84"/>
      <c r="EK104" s="84"/>
      <c r="EL104" s="84"/>
      <c r="EM104" s="84"/>
      <c r="EN104" s="84"/>
      <c r="EO104" s="84"/>
      <c r="EP104" s="84"/>
      <c r="EQ104" s="84"/>
      <c r="ER104" s="84"/>
      <c r="ES104" s="84"/>
      <c r="ET104" s="84"/>
      <c r="EU104" s="84"/>
    </row>
    <row r="105" spans="2:229" ht="17.25" hidden="1" customHeight="1" outlineLevel="1">
      <c r="C105" s="27" t="s">
        <v>327</v>
      </c>
      <c r="D105" s="96">
        <f>D180</f>
        <v>0.11057684960849298</v>
      </c>
      <c r="F105" s="94" t="s">
        <v>285</v>
      </c>
      <c r="G105" s="28">
        <f>F196/H105</f>
        <v>1.8896141606625883E-6</v>
      </c>
      <c r="H105" s="28">
        <v>1000000</v>
      </c>
      <c r="I105" s="28"/>
      <c r="J105" s="28"/>
      <c r="R105" s="28"/>
      <c r="S105" s="28"/>
      <c r="T105" s="28"/>
      <c r="U105" s="28"/>
      <c r="V105" s="24" t="s">
        <v>286</v>
      </c>
      <c r="W105" s="95">
        <f>D154</f>
        <v>14.384174552740534</v>
      </c>
      <c r="X105" s="84"/>
      <c r="Y105" s="84"/>
      <c r="Z105" s="84"/>
      <c r="AA105" s="84"/>
      <c r="AB105" s="84"/>
      <c r="AC105" s="84"/>
      <c r="AD105" s="28"/>
      <c r="AE105" s="84" t="b">
        <f>$D$107&lt;=Table!$V$97</f>
        <v>0</v>
      </c>
      <c r="AF105" s="84"/>
      <c r="AG105" s="28"/>
      <c r="AH105" s="28"/>
      <c r="AI105" s="84"/>
      <c r="AJ105" s="84"/>
      <c r="AK105" s="84"/>
      <c r="AL105" s="84"/>
      <c r="AM105" s="84"/>
      <c r="AN105" s="84"/>
      <c r="AO105" s="84"/>
      <c r="AP105" s="84"/>
      <c r="AQ105" s="28"/>
      <c r="AR105" s="28"/>
      <c r="AS105" s="28"/>
      <c r="AT105" s="28"/>
      <c r="AU105" s="28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28"/>
      <c r="CG105" s="28"/>
      <c r="CH105" s="84"/>
      <c r="CI105" s="86"/>
      <c r="CJ105" s="84"/>
      <c r="CK105" s="87"/>
      <c r="CL105" s="84"/>
      <c r="CM105" s="87"/>
      <c r="CN105" s="84"/>
      <c r="CO105" s="84"/>
      <c r="CP105" s="84"/>
      <c r="CQ105" s="84"/>
      <c r="CR105" s="87"/>
      <c r="CS105" s="84"/>
      <c r="CT105" s="87"/>
      <c r="CU105" s="84"/>
      <c r="CV105" s="84"/>
      <c r="CW105" s="12"/>
      <c r="CX105" s="12"/>
      <c r="CY105" s="12"/>
      <c r="CZ105" s="12"/>
      <c r="DA105" s="84"/>
      <c r="DB105" s="12"/>
      <c r="DC105" s="12"/>
      <c r="DD105" s="12"/>
      <c r="DE105" s="12"/>
      <c r="DF105" s="12"/>
      <c r="DG105" s="84"/>
      <c r="DH105" s="84"/>
      <c r="DI105" s="84"/>
      <c r="DJ105" s="84"/>
      <c r="DK105" s="84"/>
      <c r="DL105" s="84"/>
      <c r="DM105" s="84"/>
      <c r="DN105" s="99"/>
      <c r="DO105" s="99"/>
      <c r="DP105" s="435"/>
      <c r="DQ105" s="435"/>
      <c r="DR105" s="435"/>
      <c r="DS105" s="435"/>
      <c r="DT105" s="435"/>
      <c r="DU105" s="435"/>
      <c r="DV105" s="435"/>
      <c r="DW105" s="435"/>
      <c r="DX105" s="435"/>
      <c r="DY105" s="435"/>
      <c r="DZ105" s="435"/>
      <c r="EA105" s="436"/>
      <c r="EB105" s="84"/>
      <c r="EC105" s="84"/>
      <c r="ED105" s="84"/>
      <c r="EE105" s="97"/>
      <c r="EF105" s="97"/>
      <c r="EG105" s="97"/>
      <c r="EH105" s="84"/>
      <c r="EI105" s="84"/>
      <c r="EJ105" s="84"/>
      <c r="EK105" s="84"/>
      <c r="EL105" s="84"/>
      <c r="EM105" s="84"/>
      <c r="EN105" s="84"/>
      <c r="EO105" s="84"/>
      <c r="EP105" s="84"/>
      <c r="EQ105" s="84"/>
      <c r="ER105" s="84"/>
      <c r="ES105" s="84"/>
      <c r="ET105" s="84"/>
      <c r="EU105" s="84"/>
    </row>
    <row r="106" spans="2:229" ht="17.25" hidden="1" customHeight="1" outlineLevel="1">
      <c r="C106" s="27" t="s">
        <v>287</v>
      </c>
      <c r="D106" s="96">
        <f>D181</f>
        <v>0.41367435813651598</v>
      </c>
      <c r="F106" s="94" t="s">
        <v>288</v>
      </c>
      <c r="G106" s="28">
        <f>F197/H106</f>
        <v>3.7498466601016862E-6</v>
      </c>
      <c r="H106" s="28">
        <v>1000000</v>
      </c>
      <c r="I106" s="28"/>
      <c r="J106" s="28"/>
      <c r="R106" s="28"/>
      <c r="S106" s="28"/>
      <c r="T106" s="28"/>
      <c r="U106" s="28"/>
      <c r="V106" s="24" t="s">
        <v>1091</v>
      </c>
      <c r="W106" s="94">
        <f>D166</f>
        <v>3.4815324862600199</v>
      </c>
      <c r="X106" s="84"/>
      <c r="Y106" s="84"/>
      <c r="Z106" s="84"/>
      <c r="AA106" s="84"/>
      <c r="AB106" s="84"/>
      <c r="AC106" s="84"/>
      <c r="AD106" s="28"/>
      <c r="AE106" s="84" t="b">
        <f>$D$108&lt;=Table!$Z$97</f>
        <v>0</v>
      </c>
      <c r="AF106" s="84"/>
      <c r="AG106" s="28"/>
      <c r="AH106" s="28"/>
      <c r="AI106" s="84"/>
      <c r="AJ106" s="84"/>
      <c r="AK106" s="84"/>
      <c r="AL106" s="84"/>
      <c r="AM106" s="84"/>
      <c r="AN106" s="84"/>
      <c r="AO106" s="84"/>
      <c r="AP106" s="84"/>
      <c r="AQ106" s="28"/>
      <c r="AR106" s="28"/>
      <c r="AS106" s="28"/>
      <c r="AT106" s="28"/>
      <c r="AU106" s="28"/>
      <c r="AV106" s="85"/>
      <c r="AW106" s="85"/>
      <c r="AX106" s="85"/>
      <c r="AY106" s="85"/>
      <c r="AZ106" s="85"/>
      <c r="BA106" s="85"/>
      <c r="BB106" s="85"/>
      <c r="BC106" s="85"/>
      <c r="BD106" s="85"/>
      <c r="BE106" s="85"/>
      <c r="BF106" s="85"/>
      <c r="BG106" s="85"/>
      <c r="BH106" s="85"/>
      <c r="BI106" s="85"/>
      <c r="BJ106" s="85"/>
      <c r="BK106" s="85"/>
      <c r="BL106" s="85"/>
      <c r="BM106" s="85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28"/>
      <c r="CG106" s="28"/>
      <c r="CH106" s="84"/>
      <c r="CI106" s="86"/>
      <c r="CJ106" s="84"/>
      <c r="CK106" s="87"/>
      <c r="CL106" s="84"/>
      <c r="CM106" s="87"/>
      <c r="CN106" s="84"/>
      <c r="CO106" s="84"/>
      <c r="CP106" s="84"/>
      <c r="CQ106" s="84"/>
      <c r="CR106" s="87"/>
      <c r="CS106" s="84"/>
      <c r="CT106" s="87"/>
      <c r="CU106" s="84"/>
      <c r="CV106" s="84"/>
      <c r="CW106" s="12"/>
      <c r="CX106" s="12"/>
      <c r="CY106" s="12"/>
      <c r="CZ106" s="12"/>
      <c r="DA106" s="84"/>
      <c r="DB106" s="12"/>
      <c r="DC106" s="12"/>
      <c r="DD106" s="12"/>
      <c r="DE106" s="12"/>
      <c r="DF106" s="12"/>
      <c r="DG106" s="84"/>
      <c r="DH106" s="84"/>
      <c r="DI106" s="84"/>
      <c r="DJ106" s="84"/>
      <c r="DK106" s="84"/>
      <c r="DL106" s="84"/>
      <c r="DM106" s="84"/>
      <c r="DN106" s="99"/>
      <c r="DO106" s="99"/>
      <c r="DP106" s="435"/>
      <c r="DQ106" s="435"/>
      <c r="DR106" s="435"/>
      <c r="DS106" s="435"/>
      <c r="DT106" s="435"/>
      <c r="DU106" s="435"/>
      <c r="DV106" s="435"/>
      <c r="DW106" s="435"/>
      <c r="DX106" s="435"/>
      <c r="DY106" s="435"/>
      <c r="DZ106" s="435"/>
      <c r="EA106" s="436"/>
      <c r="EB106" s="84"/>
      <c r="EC106" s="84"/>
      <c r="ED106" s="84"/>
      <c r="EE106" s="97"/>
      <c r="EF106" s="97"/>
      <c r="EG106" s="97"/>
      <c r="EH106" s="84"/>
      <c r="EI106" s="84"/>
      <c r="EJ106" s="84"/>
      <c r="EK106" s="84"/>
      <c r="EL106" s="84"/>
      <c r="EM106" s="84"/>
      <c r="EN106" s="84"/>
      <c r="EO106" s="84"/>
      <c r="EP106" s="84"/>
      <c r="EQ106" s="84"/>
      <c r="ER106" s="84"/>
      <c r="ES106" s="84"/>
      <c r="ET106" s="84"/>
      <c r="EU106" s="84"/>
    </row>
    <row r="107" spans="2:229" ht="17.25" hidden="1" customHeight="1" outlineLevel="1">
      <c r="C107" s="24" t="s">
        <v>1092</v>
      </c>
      <c r="D107" s="99">
        <f>V113</f>
        <v>47.407937988783758</v>
      </c>
      <c r="E107" s="24"/>
      <c r="F107" s="12" t="s">
        <v>870</v>
      </c>
      <c r="G107" s="94">
        <f>SQRT(SUMSQ(G99:G106,J99:J101))</f>
        <v>10.905055638183804</v>
      </c>
      <c r="H107" s="94"/>
      <c r="I107" s="94"/>
      <c r="J107" s="94"/>
      <c r="R107" s="28"/>
      <c r="S107" s="28"/>
      <c r="T107" s="28"/>
      <c r="U107" s="28"/>
      <c r="X107" s="84"/>
      <c r="Y107" s="84"/>
      <c r="Z107" s="84"/>
      <c r="AA107" s="84"/>
      <c r="AB107" s="84"/>
      <c r="AC107" s="84"/>
      <c r="AD107" s="28"/>
      <c r="AE107" s="84">
        <f>{100,100,0.000001,0.05,FALSE,FALSE,FALSE,1,1,1,0.0001,FALSE}</f>
        <v>100</v>
      </c>
      <c r="AF107" s="84"/>
      <c r="AG107" s="28"/>
      <c r="AH107" s="28"/>
      <c r="AI107" s="84"/>
      <c r="AJ107" s="84"/>
      <c r="AK107" s="84"/>
      <c r="AL107" s="84"/>
      <c r="AM107" s="84"/>
      <c r="AN107" s="84"/>
      <c r="AO107" s="84"/>
      <c r="AP107" s="84"/>
      <c r="AQ107" s="28"/>
      <c r="AR107" s="28"/>
      <c r="AS107" s="28"/>
      <c r="AT107" s="28"/>
      <c r="AU107" s="28"/>
      <c r="AV107" s="85"/>
      <c r="AW107" s="85"/>
      <c r="AX107" s="85"/>
      <c r="AY107" s="85"/>
      <c r="AZ107" s="85"/>
      <c r="BA107" s="85"/>
      <c r="BB107" s="85"/>
      <c r="BC107" s="85"/>
      <c r="BD107" s="85"/>
      <c r="BE107" s="85"/>
      <c r="BF107" s="85"/>
      <c r="BG107" s="85"/>
      <c r="BH107" s="85"/>
      <c r="BI107" s="85"/>
      <c r="BJ107" s="85"/>
      <c r="BK107" s="85"/>
      <c r="BL107" s="85"/>
      <c r="BM107" s="85"/>
      <c r="BN107" s="85"/>
      <c r="BO107" s="85"/>
      <c r="BP107" s="85"/>
      <c r="BQ107" s="85"/>
      <c r="BR107" s="85"/>
      <c r="BS107" s="85"/>
      <c r="BT107" s="85"/>
      <c r="BU107" s="85"/>
      <c r="BV107" s="85"/>
      <c r="BW107" s="85"/>
      <c r="BX107" s="85"/>
      <c r="BY107" s="85"/>
      <c r="BZ107" s="85"/>
      <c r="CA107" s="85"/>
      <c r="CB107" s="85"/>
      <c r="CC107" s="85"/>
      <c r="CD107" s="85"/>
      <c r="CE107" s="85"/>
      <c r="CF107" s="28"/>
      <c r="CG107" s="28"/>
      <c r="CH107" s="84"/>
      <c r="CI107" s="86"/>
      <c r="CJ107" s="84"/>
      <c r="CK107" s="87"/>
      <c r="CL107" s="84"/>
      <c r="CM107" s="87"/>
      <c r="CN107" s="84"/>
      <c r="CO107" s="84"/>
      <c r="CP107" s="84"/>
      <c r="CQ107" s="84"/>
      <c r="CR107" s="87"/>
      <c r="CS107" s="84"/>
      <c r="CT107" s="87"/>
      <c r="CU107" s="84"/>
      <c r="CV107" s="84"/>
      <c r="CW107" s="12"/>
      <c r="CX107" s="12"/>
      <c r="CY107" s="12"/>
      <c r="CZ107" s="12"/>
      <c r="DA107" s="84"/>
      <c r="DB107" s="12"/>
      <c r="DC107" s="12"/>
      <c r="DD107" s="12"/>
      <c r="DE107" s="12"/>
      <c r="DF107" s="12"/>
      <c r="DG107" s="84"/>
      <c r="DH107" s="84"/>
      <c r="DI107" s="84"/>
      <c r="DJ107" s="84"/>
      <c r="DK107" s="84"/>
      <c r="DL107" s="84"/>
      <c r="DM107" s="84"/>
      <c r="DN107" s="99"/>
      <c r="DO107" s="99"/>
      <c r="DP107" s="435"/>
      <c r="DQ107" s="435"/>
      <c r="DR107" s="435"/>
      <c r="DS107" s="435"/>
      <c r="DT107" s="435"/>
      <c r="DU107" s="435"/>
      <c r="DV107" s="435"/>
      <c r="DW107" s="435"/>
      <c r="DX107" s="435"/>
      <c r="DY107" s="435"/>
      <c r="DZ107" s="435"/>
      <c r="EA107" s="436"/>
      <c r="EB107" s="84"/>
      <c r="EC107" s="84"/>
      <c r="ED107" s="84"/>
      <c r="EE107" s="97"/>
      <c r="EF107" s="97"/>
      <c r="EG107" s="97"/>
      <c r="EH107" s="84"/>
      <c r="EI107" s="84"/>
      <c r="EJ107" s="84"/>
      <c r="EK107" s="84"/>
      <c r="EL107" s="84"/>
      <c r="EM107" s="84"/>
      <c r="EN107" s="84"/>
      <c r="EO107" s="84"/>
      <c r="EP107" s="84"/>
      <c r="EQ107" s="84"/>
      <c r="ER107" s="84"/>
      <c r="ES107" s="84"/>
      <c r="ET107" s="84"/>
      <c r="EU107" s="84"/>
    </row>
    <row r="108" spans="2:229" ht="17.25" hidden="1" customHeight="1" outlineLevel="1">
      <c r="C108" s="24" t="s">
        <v>469</v>
      </c>
      <c r="D108" s="99">
        <f>Z113</f>
        <v>35.045757994968405</v>
      </c>
      <c r="E108" s="24"/>
      <c r="F108" s="93"/>
      <c r="G108" s="24">
        <f>SQRT((D105*D105+D106*D106+5*G107*G107)/7)</f>
        <v>9.2178750733380657</v>
      </c>
      <c r="H108" s="24"/>
      <c r="I108" s="24"/>
      <c r="J108" s="24"/>
      <c r="R108" s="28"/>
      <c r="S108" s="28"/>
      <c r="T108" s="28"/>
      <c r="U108" s="28"/>
      <c r="V108" s="84"/>
      <c r="W108" s="84"/>
      <c r="X108" s="84"/>
      <c r="Y108" s="84"/>
      <c r="Z108" s="84"/>
      <c r="AA108" s="84"/>
      <c r="AB108" s="84"/>
      <c r="AC108" s="84"/>
      <c r="AD108" s="28"/>
      <c r="AE108" s="84"/>
      <c r="AF108" s="84"/>
      <c r="AG108" s="28"/>
      <c r="AH108" s="28"/>
      <c r="AI108" s="84"/>
      <c r="AJ108" s="84"/>
      <c r="AK108" s="84"/>
      <c r="AL108" s="84"/>
      <c r="AM108" s="84"/>
      <c r="AN108" s="84"/>
      <c r="AO108" s="84"/>
      <c r="AP108" s="84"/>
      <c r="AQ108" s="28"/>
      <c r="AR108" s="28"/>
      <c r="AS108" s="28"/>
      <c r="AT108" s="28"/>
      <c r="AU108" s="28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28"/>
      <c r="CG108" s="28"/>
      <c r="CH108" s="84"/>
      <c r="CI108" s="86"/>
      <c r="CJ108" s="84"/>
      <c r="CK108" s="87"/>
      <c r="CL108" s="84"/>
      <c r="CM108" s="87"/>
      <c r="CN108" s="84"/>
      <c r="CO108" s="84"/>
      <c r="CP108" s="84"/>
      <c r="CQ108" s="84"/>
      <c r="CR108" s="87"/>
      <c r="CS108" s="84"/>
      <c r="CT108" s="87"/>
      <c r="CU108" s="84"/>
      <c r="CV108" s="84"/>
      <c r="CW108" s="12"/>
      <c r="CX108" s="12"/>
      <c r="CY108" s="12"/>
      <c r="CZ108" s="12"/>
      <c r="DA108" s="84"/>
      <c r="DB108" s="12"/>
      <c r="DC108" s="12"/>
      <c r="DD108" s="12"/>
      <c r="DE108" s="12"/>
      <c r="DF108" s="12"/>
      <c r="DG108" s="84"/>
      <c r="DH108" s="84"/>
      <c r="DI108" s="84"/>
      <c r="DJ108" s="84"/>
      <c r="DK108" s="84"/>
      <c r="DL108" s="84"/>
      <c r="DM108" s="84"/>
      <c r="DN108" s="99"/>
      <c r="DO108" s="99"/>
      <c r="DP108" s="435"/>
      <c r="DQ108" s="435"/>
      <c r="DR108" s="435"/>
      <c r="DS108" s="435"/>
      <c r="DT108" s="435"/>
      <c r="DU108" s="435"/>
      <c r="DV108" s="435"/>
      <c r="DW108" s="435"/>
      <c r="DX108" s="435"/>
      <c r="DY108" s="435"/>
      <c r="DZ108" s="435"/>
      <c r="EA108" s="436"/>
      <c r="EB108" s="84"/>
      <c r="EC108" s="84"/>
      <c r="ED108" s="84"/>
      <c r="EE108" s="97"/>
      <c r="EF108" s="97"/>
      <c r="EG108" s="97"/>
      <c r="EH108" s="84"/>
      <c r="EI108" s="84"/>
      <c r="EJ108" s="84"/>
      <c r="EK108" s="84"/>
      <c r="EL108" s="84"/>
      <c r="EM108" s="84"/>
      <c r="EN108" s="84"/>
      <c r="EO108" s="84"/>
      <c r="EP108" s="84"/>
      <c r="EQ108" s="84"/>
      <c r="ER108" s="84"/>
      <c r="ES108" s="84"/>
      <c r="ET108" s="84"/>
      <c r="EU108" s="84"/>
    </row>
    <row r="109" spans="2:229" s="2" customFormat="1" ht="17.25" customHeight="1" collapsed="1">
      <c r="B109" s="1" t="s">
        <v>120</v>
      </c>
      <c r="D109" s="3"/>
      <c r="N109" s="6"/>
      <c r="O109" s="6"/>
      <c r="P109" s="456"/>
      <c r="Q109" s="456"/>
      <c r="CH109" s="4"/>
      <c r="DN109" s="420"/>
      <c r="DO109" s="420"/>
      <c r="DP109" s="439"/>
      <c r="DQ109" s="439"/>
      <c r="DR109" s="439"/>
      <c r="DS109" s="439"/>
      <c r="DT109" s="439"/>
      <c r="DU109" s="439"/>
      <c r="DV109" s="439"/>
      <c r="DW109" s="439"/>
      <c r="DX109" s="439"/>
      <c r="DY109" s="439"/>
      <c r="DZ109" s="439"/>
      <c r="EA109" s="439"/>
      <c r="EE109" s="337"/>
      <c r="EF109" s="337"/>
      <c r="EG109" s="337"/>
      <c r="EH109" s="338"/>
      <c r="EI109" s="338"/>
      <c r="EJ109" s="338"/>
      <c r="EK109" s="338"/>
      <c r="EL109" s="338"/>
      <c r="EM109" s="338"/>
      <c r="EN109" s="338"/>
      <c r="EO109" s="338"/>
      <c r="EP109" s="338"/>
      <c r="EQ109" s="338"/>
      <c r="ER109" s="338"/>
      <c r="ES109" s="338"/>
      <c r="ET109" s="338"/>
      <c r="EU109" s="338"/>
      <c r="EV109" s="7"/>
      <c r="EW109" s="30"/>
      <c r="EX109" s="30"/>
      <c r="EY109" s="30"/>
      <c r="EZ109" s="30"/>
      <c r="FA109" s="30"/>
      <c r="FB109" s="30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</row>
    <row r="110" spans="2:229" s="7" customFormat="1" ht="17.25" hidden="1" customHeight="1" outlineLevel="2">
      <c r="C110" s="30"/>
      <c r="E110" s="26"/>
      <c r="F110" s="32"/>
      <c r="G110" s="32"/>
      <c r="H110" s="32"/>
      <c r="I110" s="32"/>
      <c r="J110" s="32"/>
      <c r="N110" s="32" t="str">
        <f>N2</f>
        <v>B</v>
      </c>
      <c r="O110" s="32" t="str">
        <f>O2</f>
        <v>dB/dx</v>
      </c>
      <c r="P110" s="32" t="str">
        <f>P2</f>
        <v>d2B/dx2</v>
      </c>
      <c r="Q110" s="32"/>
      <c r="R110" s="32" t="str">
        <f>R2</f>
        <v>s</v>
      </c>
      <c r="S110" s="32"/>
      <c r="T110" s="32"/>
      <c r="U110" s="32"/>
      <c r="V110" s="32" t="str">
        <f t="shared" ref="V110:AE110" si="218">V2</f>
        <v>ßx</v>
      </c>
      <c r="W110" s="32" t="str">
        <f t="shared" si="218"/>
        <v>ax</v>
      </c>
      <c r="X110" s="32" t="str">
        <f t="shared" si="218"/>
        <v>gx</v>
      </c>
      <c r="Y110" s="32" t="str">
        <f t="shared" si="218"/>
        <v>µx</v>
      </c>
      <c r="Z110" s="32" t="str">
        <f t="shared" si="218"/>
        <v>ßz</v>
      </c>
      <c r="AA110" s="32" t="str">
        <f t="shared" si="218"/>
        <v>az</v>
      </c>
      <c r="AB110" s="32" t="str">
        <f t="shared" si="218"/>
        <v>gz</v>
      </c>
      <c r="AC110" s="32" t="str">
        <f t="shared" si="218"/>
        <v>µz</v>
      </c>
      <c r="AD110" s="32" t="str">
        <f t="shared" si="218"/>
        <v>D</v>
      </c>
      <c r="AE110" s="32" t="str">
        <f t="shared" si="218"/>
        <v>D'</v>
      </c>
      <c r="AF110" s="32"/>
      <c r="AG110" s="32"/>
      <c r="AH110" s="32"/>
      <c r="AI110" s="29"/>
      <c r="AJ110" s="29"/>
      <c r="AK110" s="29"/>
      <c r="AL110" s="29"/>
      <c r="AM110" s="29"/>
      <c r="AN110" s="29"/>
      <c r="AO110" s="29"/>
      <c r="AP110" s="29"/>
      <c r="AQ110" s="32" t="str">
        <f>AQ2</f>
        <v>SigX</v>
      </c>
      <c r="AR110" s="32" t="str">
        <f>AR2</f>
        <v>SigZ</v>
      </c>
      <c r="AS110" s="32" t="str">
        <f>AS2</f>
        <v>Sig'X</v>
      </c>
      <c r="AT110" s="32" t="str">
        <f>AT2</f>
        <v>Sig'Z</v>
      </c>
      <c r="AU110" s="32" t="str">
        <f>AU2</f>
        <v>EmittxEff</v>
      </c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2"/>
      <c r="CG110" s="32"/>
      <c r="CH110" s="29"/>
      <c r="CI110" s="35"/>
      <c r="CJ110" s="29"/>
      <c r="CK110" s="17"/>
      <c r="CL110" s="29"/>
      <c r="CM110" s="17"/>
      <c r="CN110" s="29"/>
      <c r="CO110" s="29"/>
      <c r="CP110" s="29"/>
      <c r="CQ110" s="29"/>
      <c r="CR110" s="17"/>
      <c r="CS110" s="29"/>
      <c r="CT110" s="17"/>
      <c r="CU110" s="29"/>
      <c r="CV110" s="29"/>
      <c r="CW110" s="8"/>
      <c r="CX110" s="8"/>
      <c r="CY110" s="8"/>
      <c r="CZ110" s="8"/>
      <c r="DA110" s="29"/>
      <c r="DB110" s="8"/>
      <c r="DC110" s="8"/>
      <c r="DD110" s="8"/>
      <c r="DE110" s="8"/>
      <c r="DF110" s="8"/>
      <c r="DG110" s="29"/>
      <c r="DH110" s="29"/>
      <c r="DI110" s="29"/>
      <c r="DJ110" s="29"/>
      <c r="DK110" s="29"/>
      <c r="DL110" s="29"/>
      <c r="DM110" s="29"/>
      <c r="DN110" s="424"/>
      <c r="DO110" s="424"/>
      <c r="DP110" s="434"/>
      <c r="DQ110" s="434"/>
      <c r="DR110" s="434"/>
      <c r="DS110" s="434"/>
      <c r="DT110" s="434"/>
      <c r="DU110" s="434"/>
      <c r="DV110" s="434"/>
      <c r="DW110" s="434"/>
      <c r="DX110" s="434"/>
      <c r="DY110" s="434"/>
      <c r="DZ110" s="434"/>
      <c r="EA110" s="434"/>
      <c r="EB110" s="29"/>
      <c r="EC110" s="29"/>
      <c r="ED110" s="29"/>
      <c r="EE110" s="33"/>
      <c r="EF110" s="33"/>
      <c r="EG110" s="33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468"/>
      <c r="EW110" s="239"/>
      <c r="EX110" s="239"/>
      <c r="EY110" s="239"/>
      <c r="EZ110" s="239"/>
      <c r="FA110" s="239"/>
      <c r="FB110" s="239"/>
    </row>
    <row r="111" spans="2:229" s="7" customFormat="1" ht="17.25" hidden="1" customHeight="1" outlineLevel="2">
      <c r="C111" s="100"/>
      <c r="E111" s="26"/>
      <c r="F111" s="32"/>
      <c r="G111" s="32" t="s">
        <v>65</v>
      </c>
      <c r="H111" s="32"/>
      <c r="I111" s="32"/>
      <c r="J111" s="32"/>
      <c r="K111" s="7" t="s">
        <v>303</v>
      </c>
      <c r="N111" s="29">
        <f>N24</f>
        <v>0</v>
      </c>
      <c r="O111" s="29">
        <f>O24</f>
        <v>0</v>
      </c>
      <c r="P111" s="117">
        <f>P24</f>
        <v>0</v>
      </c>
      <c r="Q111" s="117">
        <f>Q24</f>
        <v>0</v>
      </c>
      <c r="R111" s="32">
        <f>R24</f>
        <v>0</v>
      </c>
      <c r="S111" s="32"/>
      <c r="T111" s="32"/>
      <c r="U111" s="32"/>
      <c r="V111" s="32">
        <f t="shared" ref="V111:AE111" si="219">V24</f>
        <v>35.11760478118476</v>
      </c>
      <c r="W111" s="32">
        <f t="shared" si="219"/>
        <v>0</v>
      </c>
      <c r="X111" s="32">
        <f t="shared" si="219"/>
        <v>2.8475746174345524E-2</v>
      </c>
      <c r="Y111" s="32">
        <f t="shared" si="219"/>
        <v>0</v>
      </c>
      <c r="Z111" s="32">
        <f t="shared" si="219"/>
        <v>2.5242585406279678</v>
      </c>
      <c r="AA111" s="32">
        <f t="shared" si="219"/>
        <v>0</v>
      </c>
      <c r="AB111" s="32">
        <f t="shared" si="219"/>
        <v>0.39615593407132804</v>
      </c>
      <c r="AC111" s="32">
        <f t="shared" si="219"/>
        <v>0</v>
      </c>
      <c r="AD111" s="32">
        <f t="shared" si="219"/>
        <v>0.13486265405961981</v>
      </c>
      <c r="AE111" s="32">
        <f t="shared" si="219"/>
        <v>0</v>
      </c>
      <c r="AF111" s="32"/>
      <c r="AG111" s="32"/>
      <c r="AH111" s="32"/>
      <c r="AI111" s="29"/>
      <c r="AJ111" s="29"/>
      <c r="AK111" s="29"/>
      <c r="AL111" s="29"/>
      <c r="AM111" s="29"/>
      <c r="AN111" s="29"/>
      <c r="AO111" s="29"/>
      <c r="AP111" s="29"/>
      <c r="AQ111" s="32">
        <f>AQ24</f>
        <v>0.38798130340810622</v>
      </c>
      <c r="AR111" s="32">
        <f>AR24</f>
        <v>9.6658369494284531E-3</v>
      </c>
      <c r="AS111" s="32">
        <f>AS24</f>
        <v>1.0266209066996939E-2</v>
      </c>
      <c r="AT111" s="32">
        <f>AT24</f>
        <v>3.8291786652819848E-3</v>
      </c>
      <c r="AU111" s="32">
        <f>AU24</f>
        <v>3.9830971748735911</v>
      </c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2"/>
      <c r="CG111" s="32"/>
      <c r="CH111" s="29"/>
      <c r="CI111" s="35"/>
      <c r="CJ111" s="29"/>
      <c r="CK111" s="17"/>
      <c r="CL111" s="29"/>
      <c r="CM111" s="17"/>
      <c r="CN111" s="29"/>
      <c r="CO111" s="29"/>
      <c r="CP111" s="29"/>
      <c r="CQ111" s="29"/>
      <c r="CR111" s="17"/>
      <c r="CS111" s="29"/>
      <c r="CT111" s="17"/>
      <c r="CU111" s="29"/>
      <c r="CV111" s="29"/>
      <c r="CW111" s="8"/>
      <c r="CX111" s="8"/>
      <c r="CY111" s="8"/>
      <c r="CZ111" s="8"/>
      <c r="DA111" s="29"/>
      <c r="DB111" s="8"/>
      <c r="DC111" s="8"/>
      <c r="DD111" s="8"/>
      <c r="DE111" s="8"/>
      <c r="DF111" s="8"/>
      <c r="DG111" s="29"/>
      <c r="DH111" s="29"/>
      <c r="DI111" s="29"/>
      <c r="DJ111" s="29"/>
      <c r="DK111" s="29"/>
      <c r="DL111" s="29"/>
      <c r="DM111" s="29"/>
      <c r="DN111" s="424"/>
      <c r="DO111" s="424"/>
      <c r="DP111" s="434"/>
      <c r="DQ111" s="434"/>
      <c r="DR111" s="434"/>
      <c r="DS111" s="434"/>
      <c r="DT111" s="434"/>
      <c r="DU111" s="434"/>
      <c r="DV111" s="434"/>
      <c r="DW111" s="434"/>
      <c r="DX111" s="434"/>
      <c r="DY111" s="434"/>
      <c r="DZ111" s="434"/>
      <c r="EA111" s="434"/>
      <c r="EB111" s="29"/>
      <c r="EC111" s="29"/>
      <c r="ED111" s="29"/>
      <c r="EE111" s="33"/>
      <c r="EF111" s="33"/>
      <c r="EG111" s="33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W111" s="30"/>
      <c r="EX111" s="30"/>
      <c r="EY111" s="30"/>
      <c r="EZ111" s="30"/>
      <c r="FA111" s="30"/>
      <c r="FB111" s="30"/>
    </row>
    <row r="112" spans="2:229" s="7" customFormat="1" ht="17.25" hidden="1" customHeight="1" outlineLevel="2">
      <c r="C112" s="30"/>
      <c r="E112" s="26"/>
      <c r="F112" s="32"/>
      <c r="G112" s="32" t="s">
        <v>436</v>
      </c>
      <c r="H112" s="32"/>
      <c r="I112" s="32"/>
      <c r="J112" s="32"/>
      <c r="K112" s="7" t="s">
        <v>436</v>
      </c>
      <c r="N112" s="29">
        <f>N94</f>
        <v>0</v>
      </c>
      <c r="O112" s="29">
        <f>O94</f>
        <v>0</v>
      </c>
      <c r="P112" s="117">
        <f>P94</f>
        <v>0</v>
      </c>
      <c r="Q112" s="117">
        <f>Q94</f>
        <v>0</v>
      </c>
      <c r="R112" s="32">
        <f>R94</f>
        <v>26.387129195212609</v>
      </c>
      <c r="S112" s="32"/>
      <c r="T112" s="32"/>
      <c r="U112" s="32"/>
      <c r="V112" s="32">
        <f t="shared" ref="V112:AE112" si="220">V94</f>
        <v>0.49214266803128126</v>
      </c>
      <c r="W112" s="32">
        <f t="shared" si="220"/>
        <v>8.8817841970012523E-15</v>
      </c>
      <c r="X112" s="32">
        <f t="shared" si="220"/>
        <v>2.0319311146101207</v>
      </c>
      <c r="Y112" s="32">
        <f t="shared" si="220"/>
        <v>7.1607719161046299</v>
      </c>
      <c r="Z112" s="32">
        <f t="shared" si="220"/>
        <v>2.7340833225245489</v>
      </c>
      <c r="AA112" s="32">
        <f t="shared" si="220"/>
        <v>0</v>
      </c>
      <c r="AB112" s="32">
        <f t="shared" si="220"/>
        <v>0.36575330084550528</v>
      </c>
      <c r="AC112" s="32">
        <f t="shared" si="220"/>
        <v>2.8243260689276819</v>
      </c>
      <c r="AD112" s="32">
        <f t="shared" si="220"/>
        <v>3.6551996868814725E-2</v>
      </c>
      <c r="AE112" s="32">
        <f t="shared" si="220"/>
        <v>-5.1174342541315809E-17</v>
      </c>
      <c r="AF112" s="32"/>
      <c r="AG112" s="32"/>
      <c r="AH112" s="32"/>
      <c r="AI112" s="29"/>
      <c r="AJ112" s="29"/>
      <c r="AK112" s="29"/>
      <c r="AL112" s="29"/>
      <c r="AM112" s="29"/>
      <c r="AN112" s="29"/>
      <c r="AO112" s="29"/>
      <c r="AP112" s="29"/>
      <c r="AQ112" s="32">
        <f>AQ94</f>
        <v>5.771651998097449E-2</v>
      </c>
      <c r="AR112" s="32">
        <f>AR94</f>
        <v>1.0059546918951813E-2</v>
      </c>
      <c r="AS112" s="32">
        <f>AS94</f>
        <v>8.6721551294266966E-2</v>
      </c>
      <c r="AT112" s="32">
        <f>AT94</f>
        <v>3.679312490616858E-3</v>
      </c>
      <c r="AU112" s="32">
        <f>AU94</f>
        <v>5.0052661480566636</v>
      </c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2"/>
      <c r="CG112" s="32"/>
      <c r="CH112" s="29"/>
      <c r="CI112" s="35"/>
      <c r="CJ112" s="29"/>
      <c r="CK112" s="17"/>
      <c r="CL112" s="29"/>
      <c r="CM112" s="17"/>
      <c r="CN112" s="29"/>
      <c r="CO112" s="29"/>
      <c r="CP112" s="29"/>
      <c r="CQ112" s="29"/>
      <c r="CR112" s="17"/>
      <c r="CS112" s="29"/>
      <c r="CT112" s="17"/>
      <c r="CU112" s="29"/>
      <c r="CV112" s="29"/>
      <c r="CW112" s="8"/>
      <c r="CX112" s="8"/>
      <c r="CY112" s="8"/>
      <c r="CZ112" s="8"/>
      <c r="DA112" s="29"/>
      <c r="DB112" s="8"/>
      <c r="DC112" s="8"/>
      <c r="DD112" s="8"/>
      <c r="DE112" s="8"/>
      <c r="DF112" s="8"/>
      <c r="DG112" s="29"/>
      <c r="DH112" s="29"/>
      <c r="DI112" s="29"/>
      <c r="DJ112" s="29"/>
      <c r="DK112" s="29"/>
      <c r="DL112" s="29"/>
      <c r="DM112" s="29"/>
      <c r="DN112" s="424"/>
      <c r="DO112" s="424"/>
      <c r="DP112" s="434"/>
      <c r="DQ112" s="434"/>
      <c r="DR112" s="434"/>
      <c r="DS112" s="434"/>
      <c r="DT112" s="434"/>
      <c r="DU112" s="434"/>
      <c r="DV112" s="434"/>
      <c r="DW112" s="434"/>
      <c r="DX112" s="434"/>
      <c r="DY112" s="434"/>
      <c r="DZ112" s="434"/>
      <c r="EA112" s="434"/>
      <c r="EB112" s="29"/>
      <c r="EC112" s="29"/>
      <c r="ED112" s="29"/>
      <c r="EE112" s="33"/>
      <c r="EF112" s="33"/>
      <c r="EG112" s="33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W112" s="30"/>
      <c r="EX112" s="30"/>
      <c r="EY112" s="30"/>
      <c r="EZ112" s="30"/>
      <c r="FA112" s="30"/>
      <c r="FB112" s="30"/>
    </row>
    <row r="113" spans="1:158" s="7" customFormat="1" ht="17.25" hidden="1" customHeight="1" outlineLevel="2">
      <c r="C113" s="30"/>
      <c r="E113" s="101"/>
      <c r="G113" s="32" t="s">
        <v>1079</v>
      </c>
      <c r="H113" s="32"/>
      <c r="I113" s="32"/>
      <c r="J113" s="32"/>
      <c r="K113" s="7" t="s">
        <v>150</v>
      </c>
      <c r="N113" s="29">
        <f>MAX(N24:N94)</f>
        <v>0.8622145786741211</v>
      </c>
      <c r="O113" s="29">
        <f>MAX(O24:O94)</f>
        <v>15.634816010673783</v>
      </c>
      <c r="P113" s="117">
        <f>MAX(P24:P94)</f>
        <v>0</v>
      </c>
      <c r="Q113" s="117">
        <f>MAX(Q24:Q94)</f>
        <v>14.451573134985992</v>
      </c>
      <c r="R113" s="32">
        <f>MAX(R24:R94)</f>
        <v>26.387129195212609</v>
      </c>
      <c r="S113" s="32"/>
      <c r="T113" s="32"/>
      <c r="U113" s="32"/>
      <c r="V113" s="32">
        <f>MAX(V24:V94)</f>
        <v>47.407937988783758</v>
      </c>
      <c r="W113" s="32">
        <f>MAX(W24:W94)</f>
        <v>15.805774371878996</v>
      </c>
      <c r="X113" s="32">
        <f>MAX(X24:X94)</f>
        <v>8.0488977803637223</v>
      </c>
      <c r="Y113" s="29"/>
      <c r="Z113" s="32">
        <f>MAX(Z24:Z94)</f>
        <v>35.045757994968405</v>
      </c>
      <c r="AA113" s="32">
        <f>MAX(AA24:AA94)</f>
        <v>11.860485119505158</v>
      </c>
      <c r="AB113" s="32">
        <f>MAX(AB24:AB94)</f>
        <v>5.066555814061104</v>
      </c>
      <c r="AC113" s="29"/>
      <c r="AD113" s="32">
        <f>MAX(AD24:AD94)</f>
        <v>0.34165228333280029</v>
      </c>
      <c r="AE113" s="32">
        <f>MAX(AE24:AE94)</f>
        <v>0.12518663074374906</v>
      </c>
      <c r="AF113" s="32"/>
      <c r="AG113" s="32"/>
      <c r="AH113" s="32"/>
      <c r="AI113" s="29"/>
      <c r="AJ113" s="29"/>
      <c r="AK113" s="29"/>
      <c r="AL113" s="29"/>
      <c r="AM113" s="29"/>
      <c r="AN113" s="29"/>
      <c r="AO113" s="29"/>
      <c r="AP113" s="29"/>
      <c r="AQ113" s="32">
        <f>MAX(AQ24:AQ94)</f>
        <v>0.4908252516992711</v>
      </c>
      <c r="AR113" s="32">
        <f>MAX(AR24:AR94)</f>
        <v>3.6015568672893017E-2</v>
      </c>
      <c r="AS113" s="32">
        <f>MAX(AS24:AS94)</f>
        <v>0.1876193314600707</v>
      </c>
      <c r="AT113" s="32">
        <f>MAX(AT24:AT94)</f>
        <v>1.3693957110790418E-2</v>
      </c>
      <c r="AU113" s="32">
        <f>MAX(AU24:AU94)</f>
        <v>81.262795293497788</v>
      </c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2"/>
      <c r="CG113" s="32"/>
      <c r="CH113" s="29"/>
      <c r="CI113" s="35"/>
      <c r="CJ113" s="29"/>
      <c r="CK113" s="17"/>
      <c r="CL113" s="29"/>
      <c r="CM113" s="17"/>
      <c r="CN113" s="29"/>
      <c r="CO113" s="29"/>
      <c r="CP113" s="29"/>
      <c r="CQ113" s="29"/>
      <c r="CR113" s="17"/>
      <c r="CS113" s="29"/>
      <c r="CT113" s="17"/>
      <c r="CU113" s="29"/>
      <c r="CV113" s="29"/>
      <c r="CW113" s="8"/>
      <c r="CX113" s="8"/>
      <c r="CY113" s="8"/>
      <c r="CZ113" s="8"/>
      <c r="DA113" s="29"/>
      <c r="DB113" s="8"/>
      <c r="DC113" s="8"/>
      <c r="DD113" s="8"/>
      <c r="DE113" s="8"/>
      <c r="DF113" s="8"/>
      <c r="DG113" s="29"/>
      <c r="DH113" s="29"/>
      <c r="DI113" s="29"/>
      <c r="DJ113" s="29"/>
      <c r="DK113" s="29"/>
      <c r="DL113" s="29"/>
      <c r="DM113" s="29"/>
      <c r="DN113" s="424"/>
      <c r="DO113" s="424"/>
      <c r="DP113" s="434"/>
      <c r="DQ113" s="434"/>
      <c r="DR113" s="434"/>
      <c r="DS113" s="434"/>
      <c r="DT113" s="434"/>
      <c r="DU113" s="434"/>
      <c r="DV113" s="434"/>
      <c r="DW113" s="434"/>
      <c r="DX113" s="434"/>
      <c r="DY113" s="434"/>
      <c r="DZ113" s="434"/>
      <c r="EA113" s="434"/>
      <c r="EB113" s="29"/>
      <c r="EC113" s="29"/>
      <c r="ED113" s="29"/>
      <c r="EE113" s="33"/>
      <c r="EF113" s="33"/>
      <c r="EG113" s="33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W113" s="30"/>
      <c r="EX113" s="30"/>
      <c r="EY113" s="30"/>
      <c r="EZ113" s="30"/>
      <c r="FA113" s="30"/>
      <c r="FB113" s="30"/>
    </row>
    <row r="114" spans="1:158" s="7" customFormat="1" ht="17.25" hidden="1" customHeight="1" outlineLevel="2">
      <c r="C114" s="30"/>
      <c r="E114" s="26"/>
      <c r="F114" s="32"/>
      <c r="G114" s="32" t="s">
        <v>467</v>
      </c>
      <c r="H114" s="32"/>
      <c r="I114" s="32"/>
      <c r="J114" s="32"/>
      <c r="K114" s="7" t="s">
        <v>863</v>
      </c>
      <c r="N114" s="29">
        <f>MIN(N24:N94)</f>
        <v>0.40264538551589085</v>
      </c>
      <c r="O114" s="29">
        <f>MIN(O24:O94)</f>
        <v>-15.289540760507006</v>
      </c>
      <c r="P114" s="117">
        <f>MIN(P24:P94)</f>
        <v>0</v>
      </c>
      <c r="Q114" s="117">
        <f>MIN(Q24:Q94)</f>
        <v>-7.9354245501107403</v>
      </c>
      <c r="R114" s="32">
        <f>MIN(R24:R94)</f>
        <v>0</v>
      </c>
      <c r="S114" s="32"/>
      <c r="T114" s="32"/>
      <c r="U114" s="32"/>
      <c r="V114" s="32">
        <f>MIN(V24:V94)</f>
        <v>0.49214266803128126</v>
      </c>
      <c r="W114" s="32">
        <f>MIN(W24:W94)</f>
        <v>-18.760991520633826</v>
      </c>
      <c r="X114" s="32">
        <f>MIN(X24:X94)</f>
        <v>2.8475746174345524E-2</v>
      </c>
      <c r="Y114" s="29"/>
      <c r="Z114" s="32">
        <f>MIN(Z24:Z94)</f>
        <v>2.5242585406279678</v>
      </c>
      <c r="AA114" s="32">
        <f>MIN(AA24:AA94)</f>
        <v>-10.18586626883377</v>
      </c>
      <c r="AB114" s="32">
        <f>MIN(AB24:AB94)</f>
        <v>2.8547718004287209E-2</v>
      </c>
      <c r="AC114" s="29"/>
      <c r="AD114" s="32">
        <f>MIN(AD24:AD94)</f>
        <v>-1.0854642380753142E-2</v>
      </c>
      <c r="AE114" s="32">
        <f>MIN(AE24:AE94)</f>
        <v>-0.13065525746025539</v>
      </c>
      <c r="AF114" s="32"/>
      <c r="AG114" s="32"/>
      <c r="AH114" s="32"/>
      <c r="AI114" s="29"/>
      <c r="AJ114" s="29"/>
      <c r="AK114" s="29"/>
      <c r="AL114" s="29"/>
      <c r="AM114" s="29"/>
      <c r="AN114" s="29"/>
      <c r="AO114" s="29"/>
      <c r="AP114" s="29"/>
      <c r="AQ114" s="32">
        <f>MIN(AQ24:AQ94)</f>
        <v>5.771651998097449E-2</v>
      </c>
      <c r="AR114" s="32">
        <f>MIN(AR24:AR94)</f>
        <v>9.6658369494284531E-3</v>
      </c>
      <c r="AS114" s="32">
        <f>MIN(AS24:AS94)</f>
        <v>1.0266209066996939E-2</v>
      </c>
      <c r="AT114" s="32">
        <f>MIN(AT24:AT94)</f>
        <v>1.0279174689798193E-3</v>
      </c>
      <c r="AU114" s="32">
        <f>MIN(AU24:AU94)</f>
        <v>3.9830971748735911</v>
      </c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2"/>
      <c r="CG114" s="32"/>
      <c r="CH114" s="29"/>
      <c r="CI114" s="35"/>
      <c r="CJ114" s="29"/>
      <c r="CK114" s="17"/>
      <c r="CL114" s="29"/>
      <c r="CM114" s="17"/>
      <c r="CN114" s="29"/>
      <c r="CO114" s="29"/>
      <c r="CP114" s="29"/>
      <c r="CQ114" s="29"/>
      <c r="CR114" s="17"/>
      <c r="CS114" s="29"/>
      <c r="CT114" s="17"/>
      <c r="CU114" s="29"/>
      <c r="CV114" s="29"/>
      <c r="CW114" s="8"/>
      <c r="CX114" s="8"/>
      <c r="CY114" s="8"/>
      <c r="CZ114" s="8"/>
      <c r="DA114" s="29"/>
      <c r="DB114" s="8"/>
      <c r="DC114" s="8"/>
      <c r="DD114" s="8"/>
      <c r="DE114" s="8"/>
      <c r="DF114" s="8"/>
      <c r="DG114" s="29"/>
      <c r="DH114" s="29"/>
      <c r="DI114" s="29"/>
      <c r="DJ114" s="29"/>
      <c r="DK114" s="29"/>
      <c r="DL114" s="29"/>
      <c r="DM114" s="29"/>
      <c r="DN114" s="424"/>
      <c r="DO114" s="424"/>
      <c r="DP114" s="434"/>
      <c r="DQ114" s="434"/>
      <c r="DR114" s="434"/>
      <c r="DS114" s="434"/>
      <c r="DT114" s="434"/>
      <c r="DU114" s="434"/>
      <c r="DV114" s="434"/>
      <c r="DW114" s="434"/>
      <c r="DX114" s="434"/>
      <c r="DY114" s="434"/>
      <c r="DZ114" s="434"/>
      <c r="EA114" s="434"/>
      <c r="EB114" s="29"/>
      <c r="EC114" s="29"/>
      <c r="ED114" s="29"/>
      <c r="EE114" s="33"/>
      <c r="EF114" s="33"/>
      <c r="EG114" s="33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29"/>
      <c r="ET114" s="29"/>
      <c r="EU114" s="29"/>
      <c r="EW114" s="30"/>
      <c r="EX114" s="30"/>
      <c r="EY114" s="30"/>
      <c r="EZ114" s="30"/>
      <c r="FA114" s="30"/>
      <c r="FB114" s="30"/>
    </row>
    <row r="115" spans="1:158" s="7" customFormat="1" ht="17.25" hidden="1" customHeight="1" outlineLevel="2">
      <c r="C115" s="30"/>
      <c r="E115" s="101"/>
      <c r="G115" s="7" t="s">
        <v>468</v>
      </c>
      <c r="K115" s="7" t="s">
        <v>864</v>
      </c>
      <c r="N115" s="112">
        <f>AVERAGE(N24:N94)</f>
        <v>0.70902484762137774</v>
      </c>
      <c r="O115" s="112">
        <f>AVERAGE(O24:O94)</f>
        <v>-0.6274306745330217</v>
      </c>
      <c r="P115" s="107">
        <f>AVERAGE(P24:P94)</f>
        <v>0</v>
      </c>
      <c r="Q115" s="107">
        <f>AVERAGE(Q24:Q94)</f>
        <v>0.5177587639124176</v>
      </c>
      <c r="R115" s="101">
        <f>AVERAGE(R24:R94)</f>
        <v>13.55442557218676</v>
      </c>
      <c r="S115" s="30"/>
      <c r="T115" s="30"/>
      <c r="U115" s="30"/>
      <c r="V115" s="101">
        <f>AVERAGE(V24:V94)</f>
        <v>18.70094583466183</v>
      </c>
      <c r="W115" s="101">
        <f>AVERAGE(W24:W94)</f>
        <v>0.30863287516176136</v>
      </c>
      <c r="X115" s="101">
        <f>AVERAGE(X24:X94)</f>
        <v>2.7426067610586466</v>
      </c>
      <c r="Y115" s="29"/>
      <c r="Z115" s="102">
        <f>AVERAGE(Z24:Z94)</f>
        <v>21.671783751388126</v>
      </c>
      <c r="AA115" s="102">
        <f>AVERAGE(AA24:AA94)</f>
        <v>4.3469348020205571E-2</v>
      </c>
      <c r="AB115" s="102">
        <f>AVERAGE(AB24:AB94)</f>
        <v>1.2444422196595848</v>
      </c>
      <c r="AD115" s="102">
        <f>AVERAGE(AD24:AD94)</f>
        <v>0.12195996450103959</v>
      </c>
      <c r="AE115" s="102">
        <f>AVERAGE(AE24:AE94)</f>
        <v>-4.9469032290955419E-3</v>
      </c>
      <c r="AF115" s="102"/>
      <c r="AQ115" s="102">
        <f>AVERAGE(AQ24:AQ94)</f>
        <v>0.28347028566941779</v>
      </c>
      <c r="AR115" s="102">
        <f>AVERAGE(AR24:AR94)</f>
        <v>2.7023338550440694E-2</v>
      </c>
      <c r="AS115" s="102">
        <f>AVERAGE(AS24:AS94)</f>
        <v>0.10387852168523223</v>
      </c>
      <c r="AT115" s="102">
        <f>AVERAGE(AT24:AT94)</f>
        <v>4.9397084275478714E-3</v>
      </c>
      <c r="AU115" s="102">
        <f>AVERAGE(AU24:AU94)</f>
        <v>18.56108010588774</v>
      </c>
      <c r="CI115" s="103"/>
      <c r="DN115" s="356"/>
      <c r="DO115" s="356"/>
      <c r="DP115" s="38"/>
      <c r="DQ115" s="38"/>
      <c r="DR115" s="38"/>
      <c r="DS115" s="38"/>
      <c r="DT115" s="38"/>
      <c r="DU115" s="38"/>
      <c r="DV115" s="38"/>
      <c r="DW115" s="38"/>
      <c r="DX115" s="38"/>
      <c r="DY115" s="38"/>
      <c r="DZ115" s="38"/>
      <c r="EA115" s="38"/>
      <c r="EE115" s="238"/>
      <c r="EF115" s="238"/>
      <c r="EG115" s="238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W115" s="30"/>
      <c r="EX115" s="30"/>
      <c r="EY115" s="30"/>
      <c r="EZ115" s="30"/>
      <c r="FA115" s="30"/>
      <c r="FB115" s="30"/>
    </row>
    <row r="116" spans="1:158" s="7" customFormat="1" ht="15.75" customHeight="1" collapsed="1">
      <c r="A116" s="2"/>
      <c r="B116" s="1" t="s">
        <v>982</v>
      </c>
      <c r="C116" s="2"/>
      <c r="D116" s="3"/>
      <c r="E116" s="2"/>
      <c r="F116" s="2"/>
      <c r="G116" s="2"/>
      <c r="H116" s="2"/>
      <c r="I116" s="2"/>
      <c r="J116" s="2"/>
      <c r="K116" s="2"/>
      <c r="L116" s="2"/>
      <c r="M116" s="2"/>
      <c r="N116" s="6"/>
      <c r="O116" s="6"/>
      <c r="P116" s="456"/>
      <c r="Q116" s="456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420"/>
      <c r="DO116" s="420"/>
      <c r="DP116" s="439"/>
      <c r="DQ116" s="439"/>
      <c r="DR116" s="439"/>
      <c r="DS116" s="439"/>
      <c r="DT116" s="439"/>
      <c r="DU116" s="439"/>
      <c r="DV116" s="439"/>
      <c r="DW116" s="439"/>
      <c r="DX116" s="439"/>
      <c r="DY116" s="439"/>
      <c r="DZ116" s="439"/>
      <c r="EA116" s="439"/>
      <c r="EB116" s="2"/>
      <c r="EC116" s="2"/>
      <c r="ED116" s="2"/>
      <c r="EE116" s="337"/>
      <c r="EF116" s="337"/>
      <c r="EG116" s="337"/>
      <c r="EH116" s="338"/>
      <c r="EI116" s="338"/>
      <c r="EJ116" s="338"/>
      <c r="EK116" s="338"/>
      <c r="EL116" s="338"/>
      <c r="EM116" s="338"/>
      <c r="EN116" s="338"/>
      <c r="EO116" s="338"/>
      <c r="EP116" s="338"/>
      <c r="EQ116" s="338"/>
      <c r="ER116" s="338"/>
      <c r="ES116" s="338"/>
      <c r="ET116" s="338"/>
      <c r="EU116" s="338"/>
      <c r="EW116" s="30"/>
      <c r="EX116" s="30"/>
      <c r="EY116" s="30"/>
      <c r="EZ116" s="30"/>
      <c r="FA116" s="30"/>
      <c r="FB116" s="30"/>
    </row>
    <row r="117" spans="1:158" s="7" customFormat="1" ht="15.75" hidden="1" customHeight="1" outlineLevel="1">
      <c r="A117" s="2"/>
      <c r="B117" s="25"/>
      <c r="C117" s="7" t="s">
        <v>1059</v>
      </c>
      <c r="D117" s="101"/>
      <c r="N117" s="36"/>
      <c r="O117" s="36"/>
      <c r="P117" s="458"/>
      <c r="Q117" s="458"/>
      <c r="CW117" s="7">
        <f>CW94</f>
        <v>7.5646754528953752E-2</v>
      </c>
      <c r="CX117" s="7">
        <f>CX94</f>
        <v>3.1977656328815467</v>
      </c>
      <c r="CY117" s="7">
        <f>CY94</f>
        <v>-0.18502513275518756</v>
      </c>
      <c r="CZ117" s="7">
        <f>CZ94</f>
        <v>5.397891711267393</v>
      </c>
      <c r="DB117" s="7">
        <f>DB94</f>
        <v>-0.98879095556683982</v>
      </c>
      <c r="DC117" s="7">
        <f>DC94</f>
        <v>0.81957111714943176</v>
      </c>
      <c r="DD117" s="7">
        <f>DD94</f>
        <v>-0.11875203611293823</v>
      </c>
      <c r="DE117" s="7">
        <f>DE94</f>
        <v>-0.91290707708959373</v>
      </c>
      <c r="DN117" s="356"/>
      <c r="DO117" s="356"/>
      <c r="DP117" s="38"/>
      <c r="DQ117" s="38"/>
      <c r="DR117" s="38"/>
      <c r="DS117" s="38"/>
      <c r="DT117" s="38"/>
      <c r="DU117" s="38"/>
      <c r="DV117" s="38"/>
      <c r="DW117" s="38"/>
      <c r="DX117" s="38"/>
      <c r="DY117" s="38"/>
      <c r="DZ117" s="38"/>
      <c r="EA117" s="38"/>
      <c r="EE117" s="238"/>
      <c r="EF117" s="238"/>
      <c r="EG117" s="238"/>
      <c r="EH117" s="30"/>
      <c r="EI117" s="30"/>
      <c r="EJ117" s="30"/>
      <c r="EK117" s="30"/>
      <c r="EL117" s="30"/>
      <c r="EM117" s="30"/>
      <c r="EN117" s="30"/>
      <c r="EO117" s="30"/>
      <c r="EP117" s="30"/>
      <c r="EQ117" s="30"/>
      <c r="ER117" s="30"/>
      <c r="ES117" s="30"/>
      <c r="ET117" s="30"/>
      <c r="EU117" s="30"/>
      <c r="EW117" s="30"/>
      <c r="EX117" s="30"/>
      <c r="EY117" s="30"/>
      <c r="EZ117" s="30"/>
      <c r="FA117" s="30"/>
      <c r="FB117" s="30"/>
    </row>
    <row r="118" spans="1:158" s="7" customFormat="1" ht="15.75" hidden="1" customHeight="1" outlineLevel="1">
      <c r="A118" s="2"/>
      <c r="B118" s="25"/>
      <c r="C118" s="236">
        <f>INDEX(CW117:CW118,D152)</f>
        <v>-0.1833340214877659</v>
      </c>
      <c r="D118" s="236">
        <f>INDEX(CX117:CX118,D152)</f>
        <v>34.522385208614061</v>
      </c>
      <c r="E118" s="236">
        <v>0</v>
      </c>
      <c r="F118" s="236">
        <v>0</v>
      </c>
      <c r="H118" s="7" t="s">
        <v>1195</v>
      </c>
      <c r="N118" s="36"/>
      <c r="O118" s="36"/>
      <c r="P118" s="458"/>
      <c r="Q118" s="458"/>
      <c r="R118" s="7" t="s">
        <v>876</v>
      </c>
      <c r="CW118" s="7">
        <f>CW117*CZ117+CX117*CY117</f>
        <v>-0.1833340214877659</v>
      </c>
      <c r="CX118" s="7">
        <f>2*CX117*CZ117</f>
        <v>34.522385208614061</v>
      </c>
      <c r="CY118" s="7">
        <f>2*CW117*CY117</f>
        <v>-2.7993101598437507E-2</v>
      </c>
      <c r="CZ118" s="7">
        <f>CW118</f>
        <v>-0.1833340214877659</v>
      </c>
      <c r="DB118" s="7">
        <f>DB117*DE117+DC117*DD117</f>
        <v>0.80534852219829955</v>
      </c>
      <c r="DC118" s="7">
        <f>2*DC117*DE117</f>
        <v>-1.4963845460478815</v>
      </c>
      <c r="DD118" s="7">
        <f>2*DB117*DD117</f>
        <v>0.23484187852724014</v>
      </c>
      <c r="DE118" s="7">
        <f>DB118</f>
        <v>0.80534852219829955</v>
      </c>
      <c r="DN118" s="356"/>
      <c r="DO118" s="356"/>
      <c r="DP118" s="38"/>
      <c r="DQ118" s="38"/>
      <c r="DR118" s="38"/>
      <c r="DS118" s="38"/>
      <c r="DT118" s="38"/>
      <c r="DU118" s="38"/>
      <c r="DV118" s="38"/>
      <c r="DW118" s="38"/>
      <c r="DX118" s="38"/>
      <c r="DY118" s="38"/>
      <c r="DZ118" s="38"/>
      <c r="EA118" s="38"/>
      <c r="EE118" s="238"/>
      <c r="EF118" s="238"/>
      <c r="EG118" s="238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W118" s="30"/>
      <c r="EX118" s="30"/>
      <c r="EY118" s="30"/>
      <c r="EZ118" s="30"/>
      <c r="FA118" s="30"/>
      <c r="FB118" s="30"/>
    </row>
    <row r="119" spans="1:158" s="7" customFormat="1" ht="15.75" hidden="1" customHeight="1" outlineLevel="1">
      <c r="A119" s="2"/>
      <c r="B119" s="25"/>
      <c r="C119" s="236">
        <f>INDEX(CY117:CY118,D152)</f>
        <v>-2.7993101598437507E-2</v>
      </c>
      <c r="D119" s="236">
        <f>INDEX(CZ117:CZ118,D152)</f>
        <v>-0.1833340214877659</v>
      </c>
      <c r="E119" s="236">
        <v>0</v>
      </c>
      <c r="F119" s="236">
        <v>0</v>
      </c>
      <c r="H119" s="236">
        <f>IF(D118&lt;0,2*PI()-ACOS(0.5*(C118+D119)),ACOS(0.5*(C118+D119)))/2/PI()</f>
        <v>0.27934449360335156</v>
      </c>
      <c r="L119" s="236"/>
      <c r="M119" s="236"/>
      <c r="N119" s="36"/>
      <c r="O119" s="36"/>
      <c r="P119" s="458"/>
      <c r="Q119" s="458"/>
      <c r="R119" s="236">
        <f>D149*H119</f>
        <v>4.469511897653625</v>
      </c>
      <c r="DN119" s="356"/>
      <c r="DO119" s="356"/>
      <c r="DP119" s="38"/>
      <c r="DQ119" s="38"/>
      <c r="DR119" s="38"/>
      <c r="DS119" s="38"/>
      <c r="DT119" s="38"/>
      <c r="DU119" s="38"/>
      <c r="DV119" s="38"/>
      <c r="DW119" s="38"/>
      <c r="DX119" s="38"/>
      <c r="DY119" s="38"/>
      <c r="DZ119" s="38"/>
      <c r="EA119" s="38"/>
      <c r="EE119" s="238"/>
      <c r="EF119" s="238"/>
      <c r="EG119" s="238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W119" s="30"/>
      <c r="EX119" s="30"/>
      <c r="EY119" s="30"/>
      <c r="EZ119" s="30"/>
      <c r="FA119" s="30"/>
      <c r="FB119" s="30"/>
    </row>
    <row r="120" spans="1:158" s="7" customFormat="1" ht="15.75" hidden="1" customHeight="1" outlineLevel="1">
      <c r="A120" s="2"/>
      <c r="B120" s="25"/>
      <c r="C120" s="236">
        <v>0</v>
      </c>
      <c r="D120" s="236">
        <v>0</v>
      </c>
      <c r="E120" s="236">
        <f>INDEX(DB117:DB118,D152)</f>
        <v>0.80534852219829955</v>
      </c>
      <c r="F120" s="236">
        <f>INDEX(DC117:DC118,D152)</f>
        <v>-1.4963845460478815</v>
      </c>
      <c r="H120" s="7" t="s">
        <v>861</v>
      </c>
      <c r="N120" s="36"/>
      <c r="O120" s="36"/>
      <c r="P120" s="458"/>
      <c r="Q120" s="458"/>
      <c r="R120" s="7" t="s">
        <v>790</v>
      </c>
      <c r="DN120" s="356"/>
      <c r="DO120" s="356"/>
      <c r="DP120" s="38"/>
      <c r="DQ120" s="38"/>
      <c r="DR120" s="38"/>
      <c r="DS120" s="38"/>
      <c r="DT120" s="38"/>
      <c r="DU120" s="38"/>
      <c r="DV120" s="38"/>
      <c r="DW120" s="38"/>
      <c r="DX120" s="38"/>
      <c r="DY120" s="38"/>
      <c r="DZ120" s="38"/>
      <c r="EA120" s="38"/>
      <c r="EE120" s="238"/>
      <c r="EF120" s="238"/>
      <c r="EG120" s="238"/>
      <c r="EH120" s="30"/>
      <c r="EI120" s="30"/>
      <c r="EJ120" s="30"/>
      <c r="EK120" s="30"/>
      <c r="EL120" s="30"/>
      <c r="EM120" s="30"/>
      <c r="EN120" s="30"/>
      <c r="EO120" s="30"/>
      <c r="EP120" s="30"/>
      <c r="EQ120" s="30"/>
      <c r="ER120" s="30"/>
      <c r="ES120" s="30"/>
      <c r="ET120" s="30"/>
      <c r="EU120" s="30"/>
      <c r="EW120" s="30"/>
      <c r="EX120" s="30"/>
      <c r="EY120" s="30"/>
      <c r="EZ120" s="30"/>
      <c r="FA120" s="30"/>
      <c r="FB120" s="30"/>
    </row>
    <row r="121" spans="1:158" s="7" customFormat="1" ht="15.75" hidden="1" customHeight="1" outlineLevel="1">
      <c r="A121" s="2"/>
      <c r="B121" s="25"/>
      <c r="C121" s="236">
        <v>0</v>
      </c>
      <c r="D121" s="236">
        <v>0</v>
      </c>
      <c r="E121" s="236">
        <f>INDEX(DD117:DD118,D152)</f>
        <v>0.23484187852724014</v>
      </c>
      <c r="F121" s="236">
        <f>INDEX(DE117:DE118,D152)</f>
        <v>0.80534852219829955</v>
      </c>
      <c r="H121" s="236">
        <f>IF(F120&lt;0,2*PI()-ACOS(0.5*(E120+F121)),ACOS(0.5*(E120+F121)))/2/PI()</f>
        <v>0.89901090954628393</v>
      </c>
      <c r="L121" s="236"/>
      <c r="M121" s="236"/>
      <c r="N121" s="36"/>
      <c r="O121" s="36"/>
      <c r="P121" s="458"/>
      <c r="Q121" s="458"/>
      <c r="R121" s="236">
        <f>D149*H121</f>
        <v>14.384174552740543</v>
      </c>
      <c r="DN121" s="356"/>
      <c r="DO121" s="356"/>
      <c r="DP121" s="38"/>
      <c r="DQ121" s="38"/>
      <c r="DR121" s="38"/>
      <c r="DS121" s="38"/>
      <c r="DT121" s="38"/>
      <c r="DU121" s="38"/>
      <c r="DV121" s="38"/>
      <c r="DW121" s="38"/>
      <c r="DX121" s="38"/>
      <c r="DY121" s="38"/>
      <c r="DZ121" s="38"/>
      <c r="EA121" s="38"/>
      <c r="EE121" s="238"/>
      <c r="EF121" s="238"/>
      <c r="EG121" s="238"/>
      <c r="EH121" s="30"/>
      <c r="EI121" s="30"/>
      <c r="EJ121" s="30"/>
      <c r="EK121" s="30"/>
      <c r="EL121" s="30"/>
      <c r="EM121" s="30"/>
      <c r="EN121" s="30"/>
      <c r="EO121" s="30"/>
      <c r="EP121" s="30"/>
      <c r="EQ121" s="30"/>
      <c r="ER121" s="30"/>
      <c r="ES121" s="30"/>
      <c r="ET121" s="30"/>
      <c r="EU121" s="30"/>
      <c r="EW121" s="30"/>
      <c r="EX121" s="30"/>
      <c r="EY121" s="30"/>
      <c r="EZ121" s="30"/>
      <c r="FA121" s="30"/>
      <c r="FB121" s="30"/>
    </row>
    <row r="122" spans="1:158" s="7" customFormat="1" ht="15.75" hidden="1" customHeight="1" outlineLevel="1">
      <c r="A122" s="2"/>
      <c r="B122" s="25"/>
      <c r="C122" s="7" t="s">
        <v>875</v>
      </c>
      <c r="D122" s="101"/>
      <c r="N122" s="36"/>
      <c r="O122" s="36"/>
      <c r="P122" s="458"/>
      <c r="Q122" s="458"/>
      <c r="Y122" s="36"/>
      <c r="DN122" s="356"/>
      <c r="DO122" s="356"/>
      <c r="DP122" s="38"/>
      <c r="DQ122" s="38"/>
      <c r="DR122" s="38"/>
      <c r="DS122" s="38"/>
      <c r="DT122" s="38"/>
      <c r="DU122" s="38"/>
      <c r="DV122" s="38"/>
      <c r="DW122" s="38"/>
      <c r="DX122" s="38"/>
      <c r="DY122" s="38"/>
      <c r="DZ122" s="38"/>
      <c r="EA122" s="38"/>
      <c r="EE122" s="238"/>
      <c r="EF122" s="238"/>
      <c r="EG122" s="238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W122" s="30"/>
      <c r="EX122" s="30"/>
      <c r="EY122" s="30"/>
      <c r="EZ122" s="30"/>
      <c r="FA122" s="30"/>
      <c r="FB122" s="30"/>
    </row>
    <row r="123" spans="1:158" s="7" customFormat="1" ht="15.75" hidden="1" customHeight="1" outlineLevel="1">
      <c r="A123" s="2"/>
      <c r="B123" s="25"/>
      <c r="C123" s="236">
        <f>V24</f>
        <v>35.11760478118476</v>
      </c>
      <c r="D123" s="236"/>
      <c r="E123" s="236"/>
      <c r="F123" s="236"/>
      <c r="N123" s="36"/>
      <c r="O123" s="36"/>
      <c r="P123" s="458"/>
      <c r="Q123" s="458"/>
      <c r="Y123" s="36"/>
      <c r="DN123" s="356"/>
      <c r="DO123" s="356"/>
      <c r="DP123" s="38"/>
      <c r="DQ123" s="38"/>
      <c r="DR123" s="38"/>
      <c r="DS123" s="38"/>
      <c r="DT123" s="38"/>
      <c r="DU123" s="38"/>
      <c r="DV123" s="38"/>
      <c r="DW123" s="38"/>
      <c r="DX123" s="38"/>
      <c r="DY123" s="38"/>
      <c r="DZ123" s="38"/>
      <c r="EA123" s="38"/>
      <c r="EE123" s="238"/>
      <c r="EF123" s="238"/>
      <c r="EG123" s="238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W123" s="30"/>
      <c r="EX123" s="30"/>
      <c r="EY123" s="30"/>
      <c r="EZ123" s="30"/>
      <c r="FA123" s="30"/>
      <c r="FB123" s="30"/>
    </row>
    <row r="124" spans="1:158" s="7" customFormat="1" ht="15.75" hidden="1" customHeight="1" outlineLevel="1">
      <c r="A124" s="2"/>
      <c r="B124" s="25"/>
      <c r="C124" s="236">
        <f>-W24</f>
        <v>0</v>
      </c>
      <c r="D124" s="236">
        <f>X24</f>
        <v>2.8475746174345524E-2</v>
      </c>
      <c r="E124" s="236"/>
      <c r="F124" s="236"/>
      <c r="N124" s="36"/>
      <c r="O124" s="36"/>
      <c r="P124" s="458"/>
      <c r="Q124" s="458"/>
      <c r="Y124" s="36"/>
      <c r="DN124" s="356"/>
      <c r="DO124" s="356"/>
      <c r="DP124" s="38"/>
      <c r="DQ124" s="38"/>
      <c r="DR124" s="38"/>
      <c r="DS124" s="38"/>
      <c r="DT124" s="38"/>
      <c r="DU124" s="38"/>
      <c r="DV124" s="38"/>
      <c r="DW124" s="38"/>
      <c r="DX124" s="38"/>
      <c r="DY124" s="38"/>
      <c r="DZ124" s="38"/>
      <c r="EA124" s="38"/>
      <c r="EE124" s="238"/>
      <c r="EF124" s="238"/>
      <c r="EG124" s="238"/>
      <c r="EH124" s="30"/>
      <c r="EI124" s="30"/>
      <c r="EJ124" s="30"/>
      <c r="EK124" s="30"/>
      <c r="EL124" s="30"/>
      <c r="EM124" s="30"/>
      <c r="EN124" s="30"/>
      <c r="EO124" s="30"/>
      <c r="EP124" s="30"/>
      <c r="EQ124" s="30"/>
      <c r="ER124" s="30"/>
      <c r="ES124" s="30"/>
      <c r="ET124" s="30"/>
      <c r="EU124" s="30"/>
      <c r="EW124" s="30"/>
      <c r="EX124" s="30"/>
      <c r="EY124" s="30"/>
      <c r="EZ124" s="30"/>
      <c r="FA124" s="30"/>
      <c r="FB124" s="30"/>
    </row>
    <row r="125" spans="1:158" s="7" customFormat="1" ht="15.75" hidden="1" customHeight="1" outlineLevel="1">
      <c r="A125" s="2"/>
      <c r="B125" s="25"/>
      <c r="C125" s="236">
        <v>0</v>
      </c>
      <c r="D125" s="236">
        <v>0</v>
      </c>
      <c r="E125" s="236">
        <f>Z24</f>
        <v>2.5242585406279678</v>
      </c>
      <c r="F125" s="236"/>
      <c r="N125" s="36"/>
      <c r="O125" s="36"/>
      <c r="P125" s="458"/>
      <c r="Q125" s="458"/>
      <c r="Y125" s="36"/>
      <c r="DN125" s="356"/>
      <c r="DO125" s="356"/>
      <c r="DP125" s="38"/>
      <c r="DQ125" s="38"/>
      <c r="DR125" s="38"/>
      <c r="DS125" s="38"/>
      <c r="DT125" s="38"/>
      <c r="DU125" s="38"/>
      <c r="DV125" s="38"/>
      <c r="DW125" s="38"/>
      <c r="DX125" s="38"/>
      <c r="DY125" s="38"/>
      <c r="DZ125" s="38"/>
      <c r="EA125" s="38"/>
      <c r="EE125" s="238"/>
      <c r="EF125" s="238"/>
      <c r="EG125" s="238"/>
      <c r="EH125" s="30"/>
      <c r="EI125" s="30"/>
      <c r="EJ125" s="30"/>
      <c r="EK125" s="30"/>
      <c r="EL125" s="30"/>
      <c r="EM125" s="30"/>
      <c r="EN125" s="30"/>
      <c r="EO125" s="30"/>
      <c r="EP125" s="30"/>
      <c r="EQ125" s="30"/>
      <c r="ER125" s="30"/>
      <c r="ES125" s="30"/>
      <c r="ET125" s="30"/>
      <c r="EU125" s="30"/>
      <c r="EW125" s="30"/>
      <c r="EX125" s="30"/>
      <c r="EY125" s="30"/>
      <c r="EZ125" s="30"/>
      <c r="FA125" s="30"/>
      <c r="FB125" s="30"/>
    </row>
    <row r="126" spans="1:158" s="7" customFormat="1" ht="15.75" hidden="1" customHeight="1" outlineLevel="1">
      <c r="A126" s="2"/>
      <c r="B126" s="25"/>
      <c r="C126" s="236">
        <v>0</v>
      </c>
      <c r="D126" s="236">
        <v>0</v>
      </c>
      <c r="E126" s="236">
        <f>-AA24</f>
        <v>0</v>
      </c>
      <c r="F126" s="236">
        <f>AB24</f>
        <v>0.39615593407132804</v>
      </c>
      <c r="N126" s="36"/>
      <c r="O126" s="36"/>
      <c r="P126" s="458"/>
      <c r="Q126" s="458"/>
      <c r="Y126" s="36"/>
      <c r="DN126" s="356"/>
      <c r="DO126" s="356"/>
      <c r="DP126" s="38"/>
      <c r="DQ126" s="38"/>
      <c r="DR126" s="38"/>
      <c r="DS126" s="38"/>
      <c r="DT126" s="38"/>
      <c r="DU126" s="38"/>
      <c r="DV126" s="38"/>
      <c r="DW126" s="38"/>
      <c r="DX126" s="38"/>
      <c r="DY126" s="38"/>
      <c r="DZ126" s="38"/>
      <c r="EA126" s="38"/>
      <c r="EE126" s="238"/>
      <c r="EF126" s="238"/>
      <c r="EG126" s="238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W126" s="30"/>
      <c r="EX126" s="30"/>
      <c r="EY126" s="30"/>
      <c r="EZ126" s="30"/>
      <c r="FA126" s="30"/>
      <c r="FB126" s="30"/>
    </row>
    <row r="127" spans="1:158" s="7" customFormat="1" ht="15.75" hidden="1" customHeight="1" outlineLevel="1">
      <c r="A127" s="2"/>
      <c r="B127" s="25"/>
      <c r="D127" s="101"/>
      <c r="N127" s="36"/>
      <c r="O127" s="36"/>
      <c r="P127" s="458"/>
      <c r="Q127" s="458"/>
      <c r="DN127" s="356"/>
      <c r="DO127" s="356"/>
      <c r="DP127" s="38"/>
      <c r="DQ127" s="38"/>
      <c r="DR127" s="38"/>
      <c r="DS127" s="38"/>
      <c r="DT127" s="38"/>
      <c r="DU127" s="38"/>
      <c r="DV127" s="38"/>
      <c r="DW127" s="38"/>
      <c r="DX127" s="38"/>
      <c r="DY127" s="38"/>
      <c r="DZ127" s="38"/>
      <c r="EA127" s="38"/>
      <c r="EE127" s="238"/>
      <c r="EF127" s="238"/>
      <c r="EG127" s="238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W127" s="30"/>
      <c r="EX127" s="30"/>
      <c r="EY127" s="30"/>
      <c r="EZ127" s="30"/>
      <c r="FA127" s="30"/>
      <c r="FB127" s="30"/>
    </row>
    <row r="128" spans="1:158" s="7" customFormat="1" ht="15.75" customHeight="1" collapsed="1">
      <c r="A128" s="2"/>
      <c r="B128" s="1" t="s">
        <v>825</v>
      </c>
      <c r="C128" s="2"/>
      <c r="D128" s="3"/>
      <c r="E128" s="2"/>
      <c r="F128" s="2"/>
      <c r="G128" s="2"/>
      <c r="H128" s="2"/>
      <c r="I128" s="2"/>
      <c r="J128" s="2"/>
      <c r="K128" s="2"/>
      <c r="L128" s="2"/>
      <c r="M128" s="2"/>
      <c r="N128" s="6"/>
      <c r="O128" s="6"/>
      <c r="P128" s="456"/>
      <c r="Q128" s="456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420"/>
      <c r="DO128" s="420"/>
      <c r="DP128" s="439"/>
      <c r="DQ128" s="439"/>
      <c r="DR128" s="439"/>
      <c r="DS128" s="439"/>
      <c r="DT128" s="439"/>
      <c r="DU128" s="439"/>
      <c r="DV128" s="439"/>
      <c r="DW128" s="439"/>
      <c r="DX128" s="439"/>
      <c r="DY128" s="439"/>
      <c r="DZ128" s="439"/>
      <c r="EA128" s="439"/>
      <c r="EB128" s="2"/>
      <c r="EC128" s="2"/>
      <c r="ED128" s="2"/>
      <c r="EE128" s="337"/>
      <c r="EF128" s="337"/>
      <c r="EG128" s="337"/>
      <c r="EH128" s="338"/>
      <c r="EI128" s="338"/>
      <c r="EJ128" s="338"/>
      <c r="EK128" s="338"/>
      <c r="EL128" s="338"/>
      <c r="EM128" s="338"/>
      <c r="EN128" s="338"/>
      <c r="EO128" s="338"/>
      <c r="EP128" s="338"/>
      <c r="EQ128" s="338"/>
      <c r="ER128" s="338"/>
      <c r="ES128" s="338"/>
      <c r="ET128" s="338"/>
      <c r="EU128" s="338"/>
      <c r="EW128" s="30"/>
      <c r="EX128" s="30"/>
      <c r="EY128" s="30"/>
      <c r="EZ128" s="30"/>
      <c r="FA128" s="30"/>
      <c r="FB128" s="30"/>
    </row>
    <row r="129" spans="1:158" s="7" customFormat="1" ht="15.75" hidden="1" customHeight="1" outlineLevel="1">
      <c r="A129" s="2"/>
      <c r="C129" s="7" t="s">
        <v>463</v>
      </c>
      <c r="E129" s="101"/>
      <c r="N129" s="36"/>
      <c r="O129" s="36"/>
      <c r="P129" s="458"/>
      <c r="Q129" s="458"/>
      <c r="CI129" s="103"/>
      <c r="DN129" s="356"/>
      <c r="DO129" s="356"/>
      <c r="DP129" s="38"/>
      <c r="DQ129" s="38"/>
      <c r="DR129" s="38"/>
      <c r="DS129" s="38"/>
      <c r="DT129" s="38"/>
      <c r="DU129" s="38"/>
      <c r="DV129" s="38"/>
      <c r="DW129" s="38"/>
      <c r="DX129" s="38"/>
      <c r="DY129" s="38"/>
      <c r="DZ129" s="38"/>
      <c r="EA129" s="38"/>
      <c r="EE129" s="238"/>
      <c r="EF129" s="238"/>
      <c r="EG129" s="238"/>
      <c r="EH129" s="30"/>
      <c r="EI129" s="30"/>
      <c r="EJ129" s="30"/>
      <c r="EK129" s="30"/>
      <c r="EL129" s="30"/>
      <c r="EM129" s="30"/>
      <c r="EN129" s="30"/>
      <c r="EO129" s="30"/>
      <c r="EP129" s="30"/>
      <c r="EQ129" s="30"/>
      <c r="ER129" s="30"/>
      <c r="ES129" s="30"/>
      <c r="ET129" s="30"/>
      <c r="EU129" s="30"/>
      <c r="EW129" s="30"/>
      <c r="EX129" s="30"/>
      <c r="EY129" s="30"/>
      <c r="EZ129" s="30"/>
      <c r="FA129" s="30"/>
      <c r="FB129" s="30"/>
    </row>
    <row r="130" spans="1:158" s="7" customFormat="1" ht="15.75" hidden="1" customHeight="1" outlineLevel="1">
      <c r="A130" s="2"/>
      <c r="C130" s="7" t="s">
        <v>225</v>
      </c>
      <c r="E130" s="101"/>
      <c r="N130" s="36"/>
      <c r="O130" s="36"/>
      <c r="P130" s="458"/>
      <c r="Q130" s="458"/>
      <c r="CI130" s="103"/>
      <c r="DN130" s="356"/>
      <c r="DO130" s="356"/>
      <c r="DP130" s="38"/>
      <c r="DQ130" s="38"/>
      <c r="DR130" s="38"/>
      <c r="DS130" s="38"/>
      <c r="DT130" s="38"/>
      <c r="DU130" s="38"/>
      <c r="DV130" s="38"/>
      <c r="DW130" s="38"/>
      <c r="DX130" s="38"/>
      <c r="DY130" s="38"/>
      <c r="DZ130" s="38"/>
      <c r="EA130" s="38"/>
      <c r="EE130" s="238"/>
      <c r="EF130" s="238"/>
      <c r="EG130" s="238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W130" s="30"/>
      <c r="EX130" s="30"/>
      <c r="EY130" s="30"/>
      <c r="EZ130" s="30"/>
      <c r="FA130" s="30"/>
      <c r="FB130" s="30"/>
    </row>
    <row r="131" spans="1:158" s="7" customFormat="1" ht="15.75" hidden="1" customHeight="1" outlineLevel="1">
      <c r="A131" s="2"/>
      <c r="E131" s="101"/>
      <c r="N131" s="36"/>
      <c r="O131" s="36"/>
      <c r="P131" s="458"/>
      <c r="Q131" s="458"/>
      <c r="CI131" s="103"/>
      <c r="DN131" s="356"/>
      <c r="DO131" s="356"/>
      <c r="DP131" s="38"/>
      <c r="DQ131" s="38"/>
      <c r="DR131" s="38"/>
      <c r="DS131" s="38"/>
      <c r="DT131" s="38"/>
      <c r="DU131" s="38"/>
      <c r="DV131" s="38"/>
      <c r="DW131" s="38"/>
      <c r="DX131" s="38"/>
      <c r="DY131" s="38"/>
      <c r="DZ131" s="38"/>
      <c r="EA131" s="38"/>
      <c r="EE131" s="238"/>
      <c r="EF131" s="238"/>
      <c r="EG131" s="238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W131" s="30"/>
      <c r="EX131" s="30"/>
      <c r="EY131" s="30"/>
      <c r="EZ131" s="30"/>
      <c r="FA131" s="30"/>
      <c r="FB131" s="30"/>
    </row>
    <row r="132" spans="1:158" s="7" customFormat="1" ht="15.75" hidden="1" customHeight="1" outlineLevel="1">
      <c r="A132" s="2"/>
      <c r="D132" s="26"/>
      <c r="E132" s="101"/>
      <c r="N132" s="36"/>
      <c r="O132" s="36"/>
      <c r="P132" s="458"/>
      <c r="Q132" s="458"/>
      <c r="CI132" s="103"/>
      <c r="DN132" s="356"/>
      <c r="DO132" s="356"/>
      <c r="DP132" s="38"/>
      <c r="DQ132" s="38"/>
      <c r="DR132" s="38"/>
      <c r="DS132" s="38"/>
      <c r="DT132" s="38"/>
      <c r="DU132" s="38"/>
      <c r="DV132" s="38"/>
      <c r="DW132" s="38"/>
      <c r="DX132" s="38"/>
      <c r="DY132" s="38"/>
      <c r="DZ132" s="38"/>
      <c r="EA132" s="38"/>
      <c r="EE132" s="238"/>
      <c r="EF132" s="238"/>
      <c r="EG132" s="238"/>
      <c r="EH132" s="30"/>
      <c r="EI132" s="30"/>
      <c r="EJ132" s="30"/>
      <c r="EK132" s="30"/>
      <c r="EL132" s="30"/>
      <c r="EM132" s="30"/>
      <c r="EN132" s="30"/>
      <c r="EO132" s="30"/>
      <c r="EP132" s="30"/>
      <c r="EQ132" s="30"/>
      <c r="ER132" s="30"/>
      <c r="ES132" s="30"/>
      <c r="ET132" s="30"/>
      <c r="EU132" s="30"/>
      <c r="EW132" s="30"/>
      <c r="EX132" s="30"/>
      <c r="EY132" s="30"/>
      <c r="EZ132" s="30"/>
      <c r="FA132" s="30"/>
      <c r="FB132" s="30"/>
    </row>
    <row r="133" spans="1:158" s="7" customFormat="1" ht="15.75" hidden="1" customHeight="1" outlineLevel="1">
      <c r="A133" s="2"/>
      <c r="C133" s="104" t="s">
        <v>65</v>
      </c>
      <c r="E133" s="101"/>
      <c r="N133" s="36"/>
      <c r="O133" s="36"/>
      <c r="P133" s="458"/>
      <c r="Q133" s="458"/>
      <c r="CI133" s="103"/>
      <c r="DN133" s="356"/>
      <c r="DO133" s="356"/>
      <c r="DP133" s="38"/>
      <c r="DQ133" s="38"/>
      <c r="DR133" s="38"/>
      <c r="DS133" s="38"/>
      <c r="DT133" s="38"/>
      <c r="DU133" s="38"/>
      <c r="DV133" s="38"/>
      <c r="DW133" s="38"/>
      <c r="DX133" s="38"/>
      <c r="DY133" s="38"/>
      <c r="DZ133" s="38"/>
      <c r="EA133" s="38"/>
      <c r="EE133" s="238"/>
      <c r="EF133" s="238"/>
      <c r="EG133" s="238"/>
      <c r="EH133" s="30"/>
      <c r="EI133" s="30"/>
      <c r="EJ133" s="30"/>
      <c r="EK133" s="30"/>
      <c r="EL133" s="30"/>
      <c r="EM133" s="30"/>
      <c r="EN133" s="30"/>
      <c r="EO133" s="30"/>
      <c r="EP133" s="30"/>
      <c r="EQ133" s="30"/>
      <c r="ER133" s="30"/>
      <c r="ES133" s="30"/>
      <c r="ET133" s="30"/>
      <c r="EU133" s="30"/>
      <c r="EW133" s="30"/>
      <c r="EX133" s="30"/>
      <c r="EY133" s="30"/>
      <c r="EZ133" s="30"/>
      <c r="FA133" s="30"/>
      <c r="FB133" s="30"/>
    </row>
    <row r="134" spans="1:158" s="7" customFormat="1" ht="15.75" hidden="1" customHeight="1" outlineLevel="1">
      <c r="A134" s="2"/>
      <c r="C134" s="105" t="s">
        <v>406</v>
      </c>
      <c r="D134" s="106">
        <f>D$168*SQRT(1+(X111*AD111^2+2*W111*AD111*AE111+V111*AE111^2)/D$168*1000000000*D$167^2)</f>
        <v>3.9830971748735911</v>
      </c>
      <c r="E134" s="29" t="s">
        <v>747</v>
      </c>
      <c r="F134" s="106"/>
      <c r="G134" s="17" t="s">
        <v>164</v>
      </c>
      <c r="H134" s="17"/>
      <c r="I134" s="17"/>
      <c r="J134" s="17"/>
      <c r="N134" s="36"/>
      <c r="O134" s="36"/>
      <c r="P134" s="458"/>
      <c r="Q134" s="458"/>
      <c r="CI134" s="103"/>
      <c r="DN134" s="356"/>
      <c r="DO134" s="356"/>
      <c r="DP134" s="38"/>
      <c r="DQ134" s="38"/>
      <c r="DR134" s="38"/>
      <c r="DS134" s="38"/>
      <c r="DT134" s="38"/>
      <c r="DU134" s="38"/>
      <c r="DV134" s="38"/>
      <c r="DW134" s="38"/>
      <c r="DX134" s="38"/>
      <c r="DY134" s="38"/>
      <c r="DZ134" s="38"/>
      <c r="EA134" s="38"/>
      <c r="EE134" s="238"/>
      <c r="EF134" s="238"/>
      <c r="EG134" s="238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W134" s="30"/>
      <c r="EX134" s="30"/>
      <c r="EY134" s="30"/>
      <c r="EZ134" s="30"/>
      <c r="FA134" s="30"/>
      <c r="FB134" s="30"/>
    </row>
    <row r="135" spans="1:158" s="7" customFormat="1" ht="15.75" hidden="1" customHeight="1" outlineLevel="1">
      <c r="A135" s="2"/>
      <c r="C135" s="38" t="s">
        <v>165</v>
      </c>
      <c r="D135" s="107">
        <f>-ATAN(W111+V111*AE111/AD111)/PI()*180</f>
        <v>0</v>
      </c>
      <c r="E135" s="101" t="s">
        <v>166</v>
      </c>
      <c r="G135" s="7" t="s">
        <v>757</v>
      </c>
      <c r="K135" s="8"/>
      <c r="L135" s="8"/>
      <c r="M135" s="8"/>
      <c r="N135" s="29"/>
      <c r="O135" s="29"/>
      <c r="P135" s="117"/>
      <c r="Q135" s="117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424"/>
      <c r="DO135" s="424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8"/>
      <c r="EE135" s="238"/>
      <c r="EF135" s="238"/>
      <c r="EG135" s="238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W135" s="30"/>
      <c r="EX135" s="30"/>
      <c r="EY135" s="30"/>
      <c r="EZ135" s="30"/>
      <c r="FA135" s="30"/>
      <c r="FB135" s="30"/>
    </row>
    <row r="136" spans="1:158" s="7" customFormat="1" ht="15.75" hidden="1" customHeight="1" outlineLevel="1">
      <c r="A136" s="2"/>
      <c r="D136" s="30"/>
      <c r="K136" s="8"/>
      <c r="L136" s="8"/>
      <c r="M136" s="8"/>
      <c r="N136" s="29"/>
      <c r="O136" s="29"/>
      <c r="P136" s="117"/>
      <c r="Q136" s="117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424"/>
      <c r="DO136" s="424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8"/>
      <c r="EE136" s="238"/>
      <c r="EF136" s="238"/>
      <c r="EG136" s="238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W136" s="30"/>
      <c r="EX136" s="30"/>
      <c r="EY136" s="30"/>
      <c r="EZ136" s="30"/>
      <c r="FA136" s="30"/>
      <c r="FB136" s="30"/>
    </row>
    <row r="137" spans="1:158" s="7" customFormat="1" ht="15.75" hidden="1" customHeight="1" outlineLevel="1">
      <c r="A137" s="2"/>
      <c r="C137" s="104" t="s">
        <v>436</v>
      </c>
      <c r="D137" s="30"/>
      <c r="E137" s="101"/>
      <c r="N137" s="36"/>
      <c r="O137" s="36"/>
      <c r="P137" s="458"/>
      <c r="Q137" s="458"/>
      <c r="CI137" s="103"/>
      <c r="DN137" s="356"/>
      <c r="DO137" s="356"/>
      <c r="DP137" s="38"/>
      <c r="DQ137" s="38"/>
      <c r="DR137" s="38"/>
      <c r="DS137" s="38"/>
      <c r="DT137" s="38"/>
      <c r="DU137" s="38"/>
      <c r="DV137" s="38"/>
      <c r="DW137" s="38"/>
      <c r="DX137" s="38"/>
      <c r="DY137" s="38"/>
      <c r="DZ137" s="38"/>
      <c r="EA137" s="38"/>
      <c r="EE137" s="238"/>
      <c r="EF137" s="238"/>
      <c r="EG137" s="238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W137" s="30"/>
      <c r="EX137" s="30"/>
      <c r="EY137" s="30"/>
      <c r="EZ137" s="30"/>
      <c r="FA137" s="30"/>
      <c r="FB137" s="30"/>
    </row>
    <row r="138" spans="1:158" s="7" customFormat="1" ht="15.75" hidden="1" customHeight="1" outlineLevel="1">
      <c r="A138" s="2"/>
      <c r="C138" s="105" t="s">
        <v>406</v>
      </c>
      <c r="D138" s="106">
        <f>D$168*SQRT(1+(X112*AD112^2+2*W112*AD112*AE112+V112*AE112^2)/D$168*1000000000*D$167^2)</f>
        <v>5.0052661480566636</v>
      </c>
      <c r="E138" s="29" t="s">
        <v>747</v>
      </c>
      <c r="G138" s="17" t="s">
        <v>878</v>
      </c>
      <c r="H138" s="17"/>
      <c r="I138" s="17"/>
      <c r="J138" s="17"/>
      <c r="N138" s="36"/>
      <c r="O138" s="36"/>
      <c r="P138" s="458"/>
      <c r="Q138" s="458"/>
      <c r="CI138" s="103"/>
      <c r="DN138" s="356"/>
      <c r="DO138" s="356"/>
      <c r="DP138" s="38"/>
      <c r="DQ138" s="38"/>
      <c r="DR138" s="38"/>
      <c r="DS138" s="38"/>
      <c r="DT138" s="38"/>
      <c r="DU138" s="38"/>
      <c r="DV138" s="38"/>
      <c r="DW138" s="38"/>
      <c r="DX138" s="38"/>
      <c r="DY138" s="38"/>
      <c r="DZ138" s="38"/>
      <c r="EA138" s="38"/>
      <c r="EE138" s="238"/>
      <c r="EF138" s="238"/>
      <c r="EG138" s="238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W138" s="30"/>
      <c r="EX138" s="30"/>
      <c r="EY138" s="30"/>
      <c r="EZ138" s="30"/>
      <c r="FA138" s="30"/>
      <c r="FB138" s="30"/>
    </row>
    <row r="139" spans="1:158" s="7" customFormat="1" ht="15.75" hidden="1" customHeight="1" outlineLevel="1">
      <c r="A139" s="2"/>
      <c r="C139" s="38" t="s">
        <v>165</v>
      </c>
      <c r="D139" s="107">
        <f>ATAN(W112+V112*AE112/AD112)/PI()*180</f>
        <v>4.6941077875818723E-13</v>
      </c>
      <c r="E139" s="101" t="s">
        <v>166</v>
      </c>
      <c r="G139" s="7" t="s">
        <v>213</v>
      </c>
      <c r="N139" s="36"/>
      <c r="O139" s="36"/>
      <c r="P139" s="458"/>
      <c r="Q139" s="458"/>
      <c r="CI139" s="103"/>
      <c r="DN139" s="356"/>
      <c r="DO139" s="356"/>
      <c r="DP139" s="38"/>
      <c r="DQ139" s="38"/>
      <c r="DR139" s="38"/>
      <c r="DS139" s="38"/>
      <c r="DT139" s="38"/>
      <c r="DU139" s="38"/>
      <c r="DV139" s="38"/>
      <c r="DW139" s="38"/>
      <c r="DX139" s="38"/>
      <c r="DY139" s="38"/>
      <c r="DZ139" s="38"/>
      <c r="EA139" s="38"/>
      <c r="EE139" s="238"/>
      <c r="EF139" s="238"/>
      <c r="EG139" s="238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W139" s="30"/>
      <c r="EX139" s="30"/>
      <c r="EY139" s="30"/>
      <c r="EZ139" s="30"/>
      <c r="FA139" s="30"/>
      <c r="FB139" s="30"/>
    </row>
    <row r="140" spans="1:158" s="7" customFormat="1" ht="15.75" hidden="1" customHeight="1" outlineLevel="1">
      <c r="A140" s="2"/>
      <c r="C140" s="38"/>
      <c r="D140" s="107"/>
      <c r="E140" s="101"/>
      <c r="N140" s="36"/>
      <c r="O140" s="36"/>
      <c r="P140" s="458"/>
      <c r="Q140" s="458"/>
      <c r="CI140" s="103"/>
      <c r="DN140" s="356"/>
      <c r="DO140" s="356"/>
      <c r="DP140" s="38"/>
      <c r="DQ140" s="38"/>
      <c r="DR140" s="38"/>
      <c r="DS140" s="38"/>
      <c r="DT140" s="38"/>
      <c r="DU140" s="38"/>
      <c r="DV140" s="38"/>
      <c r="DW140" s="38"/>
      <c r="DX140" s="38"/>
      <c r="DY140" s="38"/>
      <c r="DZ140" s="38"/>
      <c r="EA140" s="38"/>
      <c r="EE140" s="238"/>
      <c r="EF140" s="238"/>
      <c r="EG140" s="238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W140" s="30"/>
      <c r="EX140" s="30"/>
      <c r="EY140" s="30"/>
      <c r="EZ140" s="30"/>
      <c r="FA140" s="30"/>
      <c r="FB140" s="30"/>
    </row>
    <row r="141" spans="1:158" s="7" customFormat="1" ht="15.75" hidden="1" customHeight="1" outlineLevel="1">
      <c r="A141" s="2"/>
      <c r="C141" s="108" t="s">
        <v>214</v>
      </c>
      <c r="D141" s="30"/>
      <c r="E141" s="101"/>
      <c r="N141" s="36"/>
      <c r="O141" s="36"/>
      <c r="P141" s="458"/>
      <c r="Q141" s="458"/>
      <c r="CI141" s="103"/>
      <c r="DN141" s="356"/>
      <c r="DO141" s="356"/>
      <c r="DP141" s="38"/>
      <c r="DQ141" s="38"/>
      <c r="DR141" s="38"/>
      <c r="DS141" s="38"/>
      <c r="DT141" s="38"/>
      <c r="DU141" s="38"/>
      <c r="DV141" s="38"/>
      <c r="DW141" s="38"/>
      <c r="DX141" s="38"/>
      <c r="DY141" s="38"/>
      <c r="DZ141" s="38"/>
      <c r="EA141" s="38"/>
      <c r="EE141" s="238"/>
      <c r="EF141" s="238"/>
      <c r="EG141" s="238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W141" s="30"/>
      <c r="EX141" s="30"/>
      <c r="EY141" s="30"/>
      <c r="EZ141" s="30"/>
      <c r="FA141" s="30"/>
      <c r="FB141" s="30"/>
    </row>
    <row r="142" spans="1:158" s="7" customFormat="1" ht="15.75" hidden="1" customHeight="1" outlineLevel="1">
      <c r="A142" s="2"/>
      <c r="C142" s="38" t="s">
        <v>165</v>
      </c>
      <c r="D142" s="107">
        <f>Y94/PI()*180</f>
        <v>410.28200884860286</v>
      </c>
      <c r="E142" s="101" t="s">
        <v>166</v>
      </c>
      <c r="G142" s="7" t="s">
        <v>877</v>
      </c>
      <c r="N142" s="36"/>
      <c r="O142" s="36"/>
      <c r="P142" s="458"/>
      <c r="Q142" s="458"/>
      <c r="CI142" s="103"/>
      <c r="DN142" s="356"/>
      <c r="DO142" s="356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E142" s="238"/>
      <c r="EF142" s="238"/>
      <c r="EG142" s="238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W142" s="30"/>
      <c r="EX142" s="30"/>
      <c r="EY142" s="30"/>
      <c r="EZ142" s="30"/>
      <c r="FA142" s="30"/>
      <c r="FB142" s="30"/>
    </row>
    <row r="143" spans="1:158" s="7" customFormat="1" ht="15.75" hidden="1" customHeight="1" outlineLevel="1">
      <c r="A143" s="2"/>
      <c r="C143" s="38"/>
      <c r="D143" s="107"/>
      <c r="E143" s="101"/>
      <c r="N143" s="36"/>
      <c r="O143" s="36"/>
      <c r="P143" s="458"/>
      <c r="Q143" s="458"/>
      <c r="CI143" s="103"/>
      <c r="DN143" s="356"/>
      <c r="DO143" s="356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E143" s="238"/>
      <c r="EF143" s="238"/>
      <c r="EG143" s="238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W143" s="30"/>
      <c r="EX143" s="30"/>
      <c r="EY143" s="30"/>
      <c r="EZ143" s="30"/>
      <c r="FA143" s="30"/>
      <c r="FB143" s="30"/>
    </row>
    <row r="144" spans="1:158" s="7" customFormat="1" ht="15.75" hidden="1" customHeight="1" outlineLevel="1">
      <c r="A144" s="2"/>
      <c r="C144" s="108" t="s">
        <v>118</v>
      </c>
      <c r="D144" s="107"/>
      <c r="E144" s="101"/>
      <c r="N144" s="36"/>
      <c r="O144" s="36"/>
      <c r="P144" s="458"/>
      <c r="Q144" s="458"/>
      <c r="CI144" s="103"/>
      <c r="DN144" s="356"/>
      <c r="DO144" s="356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E144" s="238"/>
      <c r="EF144" s="238"/>
      <c r="EG144" s="238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W144" s="30"/>
      <c r="EX144" s="30"/>
      <c r="EY144" s="30"/>
      <c r="EZ144" s="30"/>
      <c r="FA144" s="30"/>
      <c r="FB144" s="30"/>
    </row>
    <row r="145" spans="1:158" s="7" customFormat="1" ht="15.75" hidden="1" customHeight="1" outlineLevel="1">
      <c r="A145" s="2"/>
      <c r="C145" s="25" t="s">
        <v>165</v>
      </c>
      <c r="D145" s="107">
        <f>D135+D139+D142</f>
        <v>410.28200884860331</v>
      </c>
      <c r="E145" s="101" t="s">
        <v>166</v>
      </c>
      <c r="G145" s="7" t="s">
        <v>582</v>
      </c>
      <c r="N145" s="36"/>
      <c r="O145" s="36"/>
      <c r="P145" s="458"/>
      <c r="Q145" s="458"/>
      <c r="CI145" s="103"/>
      <c r="DN145" s="356"/>
      <c r="DO145" s="356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E145" s="238"/>
      <c r="EF145" s="238"/>
      <c r="EG145" s="238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W145" s="30"/>
      <c r="EX145" s="30"/>
      <c r="EY145" s="30"/>
      <c r="EZ145" s="30"/>
      <c r="FA145" s="30"/>
      <c r="FB145" s="30"/>
    </row>
    <row r="146" spans="1:158" s="7" customFormat="1" ht="15.75" hidden="1" customHeight="1" outlineLevel="1">
      <c r="A146" s="2"/>
      <c r="C146" s="25" t="s">
        <v>494</v>
      </c>
      <c r="D146" s="101">
        <f>D145/360*E5</f>
        <v>18.234755948826812</v>
      </c>
      <c r="E146" s="101" t="s">
        <v>1174</v>
      </c>
      <c r="G146" s="7" t="s">
        <v>887</v>
      </c>
      <c r="N146" s="36"/>
      <c r="O146" s="36"/>
      <c r="P146" s="458"/>
      <c r="Q146" s="458"/>
      <c r="CI146" s="103"/>
      <c r="DN146" s="356"/>
      <c r="DO146" s="356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E146" s="238"/>
      <c r="EF146" s="238"/>
      <c r="EG146" s="238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W146" s="30"/>
      <c r="EX146" s="30"/>
      <c r="EY146" s="30"/>
      <c r="EZ146" s="30"/>
      <c r="FA146" s="30"/>
      <c r="FB146" s="30"/>
    </row>
    <row r="147" spans="1:158" s="7" customFormat="1" ht="15.75" hidden="1" customHeight="1" outlineLevel="1">
      <c r="A147" s="2"/>
      <c r="C147" s="105"/>
      <c r="D147" s="106"/>
      <c r="E147" s="105"/>
      <c r="G147" s="17"/>
      <c r="H147" s="17"/>
      <c r="I147" s="17"/>
      <c r="J147" s="17"/>
      <c r="K147" s="8"/>
      <c r="L147" s="8"/>
      <c r="M147" s="8"/>
      <c r="N147" s="29"/>
      <c r="O147" s="29"/>
      <c r="P147" s="117"/>
      <c r="Q147" s="117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424"/>
      <c r="DO147" s="424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8"/>
      <c r="EE147" s="238"/>
      <c r="EF147" s="238"/>
      <c r="EG147" s="238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W147" s="30"/>
      <c r="EX147" s="30"/>
      <c r="EY147" s="30"/>
      <c r="EZ147" s="30"/>
      <c r="FA147" s="30"/>
      <c r="FB147" s="30"/>
    </row>
    <row r="148" spans="1:158" s="7" customFormat="1" ht="15.75" customHeight="1">
      <c r="A148" s="2"/>
      <c r="B148" s="1" t="s">
        <v>847</v>
      </c>
      <c r="C148" s="2"/>
      <c r="D148" s="3"/>
      <c r="E148" s="2"/>
      <c r="F148" s="2"/>
      <c r="G148" s="2"/>
      <c r="H148" s="2"/>
      <c r="I148" s="2"/>
      <c r="J148" s="2"/>
      <c r="K148" s="2"/>
      <c r="L148" s="2"/>
      <c r="M148" s="2"/>
      <c r="N148" s="6"/>
      <c r="O148" s="6"/>
      <c r="P148" s="456"/>
      <c r="Q148" s="456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420"/>
      <c r="DO148" s="420"/>
      <c r="DP148" s="439"/>
      <c r="DQ148" s="439"/>
      <c r="DR148" s="439"/>
      <c r="DS148" s="439"/>
      <c r="DT148" s="439"/>
      <c r="DU148" s="439"/>
      <c r="DV148" s="439"/>
      <c r="DW148" s="439"/>
      <c r="DX148" s="439"/>
      <c r="DY148" s="439"/>
      <c r="DZ148" s="439"/>
      <c r="EA148" s="439"/>
      <c r="EB148" s="2"/>
      <c r="EC148" s="2"/>
      <c r="ED148" s="2"/>
      <c r="EE148" s="337"/>
      <c r="EF148" s="337"/>
      <c r="EG148" s="337"/>
      <c r="EH148" s="338"/>
      <c r="EI148" s="338"/>
      <c r="EJ148" s="338"/>
      <c r="EK148" s="338"/>
      <c r="EL148" s="338"/>
      <c r="EM148" s="338"/>
      <c r="EN148" s="338"/>
      <c r="EO148" s="338"/>
      <c r="EP148" s="338"/>
      <c r="EQ148" s="338"/>
      <c r="ER148" s="338"/>
      <c r="ES148" s="338"/>
      <c r="ET148" s="338"/>
      <c r="EU148" s="338"/>
      <c r="EW148" s="30"/>
      <c r="EX148" s="30"/>
      <c r="EY148" s="30"/>
      <c r="EZ148" s="30"/>
      <c r="FA148" s="30"/>
      <c r="FB148" s="30"/>
    </row>
    <row r="149" spans="1:158" s="7" customFormat="1" ht="15.75" customHeight="1" outlineLevel="1">
      <c r="A149" s="2"/>
      <c r="C149" s="25" t="s">
        <v>292</v>
      </c>
      <c r="D149" s="30">
        <f>E5</f>
        <v>16</v>
      </c>
      <c r="N149" s="36"/>
      <c r="O149" s="36"/>
      <c r="P149" s="458"/>
      <c r="Q149" s="458"/>
      <c r="DN149" s="356"/>
      <c r="DO149" s="356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E149" s="238"/>
      <c r="EF149" s="238"/>
      <c r="EG149" s="238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W149" s="30"/>
      <c r="EX149" s="30"/>
      <c r="EY149" s="30"/>
      <c r="EZ149" s="30"/>
      <c r="FA149" s="30"/>
      <c r="FB149" s="30"/>
    </row>
    <row r="150" spans="1:158" s="7" customFormat="1" ht="15.75" customHeight="1" outlineLevel="1">
      <c r="A150" s="2"/>
      <c r="C150" s="17" t="s">
        <v>72</v>
      </c>
      <c r="D150" s="8">
        <f>CL94</f>
        <v>-0.18333402148776279</v>
      </c>
      <c r="E150" s="8"/>
      <c r="G150" s="17" t="s">
        <v>769</v>
      </c>
      <c r="H150" s="17"/>
      <c r="I150" s="17"/>
      <c r="J150" s="17"/>
      <c r="K150" s="8"/>
      <c r="L150" s="8"/>
      <c r="M150" s="8"/>
      <c r="N150" s="29"/>
      <c r="O150" s="29"/>
      <c r="P150" s="117"/>
      <c r="Q150" s="117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424"/>
      <c r="DO150" s="424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8"/>
      <c r="EE150" s="238"/>
      <c r="EF150" s="238"/>
      <c r="EG150" s="238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W150" s="30"/>
      <c r="EX150" s="30"/>
      <c r="EY150" s="30"/>
      <c r="EZ150" s="30"/>
      <c r="FA150" s="30"/>
      <c r="FB150" s="30"/>
    </row>
    <row r="151" spans="1:158" s="7" customFormat="1" ht="15" customHeight="1" outlineLevel="1">
      <c r="A151" s="2"/>
      <c r="C151" s="17" t="s">
        <v>36</v>
      </c>
      <c r="D151" s="8">
        <f>CS94</f>
        <v>0.80534852219830011</v>
      </c>
      <c r="E151" s="8"/>
      <c r="G151" s="17" t="s">
        <v>970</v>
      </c>
      <c r="H151" s="17"/>
      <c r="I151" s="17"/>
      <c r="J151" s="17"/>
      <c r="K151" s="8"/>
      <c r="L151" s="8"/>
      <c r="M151" s="8"/>
      <c r="N151" s="29"/>
      <c r="O151" s="29"/>
      <c r="P151" s="117"/>
      <c r="Q151" s="117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424"/>
      <c r="DO151" s="424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8"/>
      <c r="EE151" s="238"/>
      <c r="EF151" s="238"/>
      <c r="EG151" s="238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W151" s="30"/>
      <c r="EX151" s="30"/>
      <c r="EY151" s="30"/>
      <c r="EZ151" s="30"/>
      <c r="FA151" s="30"/>
      <c r="FB151" s="30"/>
    </row>
    <row r="152" spans="1:158" s="7" customFormat="1" ht="15.75" customHeight="1" outlineLevel="1">
      <c r="A152" s="2"/>
      <c r="C152" s="17" t="s">
        <v>971</v>
      </c>
      <c r="D152" s="30">
        <f>IF(E6="P",1,IF(E6="S",2,0))</f>
        <v>2</v>
      </c>
      <c r="E152" s="105"/>
      <c r="G152" s="17" t="s">
        <v>974</v>
      </c>
      <c r="H152" s="17"/>
      <c r="I152" s="17"/>
      <c r="J152" s="17"/>
      <c r="K152" s="8"/>
      <c r="L152" s="8"/>
      <c r="M152" s="8"/>
      <c r="N152" s="29"/>
      <c r="O152" s="29"/>
      <c r="P152" s="117"/>
      <c r="Q152" s="117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424"/>
      <c r="DO152" s="424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8"/>
      <c r="EE152" s="238"/>
      <c r="EF152" s="238"/>
      <c r="EG152" s="238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W152" s="30"/>
      <c r="EX152" s="30"/>
      <c r="EY152" s="30"/>
      <c r="EZ152" s="30"/>
      <c r="FA152" s="30"/>
      <c r="FB152" s="30"/>
    </row>
    <row r="153" spans="1:158" s="7" customFormat="1" ht="15.75" customHeight="1" outlineLevel="1">
      <c r="A153" s="2"/>
      <c r="C153" s="17" t="s">
        <v>860</v>
      </c>
      <c r="D153" s="237">
        <f>D149*D152*Y94/2/PI()</f>
        <v>36.469511897653589</v>
      </c>
      <c r="E153" s="105"/>
      <c r="F153" s="105"/>
      <c r="G153" s="17" t="s">
        <v>979</v>
      </c>
      <c r="H153" s="17"/>
      <c r="I153" s="17"/>
      <c r="J153" s="17"/>
      <c r="K153" s="8"/>
      <c r="L153" s="8"/>
      <c r="M153" s="8"/>
      <c r="N153" s="29"/>
      <c r="O153" s="29"/>
      <c r="P153" s="117"/>
      <c r="Q153" s="117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424"/>
      <c r="DO153" s="424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8"/>
      <c r="EE153" s="238"/>
      <c r="EF153" s="238"/>
      <c r="EG153" s="238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W153" s="30"/>
      <c r="EX153" s="30"/>
      <c r="EY153" s="30"/>
      <c r="EZ153" s="30"/>
      <c r="FA153" s="30"/>
      <c r="FB153" s="30"/>
    </row>
    <row r="154" spans="1:158" s="7" customFormat="1" ht="15.75" customHeight="1" outlineLevel="1">
      <c r="A154" s="2"/>
      <c r="C154" s="17" t="s">
        <v>794</v>
      </c>
      <c r="D154" s="237">
        <f>D149*D152*AC94/2/PI()</f>
        <v>14.384174552740534</v>
      </c>
      <c r="E154" s="105"/>
      <c r="F154" s="105"/>
      <c r="G154" s="17" t="s">
        <v>305</v>
      </c>
      <c r="H154" s="17"/>
      <c r="I154" s="17"/>
      <c r="J154" s="17"/>
      <c r="K154" s="8"/>
      <c r="L154" s="8"/>
      <c r="M154" s="8"/>
      <c r="N154" s="29"/>
      <c r="O154" s="29"/>
      <c r="P154" s="117"/>
      <c r="Q154" s="117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424"/>
      <c r="DO154" s="424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8"/>
      <c r="EE154" s="238"/>
      <c r="EF154" s="238"/>
      <c r="EG154" s="238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W154" s="30"/>
      <c r="EX154" s="30"/>
      <c r="EY154" s="30"/>
      <c r="EZ154" s="30"/>
      <c r="FA154" s="30"/>
      <c r="FB154" s="30"/>
    </row>
    <row r="155" spans="1:158" s="7" customFormat="1" ht="15.75" customHeight="1" outlineLevel="1">
      <c r="A155" s="2"/>
      <c r="C155" s="17" t="s">
        <v>815</v>
      </c>
      <c r="D155" s="33">
        <f>DG94/R94</f>
        <v>1.836544604276107E-4</v>
      </c>
      <c r="E155" s="17"/>
      <c r="G155" s="17" t="s">
        <v>497</v>
      </c>
      <c r="H155" s="17"/>
      <c r="I155" s="17"/>
      <c r="J155" s="17"/>
      <c r="K155" s="8"/>
      <c r="L155" s="8"/>
      <c r="M155" s="8"/>
      <c r="N155" s="29"/>
      <c r="O155" s="29"/>
      <c r="P155" s="117"/>
      <c r="Q155" s="117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424"/>
      <c r="DO155" s="424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8"/>
      <c r="EE155" s="238"/>
      <c r="EF155" s="238"/>
      <c r="EG155" s="238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W155" s="30"/>
      <c r="EX155" s="30"/>
      <c r="EY155" s="30"/>
      <c r="EZ155" s="30"/>
      <c r="FA155" s="30"/>
      <c r="FB155" s="30"/>
    </row>
    <row r="156" spans="1:158" s="7" customFormat="1" ht="15.75" customHeight="1" outlineLevel="1">
      <c r="A156" s="2"/>
      <c r="C156" s="17" t="s">
        <v>830</v>
      </c>
      <c r="D156" s="33">
        <f>DF94/R94</f>
        <v>2.7228224019609599E-3</v>
      </c>
      <c r="E156" s="17"/>
      <c r="G156" s="17" t="s">
        <v>144</v>
      </c>
      <c r="H156" s="17"/>
      <c r="I156" s="17"/>
      <c r="J156" s="17"/>
      <c r="K156" s="8"/>
      <c r="L156" s="8"/>
      <c r="M156" s="8"/>
      <c r="N156" s="29"/>
      <c r="O156" s="29"/>
      <c r="P156" s="117"/>
      <c r="Q156" s="117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424"/>
      <c r="DO156" s="424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8"/>
      <c r="EE156" s="238"/>
      <c r="EF156" s="238"/>
      <c r="EG156" s="238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W156" s="30"/>
      <c r="EX156" s="30"/>
      <c r="EY156" s="30"/>
      <c r="EZ156" s="30"/>
      <c r="FA156" s="30"/>
      <c r="FB156" s="30"/>
    </row>
    <row r="157" spans="1:158" s="7" customFormat="1" ht="15.75" customHeight="1" outlineLevel="1">
      <c r="A157" s="2"/>
      <c r="C157" s="17" t="s">
        <v>363</v>
      </c>
      <c r="D157" s="34">
        <f>EA94</f>
        <v>0.77604600000000001</v>
      </c>
      <c r="E157" s="17" t="s">
        <v>378</v>
      </c>
      <c r="G157" s="17" t="s">
        <v>769</v>
      </c>
      <c r="H157" s="17"/>
      <c r="I157" s="17"/>
      <c r="J157" s="17"/>
      <c r="K157" s="8"/>
      <c r="L157" s="8"/>
      <c r="M157" s="8"/>
      <c r="N157" s="29"/>
      <c r="O157" s="29"/>
      <c r="P157" s="117"/>
      <c r="Q157" s="117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424"/>
      <c r="DO157" s="424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8"/>
      <c r="EE157" s="238"/>
      <c r="EF157" s="238"/>
      <c r="EG157" s="238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W157" s="30"/>
      <c r="EX157" s="30"/>
      <c r="EY157" s="30"/>
      <c r="EZ157" s="30"/>
      <c r="FA157" s="30"/>
      <c r="FB157" s="30"/>
    </row>
    <row r="158" spans="1:158" s="7" customFormat="1" ht="15.75" customHeight="1" outlineLevel="1">
      <c r="A158" s="2"/>
      <c r="C158" s="17" t="s">
        <v>1116</v>
      </c>
      <c r="D158" s="29">
        <f>DL94*D149*D152</f>
        <v>6.2831872639999995</v>
      </c>
      <c r="E158" s="17" t="s">
        <v>263</v>
      </c>
      <c r="G158" s="105" t="s">
        <v>322</v>
      </c>
      <c r="H158" s="105"/>
      <c r="I158" s="105"/>
      <c r="J158" s="105"/>
      <c r="K158" s="29"/>
      <c r="L158" s="29"/>
      <c r="M158" s="29"/>
      <c r="N158" s="29"/>
      <c r="O158" s="29"/>
      <c r="P158" s="117"/>
      <c r="Q158" s="117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424"/>
      <c r="DO158" s="424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8"/>
      <c r="EE158" s="238"/>
      <c r="EF158" s="238"/>
      <c r="EG158" s="238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W158" s="30"/>
      <c r="EX158" s="30"/>
      <c r="EY158" s="30"/>
      <c r="EZ158" s="30"/>
      <c r="FA158" s="30"/>
      <c r="FB158" s="30"/>
    </row>
    <row r="159" spans="1:158" s="7" customFormat="1" ht="15.75" customHeight="1" outlineLevel="1">
      <c r="A159" s="2"/>
      <c r="C159" s="17" t="s">
        <v>902</v>
      </c>
      <c r="D159" s="29">
        <f>D152*D149*R93</f>
        <v>844.38813424680347</v>
      </c>
      <c r="E159" s="17" t="s">
        <v>25</v>
      </c>
      <c r="G159" s="17" t="s">
        <v>1124</v>
      </c>
      <c r="H159" s="17"/>
      <c r="I159" s="17"/>
      <c r="J159" s="17"/>
      <c r="K159" s="8"/>
      <c r="L159" s="8"/>
      <c r="M159" s="8"/>
      <c r="N159" s="29"/>
      <c r="O159" s="29"/>
      <c r="P159" s="117"/>
      <c r="Q159" s="117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424"/>
      <c r="DO159" s="424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8"/>
      <c r="EE159" s="238"/>
      <c r="EF159" s="238"/>
      <c r="EG159" s="238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W159" s="30"/>
      <c r="EX159" s="30"/>
      <c r="EY159" s="30"/>
      <c r="EZ159" s="30"/>
      <c r="FA159" s="30"/>
      <c r="FB159" s="30"/>
    </row>
    <row r="160" spans="1:158" s="7" customFormat="1" ht="15.75" customHeight="1" outlineLevel="1">
      <c r="A160" s="2"/>
      <c r="C160" s="17" t="s">
        <v>857</v>
      </c>
      <c r="D160" s="29">
        <f>0.0000885*CF94^4/2/PI()*DH94*D152*D149*1000</f>
        <v>4.8807197944733813</v>
      </c>
      <c r="E160" s="17" t="s">
        <v>809</v>
      </c>
      <c r="G160" s="17" t="s">
        <v>158</v>
      </c>
      <c r="H160" s="17"/>
      <c r="I160" s="17"/>
      <c r="J160" s="17"/>
      <c r="K160" s="8"/>
      <c r="L160" s="8"/>
      <c r="M160" s="8"/>
      <c r="N160" s="29"/>
      <c r="O160" s="29"/>
      <c r="P160" s="117"/>
      <c r="Q160" s="117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424"/>
      <c r="DO160" s="424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8"/>
      <c r="EE160" s="238"/>
      <c r="EF160" s="238"/>
      <c r="EG160" s="238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W160" s="30"/>
      <c r="EX160" s="30"/>
      <c r="EY160" s="30"/>
      <c r="EZ160" s="30"/>
      <c r="FA160" s="30"/>
      <c r="FB160" s="30"/>
    </row>
    <row r="161" spans="1:229" s="7" customFormat="1" ht="15.75" customHeight="1" outlineLevel="1">
      <c r="A161" s="2"/>
      <c r="C161" s="17" t="s">
        <v>1121</v>
      </c>
      <c r="D161" s="29">
        <f>1-DJ94/DH94</f>
        <v>0.99906272734104362</v>
      </c>
      <c r="E161" s="17"/>
      <c r="G161" s="17"/>
      <c r="H161" s="17"/>
      <c r="I161" s="17"/>
      <c r="J161" s="17"/>
      <c r="K161" s="8"/>
      <c r="L161" s="8"/>
      <c r="M161" s="8"/>
      <c r="N161" s="29"/>
      <c r="O161" s="29"/>
      <c r="P161" s="117"/>
      <c r="Q161" s="117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424"/>
      <c r="DO161" s="424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8"/>
      <c r="EE161" s="238"/>
      <c r="EF161" s="238"/>
      <c r="EG161" s="238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W161" s="30"/>
      <c r="EX161" s="30"/>
      <c r="EY161" s="30"/>
      <c r="EZ161" s="30"/>
      <c r="FA161" s="30"/>
      <c r="FB161" s="30"/>
    </row>
    <row r="162" spans="1:229" s="7" customFormat="1" ht="15.75" customHeight="1" outlineLevel="1">
      <c r="A162" s="2"/>
      <c r="C162" s="17" t="s">
        <v>115</v>
      </c>
      <c r="D162" s="29">
        <f>1</f>
        <v>1</v>
      </c>
      <c r="E162" s="17"/>
      <c r="G162" s="17"/>
      <c r="H162" s="17"/>
      <c r="I162" s="17"/>
      <c r="J162" s="17"/>
      <c r="K162" s="8"/>
      <c r="L162" s="8"/>
      <c r="M162" s="8"/>
      <c r="N162" s="29"/>
      <c r="O162" s="29"/>
      <c r="P162" s="117"/>
      <c r="Q162" s="117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424"/>
      <c r="DO162" s="424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8"/>
      <c r="EE162" s="238"/>
      <c r="EF162" s="238"/>
      <c r="EG162" s="238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W162" s="30"/>
      <c r="EX162" s="30"/>
      <c r="EY162" s="30"/>
      <c r="EZ162" s="30"/>
      <c r="FA162" s="30"/>
      <c r="FB162" s="30"/>
    </row>
    <row r="163" spans="1:229" s="7" customFormat="1" ht="15.75" customHeight="1" outlineLevel="1">
      <c r="A163" s="2"/>
      <c r="C163" s="17" t="s">
        <v>116</v>
      </c>
      <c r="D163" s="29">
        <f>3-D161</f>
        <v>2.0009372726589563</v>
      </c>
      <c r="E163" s="17"/>
      <c r="G163" s="17"/>
      <c r="H163" s="17"/>
      <c r="I163" s="17"/>
      <c r="J163" s="17"/>
      <c r="K163" s="8"/>
      <c r="L163" s="8"/>
      <c r="M163" s="8"/>
      <c r="N163" s="29"/>
      <c r="O163" s="29"/>
      <c r="P163" s="117"/>
      <c r="Q163" s="117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424"/>
      <c r="DO163" s="424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8"/>
      <c r="EE163" s="238"/>
      <c r="EF163" s="238"/>
      <c r="EG163" s="238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W163" s="30"/>
      <c r="EX163" s="30"/>
      <c r="EY163" s="30"/>
      <c r="EZ163" s="30"/>
      <c r="FA163" s="30"/>
      <c r="FB163" s="30"/>
    </row>
    <row r="164" spans="1:229" s="7" customFormat="1" ht="15.75" customHeight="1" outlineLevel="1">
      <c r="A164" s="2"/>
      <c r="C164" s="17" t="s">
        <v>141</v>
      </c>
      <c r="D164" s="106">
        <f>D165/D161</f>
        <v>6.9728635921302153</v>
      </c>
      <c r="E164" s="110" t="s">
        <v>242</v>
      </c>
      <c r="G164" s="17" t="s">
        <v>1067</v>
      </c>
      <c r="H164" s="17"/>
      <c r="I164" s="17"/>
      <c r="J164" s="17"/>
      <c r="K164" s="8"/>
      <c r="L164" s="8"/>
      <c r="M164" s="8"/>
      <c r="N164" s="29"/>
      <c r="O164" s="29"/>
      <c r="P164" s="117"/>
      <c r="Q164" s="117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424"/>
      <c r="DO164" s="424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8"/>
      <c r="EE164" s="238"/>
      <c r="EF164" s="238"/>
      <c r="EG164" s="238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W164" s="30"/>
      <c r="EX164" s="30"/>
      <c r="EY164" s="30"/>
      <c r="EZ164" s="30"/>
      <c r="FA164" s="30"/>
      <c r="FB164" s="30"/>
    </row>
    <row r="165" spans="1:229" s="7" customFormat="1" ht="15.75" customHeight="1" outlineLevel="1">
      <c r="A165" s="2"/>
      <c r="C165" s="17" t="s">
        <v>803</v>
      </c>
      <c r="D165" s="106">
        <f>2*CF94/D160*1000/1*D159/300000</f>
        <v>6.9663281177306793</v>
      </c>
      <c r="E165" s="110" t="s">
        <v>242</v>
      </c>
      <c r="G165" s="17" t="s">
        <v>180</v>
      </c>
      <c r="H165" s="17"/>
      <c r="I165" s="17"/>
      <c r="J165" s="17"/>
      <c r="K165" s="8"/>
      <c r="L165" s="8"/>
      <c r="M165" s="8"/>
      <c r="N165" s="29"/>
      <c r="O165" s="29"/>
      <c r="P165" s="117"/>
      <c r="Q165" s="117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424"/>
      <c r="DO165" s="424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8"/>
      <c r="EE165" s="238"/>
      <c r="EF165" s="238"/>
      <c r="EG165" s="238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W165" s="30"/>
      <c r="EX165" s="30"/>
      <c r="EY165" s="30"/>
      <c r="EZ165" s="30"/>
      <c r="FA165" s="30"/>
      <c r="FB165" s="30"/>
    </row>
    <row r="166" spans="1:229" s="7" customFormat="1" ht="15.75" customHeight="1" outlineLevel="1">
      <c r="A166" s="2"/>
      <c r="C166" s="17" t="s">
        <v>1091</v>
      </c>
      <c r="D166" s="106">
        <f>D165/D163</f>
        <v>3.4815324862600199</v>
      </c>
      <c r="E166" s="110" t="s">
        <v>242</v>
      </c>
      <c r="G166" s="17" t="s">
        <v>251</v>
      </c>
      <c r="H166" s="17"/>
      <c r="I166" s="17"/>
      <c r="J166" s="17"/>
      <c r="K166" s="8"/>
      <c r="L166" s="8"/>
      <c r="M166" s="8"/>
      <c r="N166" s="29"/>
      <c r="O166" s="29"/>
      <c r="P166" s="117"/>
      <c r="Q166" s="117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424"/>
      <c r="DO166" s="424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8"/>
      <c r="EE166" s="238"/>
      <c r="EF166" s="238"/>
      <c r="EG166" s="238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W166" s="30"/>
      <c r="EX166" s="30"/>
      <c r="EY166" s="30"/>
      <c r="EZ166" s="30"/>
      <c r="FA166" s="30"/>
      <c r="FB166" s="30"/>
    </row>
    <row r="167" spans="1:229" s="7" customFormat="1" ht="15.75" customHeight="1" outlineLevel="1">
      <c r="A167" s="2"/>
      <c r="C167" s="17" t="s">
        <v>1094</v>
      </c>
      <c r="D167" s="111">
        <f>AX94</f>
        <v>1.0629909222129516E-3</v>
      </c>
      <c r="E167" s="105"/>
      <c r="G167" s="17" t="s">
        <v>245</v>
      </c>
      <c r="H167" s="17"/>
      <c r="I167" s="17"/>
      <c r="J167" s="17"/>
      <c r="K167" s="8"/>
      <c r="L167" s="8"/>
      <c r="M167" s="8"/>
      <c r="N167" s="29"/>
      <c r="O167" s="29"/>
      <c r="P167" s="117"/>
      <c r="Q167" s="117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424"/>
      <c r="DO167" s="424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8"/>
      <c r="EE167" s="238"/>
      <c r="EF167" s="238"/>
      <c r="EG167" s="238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W167" s="30"/>
      <c r="EX167" s="30"/>
      <c r="EY167" s="30"/>
      <c r="EZ167" s="30"/>
      <c r="FA167" s="30"/>
      <c r="FB167" s="30"/>
    </row>
    <row r="168" spans="1:229" s="7" customFormat="1" ht="15.75" customHeight="1" outlineLevel="1">
      <c r="A168" s="2"/>
      <c r="C168" s="105" t="s">
        <v>1114</v>
      </c>
      <c r="D168" s="106">
        <f>AV94</f>
        <v>3.7012216628845733</v>
      </c>
      <c r="E168" s="105" t="s">
        <v>747</v>
      </c>
      <c r="G168" s="17" t="s">
        <v>464</v>
      </c>
      <c r="H168" s="17"/>
      <c r="I168" s="17"/>
      <c r="J168" s="17"/>
      <c r="K168" s="8"/>
      <c r="L168" s="8"/>
      <c r="M168" s="8"/>
      <c r="N168" s="29"/>
      <c r="O168" s="29"/>
      <c r="P168" s="117"/>
      <c r="Q168" s="117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424"/>
      <c r="DO168" s="424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8"/>
      <c r="EE168" s="238"/>
      <c r="EF168" s="238"/>
      <c r="EG168" s="238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W168" s="30"/>
      <c r="EX168" s="30"/>
      <c r="EY168" s="30"/>
      <c r="EZ168" s="30"/>
      <c r="FA168" s="30"/>
      <c r="FB168" s="30"/>
    </row>
    <row r="169" spans="1:229" s="7" customFormat="1" ht="15.75" customHeight="1" outlineLevel="1">
      <c r="A169" s="2"/>
      <c r="C169" s="105" t="s">
        <v>483</v>
      </c>
      <c r="D169" s="106">
        <f>SQRT(AW94^2+D170^2)</f>
        <v>3.7012452603275049E-2</v>
      </c>
      <c r="E169" s="105" t="s">
        <v>747</v>
      </c>
      <c r="G169" s="17" t="s">
        <v>838</v>
      </c>
      <c r="H169" s="17"/>
      <c r="I169" s="17"/>
      <c r="J169" s="17"/>
      <c r="K169" s="8"/>
      <c r="L169" s="8"/>
      <c r="M169" s="8"/>
      <c r="N169" s="29"/>
      <c r="O169" s="29"/>
      <c r="P169" s="117"/>
      <c r="Q169" s="117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424"/>
      <c r="DO169" s="424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8"/>
      <c r="EE169" s="238"/>
      <c r="EF169" s="238"/>
      <c r="EG169" s="238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W169" s="30"/>
      <c r="EX169" s="30"/>
      <c r="EY169" s="30"/>
      <c r="EZ169" s="30"/>
      <c r="FA169" s="30"/>
      <c r="FB169" s="30"/>
    </row>
    <row r="170" spans="1:229" s="7" customFormat="1" ht="15.75" customHeight="1" outlineLevel="1">
      <c r="A170" s="2"/>
      <c r="C170" s="105"/>
      <c r="D170" s="350">
        <f>D168*13/55/(1957*T_Energy)^2/DK94*DM94</f>
        <v>1.3216629327179503E-4</v>
      </c>
      <c r="E170" s="105" t="s">
        <v>747</v>
      </c>
      <c r="G170" s="17" t="s">
        <v>1160</v>
      </c>
      <c r="H170" s="17"/>
      <c r="I170" s="17"/>
      <c r="J170" s="17"/>
      <c r="K170" s="8"/>
      <c r="L170" s="8"/>
      <c r="M170" s="8"/>
      <c r="N170" s="29"/>
      <c r="O170" s="29"/>
      <c r="P170" s="117"/>
      <c r="Q170" s="117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424"/>
      <c r="DO170" s="424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8"/>
      <c r="EE170" s="238"/>
      <c r="EF170" s="238"/>
      <c r="EG170" s="238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W170" s="30"/>
      <c r="EX170" s="30"/>
      <c r="EY170" s="30"/>
      <c r="EZ170" s="30"/>
      <c r="FA170" s="30"/>
      <c r="FB170" s="30"/>
    </row>
    <row r="171" spans="1:229" s="2" customFormat="1" ht="15.75" customHeight="1">
      <c r="B171" s="1" t="s">
        <v>1095</v>
      </c>
      <c r="D171" s="3"/>
      <c r="N171" s="6"/>
      <c r="O171" s="6"/>
      <c r="P171" s="456"/>
      <c r="Q171" s="456"/>
      <c r="DN171" s="420"/>
      <c r="DO171" s="420"/>
      <c r="DP171" s="439"/>
      <c r="DQ171" s="439"/>
      <c r="DR171" s="439"/>
      <c r="DS171" s="439"/>
      <c r="DT171" s="439"/>
      <c r="DU171" s="439"/>
      <c r="DV171" s="439"/>
      <c r="DW171" s="439"/>
      <c r="DX171" s="439"/>
      <c r="DY171" s="439"/>
      <c r="DZ171" s="439"/>
      <c r="EA171" s="439"/>
      <c r="EE171" s="337"/>
      <c r="EF171" s="337"/>
      <c r="EG171" s="337"/>
      <c r="EH171" s="338"/>
      <c r="EI171" s="338"/>
      <c r="EJ171" s="338"/>
      <c r="EK171" s="338"/>
      <c r="EL171" s="338"/>
      <c r="EM171" s="338"/>
      <c r="EN171" s="338"/>
      <c r="EO171" s="338"/>
      <c r="EP171" s="338"/>
      <c r="EQ171" s="338"/>
      <c r="ER171" s="338"/>
      <c r="ES171" s="338"/>
      <c r="ET171" s="338"/>
      <c r="EU171" s="338"/>
      <c r="EV171" s="7"/>
      <c r="EW171" s="30"/>
      <c r="EX171" s="30"/>
      <c r="EY171" s="30"/>
      <c r="EZ171" s="30"/>
      <c r="FA171" s="30"/>
      <c r="FB171" s="30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</row>
    <row r="172" spans="1:229" s="7" customFormat="1" ht="15.75" customHeight="1" outlineLevel="1" collapsed="1">
      <c r="A172" s="2"/>
      <c r="C172" s="25"/>
      <c r="D172" s="29"/>
      <c r="E172" s="112"/>
      <c r="F172" s="8"/>
      <c r="G172" s="17"/>
      <c r="H172" s="17"/>
      <c r="I172" s="17"/>
      <c r="J172" s="17"/>
      <c r="K172" s="8"/>
      <c r="L172" s="8"/>
      <c r="M172" s="8"/>
      <c r="N172" s="29"/>
      <c r="O172" s="29"/>
      <c r="P172" s="117"/>
      <c r="Q172" s="117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424"/>
      <c r="DO172" s="424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8"/>
      <c r="EE172" s="238"/>
      <c r="EF172" s="238"/>
      <c r="EG172" s="238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W172" s="30"/>
      <c r="EX172" s="30"/>
      <c r="EY172" s="30"/>
      <c r="EZ172" s="30"/>
      <c r="FA172" s="30"/>
      <c r="FB172" s="30"/>
    </row>
    <row r="173" spans="1:229" s="7" customFormat="1" ht="15.75" hidden="1" customHeight="1" outlineLevel="2">
      <c r="A173" s="2"/>
      <c r="C173" s="25" t="s">
        <v>326</v>
      </c>
      <c r="D173" s="29"/>
      <c r="E173" s="235">
        <f>Y94/2/PI()*D152</f>
        <v>2.2793444936033493</v>
      </c>
      <c r="F173" s="8"/>
      <c r="G173" s="17" t="s">
        <v>853</v>
      </c>
      <c r="H173" s="17"/>
      <c r="I173" s="17"/>
      <c r="J173" s="17"/>
      <c r="K173" s="8"/>
      <c r="L173" s="8"/>
      <c r="M173" s="8"/>
      <c r="N173" s="29"/>
      <c r="O173" s="29"/>
      <c r="P173" s="117"/>
      <c r="Q173" s="117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424"/>
      <c r="DO173" s="424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8"/>
      <c r="EE173" s="238"/>
      <c r="EF173" s="238"/>
      <c r="EG173" s="238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W173" s="30"/>
      <c r="EX173" s="30"/>
      <c r="EY173" s="30"/>
      <c r="EZ173" s="30"/>
      <c r="FA173" s="30"/>
      <c r="FB173" s="30"/>
    </row>
    <row r="174" spans="1:229" s="7" customFormat="1" ht="15.75" hidden="1" customHeight="1" outlineLevel="2">
      <c r="A174" s="2"/>
      <c r="C174" s="25" t="s">
        <v>88</v>
      </c>
      <c r="D174" s="29"/>
      <c r="E174" s="235">
        <f>AC94/2/PI()*D152</f>
        <v>0.89901090954628338</v>
      </c>
      <c r="F174" s="8"/>
      <c r="G174" s="17" t="s">
        <v>840</v>
      </c>
      <c r="H174" s="17"/>
      <c r="I174" s="17"/>
      <c r="J174" s="17"/>
      <c r="K174" s="8"/>
      <c r="L174" s="8"/>
      <c r="M174" s="8"/>
      <c r="N174" s="29"/>
      <c r="O174" s="29"/>
      <c r="P174" s="117"/>
      <c r="Q174" s="117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424"/>
      <c r="DO174" s="424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8"/>
      <c r="EE174" s="238"/>
      <c r="EF174" s="238"/>
      <c r="EG174" s="238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W174" s="30"/>
      <c r="EX174" s="30"/>
      <c r="EY174" s="30"/>
      <c r="EZ174" s="30"/>
      <c r="FA174" s="30"/>
      <c r="FB174" s="30"/>
    </row>
    <row r="175" spans="1:229" s="7" customFormat="1" ht="15.75" hidden="1" customHeight="1" outlineLevel="2">
      <c r="A175" s="2"/>
      <c r="C175" s="25"/>
      <c r="D175" s="29"/>
      <c r="E175" s="112"/>
      <c r="F175" s="8"/>
      <c r="G175" s="17"/>
      <c r="H175" s="17"/>
      <c r="I175" s="17"/>
      <c r="J175" s="17"/>
      <c r="K175" s="8"/>
      <c r="L175" s="8"/>
      <c r="M175" s="8"/>
      <c r="N175" s="29"/>
      <c r="O175" s="29"/>
      <c r="P175" s="117"/>
      <c r="Q175" s="117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424"/>
      <c r="DO175" s="424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8"/>
      <c r="EE175" s="238"/>
      <c r="EF175" s="238"/>
      <c r="EG175" s="238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W175" s="30"/>
      <c r="EX175" s="30"/>
      <c r="EY175" s="30"/>
      <c r="EZ175" s="30"/>
      <c r="FA175" s="30"/>
      <c r="FB175" s="30"/>
    </row>
    <row r="176" spans="1:229" s="7" customFormat="1" ht="15.75" customHeight="1" outlineLevel="1">
      <c r="A176" s="2"/>
      <c r="C176" s="104" t="s">
        <v>37</v>
      </c>
      <c r="D176" s="112"/>
      <c r="E176" s="112"/>
      <c r="F176" s="8"/>
      <c r="G176" s="17"/>
      <c r="H176" s="17"/>
      <c r="I176" s="17"/>
      <c r="J176" s="17"/>
      <c r="K176" s="8"/>
      <c r="L176" s="8"/>
      <c r="M176" s="8"/>
      <c r="N176" s="29"/>
      <c r="O176" s="29"/>
      <c r="P176" s="117"/>
      <c r="Q176" s="117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424"/>
      <c r="DO176" s="424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8"/>
      <c r="EE176" s="238"/>
      <c r="EF176" s="238"/>
      <c r="EG176" s="238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W176" s="30"/>
      <c r="EX176" s="30"/>
      <c r="EY176" s="30"/>
      <c r="EZ176" s="30"/>
      <c r="FA176" s="30"/>
      <c r="FB176" s="30"/>
    </row>
    <row r="177" spans="1:158" s="7" customFormat="1" ht="15.75" customHeight="1" outlineLevel="2">
      <c r="A177" s="2"/>
      <c r="C177" s="112"/>
      <c r="D177" s="112"/>
      <c r="E177" s="112"/>
      <c r="F177" s="8"/>
      <c r="G177" s="17"/>
      <c r="H177" s="17"/>
      <c r="I177" s="17"/>
      <c r="J177" s="17"/>
      <c r="K177" s="8"/>
      <c r="L177" s="8"/>
      <c r="M177" s="8"/>
      <c r="N177" s="29"/>
      <c r="O177" s="29"/>
      <c r="P177" s="117"/>
      <c r="Q177" s="117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424"/>
      <c r="DO177" s="424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8"/>
      <c r="EE177" s="238"/>
      <c r="EF177" s="238"/>
      <c r="EG177" s="238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W177" s="30"/>
      <c r="EX177" s="30"/>
      <c r="EY177" s="30"/>
      <c r="EZ177" s="30"/>
      <c r="FA177" s="30"/>
      <c r="FB177" s="30"/>
    </row>
    <row r="178" spans="1:158" s="7" customFormat="1" ht="20.100000000000001" customHeight="1" outlineLevel="2">
      <c r="A178" s="2"/>
      <c r="C178" s="25" t="s">
        <v>365</v>
      </c>
      <c r="D178" s="101">
        <f>DN94*D149*D152/4/PI()</f>
        <v>4.0326837324019866</v>
      </c>
      <c r="E178" s="101"/>
      <c r="F178" s="8"/>
      <c r="G178" s="17" t="s">
        <v>837</v>
      </c>
      <c r="H178" s="17"/>
      <c r="I178" s="17"/>
      <c r="J178" s="17"/>
      <c r="K178" s="8"/>
      <c r="L178" s="8"/>
      <c r="M178" s="8"/>
      <c r="N178" s="29"/>
      <c r="O178" s="29"/>
      <c r="P178" s="117"/>
      <c r="Q178" s="117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424"/>
      <c r="DO178" s="424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8"/>
      <c r="EE178" s="238"/>
      <c r="EF178" s="238"/>
      <c r="EG178" s="238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W178" s="30"/>
      <c r="EX178" s="30"/>
      <c r="EY178" s="30"/>
      <c r="EZ178" s="30"/>
      <c r="FA178" s="30"/>
      <c r="FB178" s="30"/>
    </row>
    <row r="179" spans="1:158" s="7" customFormat="1" ht="15.75" customHeight="1" outlineLevel="2">
      <c r="A179" s="2"/>
      <c r="C179" s="25" t="s">
        <v>427</v>
      </c>
      <c r="D179" s="101">
        <f>DO94*D149*D152/4/PI()</f>
        <v>5.9503641754285477</v>
      </c>
      <c r="E179" s="101"/>
      <c r="F179" s="8"/>
      <c r="G179" s="17" t="s">
        <v>301</v>
      </c>
      <c r="H179" s="17"/>
      <c r="I179" s="17"/>
      <c r="J179" s="17"/>
      <c r="K179" s="8"/>
      <c r="L179" s="8"/>
      <c r="M179" s="8"/>
      <c r="N179" s="29"/>
      <c r="O179" s="29"/>
      <c r="P179" s="117"/>
      <c r="Q179" s="117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424"/>
      <c r="DO179" s="424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8"/>
      <c r="EE179" s="238"/>
      <c r="EF179" s="238"/>
      <c r="EG179" s="238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W179" s="30"/>
      <c r="EX179" s="30"/>
      <c r="EY179" s="30"/>
      <c r="EZ179" s="30"/>
      <c r="FA179" s="30"/>
      <c r="FB179" s="30"/>
    </row>
    <row r="180" spans="1:158" s="7" customFormat="1" ht="15.75" customHeight="1" outlineLevel="2">
      <c r="A180" s="2"/>
      <c r="C180" s="25" t="s">
        <v>302</v>
      </c>
      <c r="D180" s="101">
        <f>D178/D153</f>
        <v>0.11057684960849298</v>
      </c>
      <c r="E180" s="101"/>
      <c r="F180" s="8"/>
      <c r="G180" s="17" t="s">
        <v>224</v>
      </c>
      <c r="H180" s="17"/>
      <c r="I180" s="17"/>
      <c r="J180" s="17"/>
      <c r="K180" s="8"/>
      <c r="L180" s="8"/>
      <c r="M180" s="8"/>
      <c r="N180" s="29"/>
      <c r="O180" s="29"/>
      <c r="P180" s="117"/>
      <c r="Q180" s="117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424"/>
      <c r="DO180" s="424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8"/>
      <c r="EE180" s="238"/>
      <c r="EF180" s="238"/>
      <c r="EG180" s="238"/>
      <c r="EH180" s="30"/>
      <c r="EI180" s="30"/>
      <c r="EJ180" s="30"/>
      <c r="EK180" s="30"/>
      <c r="EL180" s="30"/>
      <c r="EM180" s="30"/>
      <c r="EN180" s="30"/>
      <c r="EO180" s="30"/>
      <c r="EP180" s="30"/>
      <c r="EQ180" s="30"/>
      <c r="ER180" s="30"/>
      <c r="ES180" s="30"/>
      <c r="ET180" s="30"/>
      <c r="EU180" s="30"/>
      <c r="EW180" s="30"/>
      <c r="EX180" s="30"/>
      <c r="EY180" s="30"/>
      <c r="EZ180" s="30"/>
      <c r="FA180" s="30"/>
      <c r="FB180" s="30"/>
    </row>
    <row r="181" spans="1:158" s="7" customFormat="1" ht="15.75" customHeight="1" outlineLevel="2">
      <c r="A181" s="2"/>
      <c r="C181" s="25" t="s">
        <v>415</v>
      </c>
      <c r="D181" s="101">
        <f>D179/D154</f>
        <v>0.41367435813651598</v>
      </c>
      <c r="E181" s="101"/>
      <c r="F181" s="8"/>
      <c r="G181" s="17" t="s">
        <v>563</v>
      </c>
      <c r="H181" s="17"/>
      <c r="I181" s="17"/>
      <c r="J181" s="17"/>
      <c r="K181" s="8"/>
      <c r="L181" s="8"/>
      <c r="M181" s="8"/>
      <c r="N181" s="29"/>
      <c r="O181" s="29"/>
      <c r="P181" s="117"/>
      <c r="Q181" s="117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424"/>
      <c r="DO181" s="424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8"/>
      <c r="EE181" s="238"/>
      <c r="EF181" s="238"/>
      <c r="EG181" s="238"/>
      <c r="EH181" s="30"/>
      <c r="EI181" s="30"/>
      <c r="EJ181" s="30"/>
      <c r="EK181" s="30"/>
      <c r="EL181" s="30"/>
      <c r="EM181" s="30"/>
      <c r="EN181" s="30"/>
      <c r="EO181" s="30"/>
      <c r="EP181" s="30"/>
      <c r="EQ181" s="30"/>
      <c r="ER181" s="30"/>
      <c r="ES181" s="30"/>
      <c r="ET181" s="30"/>
      <c r="EU181" s="30"/>
      <c r="EW181" s="30"/>
      <c r="EX181" s="30"/>
      <c r="EY181" s="30"/>
      <c r="EZ181" s="30"/>
      <c r="FA181" s="30"/>
      <c r="FB181" s="30"/>
    </row>
    <row r="182" spans="1:158" s="7" customFormat="1" ht="15.75" customHeight="1" outlineLevel="2">
      <c r="A182" s="2"/>
      <c r="C182" s="25"/>
      <c r="D182" s="29"/>
      <c r="E182" s="112"/>
      <c r="F182" s="8"/>
      <c r="G182" s="17"/>
      <c r="H182" s="17"/>
      <c r="I182" s="17"/>
      <c r="J182" s="17"/>
      <c r="K182" s="8"/>
      <c r="L182" s="8"/>
      <c r="M182" s="8"/>
      <c r="N182" s="29"/>
      <c r="O182" s="29"/>
      <c r="P182" s="117"/>
      <c r="Q182" s="117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424"/>
      <c r="DO182" s="424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8"/>
      <c r="EE182" s="238"/>
      <c r="EF182" s="238"/>
      <c r="EG182" s="238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W182" s="30"/>
      <c r="EX182" s="30"/>
      <c r="EY182" s="30"/>
      <c r="EZ182" s="30"/>
      <c r="FA182" s="30"/>
      <c r="FB182" s="30"/>
    </row>
    <row r="183" spans="1:158" s="7" customFormat="1" ht="15.75" customHeight="1" outlineLevel="2">
      <c r="A183" s="2"/>
      <c r="C183" s="25" t="s">
        <v>836</v>
      </c>
      <c r="D183" s="29"/>
      <c r="E183" s="112"/>
      <c r="F183" s="8"/>
      <c r="G183" s="17"/>
      <c r="H183" s="17"/>
      <c r="I183" s="17"/>
      <c r="J183" s="17"/>
      <c r="K183" s="8"/>
      <c r="L183" s="8"/>
      <c r="M183" s="8"/>
      <c r="N183" s="29"/>
      <c r="O183" s="29"/>
      <c r="P183" s="117"/>
      <c r="Q183" s="117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424"/>
      <c r="DO183" s="424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8"/>
      <c r="EE183" s="238"/>
      <c r="EF183" s="238"/>
      <c r="EG183" s="238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W183" s="30"/>
      <c r="EX183" s="30"/>
      <c r="EY183" s="30"/>
      <c r="EZ183" s="30"/>
      <c r="FA183" s="30"/>
      <c r="FB183" s="30"/>
    </row>
    <row r="184" spans="1:158" s="7" customFormat="1" ht="15.75" customHeight="1" outlineLevel="2">
      <c r="A184" s="2"/>
      <c r="C184" s="25"/>
      <c r="D184" s="29"/>
      <c r="E184" s="112"/>
      <c r="F184" s="8"/>
      <c r="G184" s="17"/>
      <c r="H184" s="17"/>
      <c r="I184" s="17"/>
      <c r="J184" s="17"/>
      <c r="K184" s="8"/>
      <c r="L184" s="8"/>
      <c r="M184" s="8"/>
      <c r="N184" s="29"/>
      <c r="O184" s="29"/>
      <c r="P184" s="117"/>
      <c r="Q184" s="117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424"/>
      <c r="DO184" s="424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8"/>
      <c r="EE184" s="238"/>
      <c r="EF184" s="238"/>
      <c r="EG184" s="238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W184" s="30"/>
      <c r="EX184" s="30"/>
      <c r="EY184" s="30"/>
      <c r="EZ184" s="30"/>
      <c r="FA184" s="30"/>
      <c r="FB184" s="30"/>
    </row>
    <row r="185" spans="1:158" s="7" customFormat="1" ht="15.75" customHeight="1" outlineLevel="2">
      <c r="A185" s="2"/>
      <c r="C185" s="25" t="s">
        <v>594</v>
      </c>
      <c r="D185" s="29" t="s">
        <v>1108</v>
      </c>
      <c r="E185" s="112" t="s">
        <v>1109</v>
      </c>
      <c r="F185" s="8" t="s">
        <v>1110</v>
      </c>
      <c r="G185" s="17"/>
      <c r="H185" s="17"/>
      <c r="I185" s="17"/>
      <c r="J185" s="17"/>
      <c r="K185" s="8"/>
      <c r="L185" s="8"/>
      <c r="M185" s="8"/>
      <c r="N185" s="29"/>
      <c r="O185" s="29"/>
      <c r="P185" s="117"/>
      <c r="Q185" s="117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424"/>
      <c r="DO185" s="424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8"/>
      <c r="EE185" s="238"/>
      <c r="EF185" s="238"/>
      <c r="EG185" s="238"/>
      <c r="EH185" s="30"/>
      <c r="EI185" s="30"/>
      <c r="EJ185" s="30"/>
      <c r="EK185" s="30"/>
      <c r="EL185" s="30"/>
      <c r="EM185" s="30"/>
      <c r="EN185" s="30"/>
      <c r="EO185" s="30"/>
      <c r="EP185" s="30"/>
      <c r="EQ185" s="30"/>
      <c r="ER185" s="30"/>
      <c r="ES185" s="30"/>
      <c r="ET185" s="30"/>
      <c r="EU185" s="30"/>
      <c r="EW185" s="30"/>
      <c r="EX185" s="30"/>
      <c r="EY185" s="30"/>
      <c r="EZ185" s="30"/>
      <c r="FA185" s="30"/>
      <c r="FB185" s="30"/>
    </row>
    <row r="186" spans="1:158" s="7" customFormat="1" ht="15.75" customHeight="1" outlineLevel="2">
      <c r="A186" s="2"/>
      <c r="C186" s="25">
        <v>20001</v>
      </c>
      <c r="D186" s="112" t="s">
        <v>1120</v>
      </c>
      <c r="E186" s="112">
        <f>IF($E$6="P",IMABS($AA186),IF($E$6="S",2*ABS(IMREAL($AA186)*$AB186+IMAGINARY($AA186)*$AC186),0))</f>
        <v>0.7838174919661739</v>
      </c>
      <c r="F186" s="32">
        <f>E186/ABS(AC186)</f>
        <v>0.79733172366604688</v>
      </c>
      <c r="G186" s="8"/>
      <c r="H186" s="17" t="s">
        <v>423</v>
      </c>
      <c r="I186" s="17"/>
      <c r="J186" s="17"/>
      <c r="N186" s="105"/>
      <c r="P186" s="378"/>
      <c r="Q186" s="378"/>
      <c r="R186" s="8"/>
      <c r="V186" s="21"/>
      <c r="W186" s="21"/>
      <c r="X186" s="21"/>
      <c r="Y186" s="21"/>
      <c r="Z186" s="21"/>
      <c r="AA186" s="21" t="str">
        <f>$DP94</f>
        <v>1.45710622535473+0.670408865385635i</v>
      </c>
      <c r="AB186" s="272">
        <f>COS(PI()*2*$E$173)</f>
        <v>-0.18333402148775094</v>
      </c>
      <c r="AC186" s="21">
        <f>SIN(PI()*2*$E$173)</f>
        <v>0.98305067853347661</v>
      </c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424"/>
      <c r="DO186" s="424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8"/>
      <c r="EE186" s="238"/>
      <c r="EF186" s="238"/>
      <c r="EG186" s="238"/>
      <c r="EH186" s="30"/>
      <c r="EI186" s="30"/>
      <c r="EJ186" s="30"/>
      <c r="EK186" s="30"/>
      <c r="EL186" s="30"/>
      <c r="EM186" s="30"/>
      <c r="EN186" s="30"/>
      <c r="EO186" s="30"/>
      <c r="EP186" s="30"/>
      <c r="EQ186" s="30"/>
      <c r="ER186" s="30"/>
      <c r="ES186" s="30"/>
      <c r="ET186" s="30"/>
      <c r="EU186" s="30"/>
      <c r="EW186" s="30"/>
      <c r="EX186" s="30"/>
      <c r="EY186" s="30"/>
      <c r="EZ186" s="30"/>
      <c r="FA186" s="30"/>
      <c r="FB186" s="30"/>
    </row>
    <row r="187" spans="1:158" s="7" customFormat="1" ht="15.75" customHeight="1" outlineLevel="2">
      <c r="A187" s="2"/>
      <c r="C187" s="25" t="s">
        <v>181</v>
      </c>
      <c r="D187" s="112" t="s">
        <v>903</v>
      </c>
      <c r="E187" s="112">
        <f>IF($E$6="P",IMABS(AA187),IF($E$6="S",2*ABS(IMREAL(AA187)*AB187+IMAGINARY(AA187)*AC187),0))</f>
        <v>1.0214026077529466</v>
      </c>
      <c r="F187" s="32">
        <f>E187/ABS(AC187)</f>
        <v>1.7230091441732502</v>
      </c>
      <c r="G187" s="8"/>
      <c r="H187" s="17" t="s">
        <v>731</v>
      </c>
      <c r="I187" s="17"/>
      <c r="J187" s="17"/>
      <c r="N187" s="105"/>
      <c r="O187" s="105"/>
      <c r="P187" s="378"/>
      <c r="Q187" s="378"/>
      <c r="R187" s="8"/>
      <c r="V187" s="21"/>
      <c r="W187" s="21"/>
      <c r="X187" s="21"/>
      <c r="Y187" s="21"/>
      <c r="Z187" s="21"/>
      <c r="AA187" s="21" t="str">
        <f>$DQ94</f>
        <v>-0.354031873572725+0.380535833570219i</v>
      </c>
      <c r="AB187" s="272">
        <f>COS(PI()*2*E174)</f>
        <v>0.80534852219829745</v>
      </c>
      <c r="AC187" s="21">
        <f>SIN(PI()*2*E174)</f>
        <v>-0.59280161756950234</v>
      </c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424"/>
      <c r="DO187" s="424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8"/>
      <c r="EE187" s="238"/>
      <c r="EF187" s="238"/>
      <c r="EG187" s="238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W187" s="30"/>
      <c r="EX187" s="30"/>
      <c r="EY187" s="30"/>
      <c r="EZ187" s="30"/>
      <c r="FA187" s="30"/>
      <c r="FB187" s="30"/>
    </row>
    <row r="188" spans="1:158" s="7" customFormat="1" ht="15.75" customHeight="1" outlineLevel="2">
      <c r="A188" s="2"/>
      <c r="C188" s="25">
        <v>10002</v>
      </c>
      <c r="D188" s="112" t="s">
        <v>565</v>
      </c>
      <c r="E188" s="112">
        <f>IF($E$6="P",IMABS(AA188),IF($E$6="S",2*ABS(IMREAL(AA188)*AB188+IMAGINARY(AA188)*AC188),0))</f>
        <v>0.80574499667167765</v>
      </c>
      <c r="F188" s="32">
        <f>E188/ABS(AC188)</f>
        <v>1.0475118383373858</v>
      </c>
      <c r="G188" s="8"/>
      <c r="H188" s="17" t="s">
        <v>402</v>
      </c>
      <c r="I188" s="17"/>
      <c r="J188" s="17"/>
      <c r="N188" s="105"/>
      <c r="O188" s="105"/>
      <c r="P188" s="378"/>
      <c r="Q188" s="378"/>
      <c r="R188" s="8"/>
      <c r="V188" s="21"/>
      <c r="W188" s="21"/>
      <c r="X188" s="21"/>
      <c r="Y188" s="21"/>
      <c r="Z188" s="21"/>
      <c r="AA188" s="21" t="str">
        <f>$DR94</f>
        <v>-0.921696451635974+0.241940245844358i</v>
      </c>
      <c r="AB188" s="272">
        <f>COS(PI()*E173)</f>
        <v>0.63900938119571027</v>
      </c>
      <c r="AC188" s="21">
        <f>SIN(PI()*E173)</f>
        <v>0.76919894094042762</v>
      </c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424"/>
      <c r="DO188" s="424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8"/>
      <c r="EE188" s="238"/>
      <c r="EF188" s="238"/>
      <c r="EG188" s="238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W188" s="30"/>
      <c r="EX188" s="30"/>
      <c r="EY188" s="30"/>
      <c r="EZ188" s="30"/>
      <c r="FA188" s="30"/>
      <c r="FB188" s="30"/>
    </row>
    <row r="189" spans="1:158" s="7" customFormat="1" ht="15.75" customHeight="1" outlineLevel="2">
      <c r="A189" s="2"/>
      <c r="C189" s="25"/>
      <c r="D189" s="112"/>
      <c r="E189" s="112"/>
      <c r="F189" s="8"/>
      <c r="G189" s="17"/>
      <c r="H189" s="17"/>
      <c r="I189" s="17"/>
      <c r="J189" s="17"/>
      <c r="K189" s="8"/>
      <c r="L189" s="8"/>
      <c r="M189" s="8"/>
      <c r="N189" s="29"/>
      <c r="O189" s="29"/>
      <c r="P189" s="117"/>
      <c r="Q189" s="117"/>
      <c r="R189" s="8"/>
      <c r="S189" s="8"/>
      <c r="T189" s="8"/>
      <c r="U189" s="8"/>
      <c r="V189" s="21"/>
      <c r="W189" s="21"/>
      <c r="X189" s="21"/>
      <c r="Y189" s="21"/>
      <c r="Z189" s="21"/>
      <c r="AA189" s="21"/>
      <c r="AB189" s="21"/>
      <c r="AC189" s="21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424"/>
      <c r="DO189" s="424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8"/>
      <c r="EE189" s="238"/>
      <c r="EF189" s="238"/>
      <c r="EG189" s="238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W189" s="30"/>
      <c r="EX189" s="30"/>
      <c r="EY189" s="30"/>
      <c r="EZ189" s="30"/>
      <c r="FA189" s="30"/>
      <c r="FB189" s="30"/>
    </row>
    <row r="190" spans="1:158" s="7" customFormat="1" ht="15.75" customHeight="1" outlineLevel="1">
      <c r="A190" s="2"/>
      <c r="C190" s="104" t="s">
        <v>386</v>
      </c>
      <c r="D190" s="112"/>
      <c r="E190" s="112"/>
      <c r="F190" s="8"/>
      <c r="G190" s="17"/>
      <c r="H190" s="17"/>
      <c r="I190" s="17"/>
      <c r="J190" s="17"/>
      <c r="K190" s="8"/>
      <c r="L190" s="8"/>
      <c r="M190" s="8"/>
      <c r="N190" s="29"/>
      <c r="O190" s="29"/>
      <c r="P190" s="117"/>
      <c r="Q190" s="117"/>
      <c r="R190" s="8"/>
      <c r="S190" s="8"/>
      <c r="T190" s="8"/>
      <c r="U190" s="8"/>
      <c r="V190" s="21"/>
      <c r="W190" s="21"/>
      <c r="X190" s="21"/>
      <c r="Y190" s="21"/>
      <c r="Z190" s="21"/>
      <c r="AA190" s="21"/>
      <c r="AB190" s="21"/>
      <c r="AC190" s="21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424"/>
      <c r="DO190" s="424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8"/>
      <c r="EE190" s="238"/>
      <c r="EF190" s="238"/>
      <c r="EG190" s="238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W190" s="30"/>
      <c r="EX190" s="30"/>
      <c r="EY190" s="30"/>
      <c r="EZ190" s="30"/>
      <c r="FA190" s="30"/>
      <c r="FB190" s="30"/>
    </row>
    <row r="191" spans="1:158" s="7" customFormat="1" ht="15.75" customHeight="1" outlineLevel="2">
      <c r="A191" s="2"/>
      <c r="C191" s="25"/>
      <c r="D191" s="29"/>
      <c r="E191" s="112"/>
      <c r="F191" s="8"/>
      <c r="G191" s="17"/>
      <c r="H191" s="17"/>
      <c r="I191" s="17"/>
      <c r="J191" s="17"/>
      <c r="K191" s="8"/>
      <c r="L191" s="8"/>
      <c r="M191" s="8"/>
      <c r="N191" s="29"/>
      <c r="O191" s="29"/>
      <c r="P191" s="117"/>
      <c r="Q191" s="117"/>
      <c r="R191" s="8"/>
      <c r="S191" s="8"/>
      <c r="T191" s="8"/>
      <c r="U191" s="8"/>
      <c r="V191" s="21"/>
      <c r="W191" s="21"/>
      <c r="X191" s="21"/>
      <c r="Y191" s="21"/>
      <c r="Z191" s="21"/>
      <c r="AA191" s="21"/>
      <c r="AB191" s="21"/>
      <c r="AC191" s="21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424"/>
      <c r="DO191" s="424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8"/>
      <c r="EE191" s="238"/>
      <c r="EF191" s="238"/>
      <c r="EG191" s="238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W191" s="30"/>
      <c r="EX191" s="30"/>
      <c r="EY191" s="30"/>
      <c r="EZ191" s="30"/>
      <c r="FA191" s="30"/>
      <c r="FB191" s="30"/>
    </row>
    <row r="192" spans="1:158" s="7" customFormat="1" ht="15.75" customHeight="1" outlineLevel="2">
      <c r="A192" s="2"/>
      <c r="C192" s="25" t="s">
        <v>594</v>
      </c>
      <c r="D192" s="29" t="s">
        <v>1108</v>
      </c>
      <c r="E192" s="112" t="s">
        <v>1109</v>
      </c>
      <c r="F192" s="8" t="s">
        <v>1110</v>
      </c>
      <c r="G192" s="17"/>
      <c r="H192" s="17"/>
      <c r="I192" s="17"/>
      <c r="J192" s="17"/>
      <c r="K192" s="8"/>
      <c r="L192" s="8"/>
      <c r="M192" s="8"/>
      <c r="N192" s="29"/>
      <c r="O192" s="29"/>
      <c r="P192" s="117"/>
      <c r="Q192" s="117"/>
      <c r="R192" s="8"/>
      <c r="S192" s="8"/>
      <c r="T192" s="8"/>
      <c r="U192" s="8"/>
      <c r="V192" s="21"/>
      <c r="W192" s="21"/>
      <c r="X192" s="21"/>
      <c r="Y192" s="21"/>
      <c r="Z192" s="21"/>
      <c r="AA192" s="21"/>
      <c r="AB192" s="21"/>
      <c r="AC192" s="21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424"/>
      <c r="DO192" s="424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8"/>
      <c r="EE192" s="238"/>
      <c r="EF192" s="238"/>
      <c r="EG192" s="238"/>
      <c r="EH192" s="30"/>
      <c r="EI192" s="30"/>
      <c r="EJ192" s="30"/>
      <c r="EK192" s="30"/>
      <c r="EL192" s="30"/>
      <c r="EM192" s="30"/>
      <c r="EN192" s="30"/>
      <c r="EO192" s="30"/>
      <c r="EP192" s="30"/>
      <c r="EQ192" s="30"/>
      <c r="ER192" s="30"/>
      <c r="ES192" s="30"/>
      <c r="ET192" s="30"/>
      <c r="EU192" s="30"/>
      <c r="EW192" s="30"/>
      <c r="EX192" s="30"/>
      <c r="EY192" s="30"/>
      <c r="EZ192" s="30"/>
      <c r="FA192" s="30"/>
      <c r="FB192" s="30"/>
    </row>
    <row r="193" spans="1:158" s="7" customFormat="1" ht="15.75" customHeight="1" outlineLevel="2">
      <c r="A193" s="2"/>
      <c r="C193" s="25">
        <v>21000</v>
      </c>
      <c r="D193" s="112" t="s">
        <v>565</v>
      </c>
      <c r="E193" s="112">
        <f>IF($E$6="P",IMABS(AA193),IF($E$6="S",2*ABS(IMREAL(AA193)*AB193+IMAGINARY(AA193)*AC193),0))</f>
        <v>2.8922605727566459</v>
      </c>
      <c r="F193" s="32">
        <f>E193/ABS(AC193)</f>
        <v>3.760094325169701</v>
      </c>
      <c r="G193" s="8">
        <f>SQRT(PI()/$D$159)*8*F193</f>
        <v>1.8348163529830996</v>
      </c>
      <c r="H193" s="17" t="s">
        <v>9</v>
      </c>
      <c r="I193" s="17"/>
      <c r="J193" s="17"/>
      <c r="N193" s="105"/>
      <c r="O193" s="105"/>
      <c r="P193" s="378"/>
      <c r="Q193" s="378"/>
      <c r="R193" s="8"/>
      <c r="V193" s="21"/>
      <c r="W193" s="21"/>
      <c r="X193" s="21"/>
      <c r="Y193" s="21"/>
      <c r="Z193" s="21"/>
      <c r="AA193" s="21" t="str">
        <f>$DS94</f>
        <v>-3.7252264290415+4.97476623789371i</v>
      </c>
      <c r="AB193" s="272">
        <f>AB188</f>
        <v>0.63900938119571027</v>
      </c>
      <c r="AC193" s="21">
        <f>AC188</f>
        <v>0.76919894094042762</v>
      </c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424"/>
      <c r="DO193" s="424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8"/>
      <c r="EE193" s="238"/>
      <c r="EF193" s="238"/>
      <c r="EG193" s="238"/>
      <c r="EH193" s="30"/>
      <c r="EI193" s="30"/>
      <c r="EJ193" s="30"/>
      <c r="EK193" s="30"/>
      <c r="EL193" s="30"/>
      <c r="EM193" s="30"/>
      <c r="EN193" s="30"/>
      <c r="EO193" s="30"/>
      <c r="EP193" s="30"/>
      <c r="EQ193" s="30"/>
      <c r="ER193" s="30"/>
      <c r="ES193" s="30"/>
      <c r="ET193" s="30"/>
      <c r="EU193" s="30"/>
      <c r="EW193" s="30"/>
      <c r="EX193" s="30"/>
      <c r="EY193" s="30"/>
      <c r="EZ193" s="30"/>
      <c r="FA193" s="30"/>
      <c r="FB193" s="30"/>
    </row>
    <row r="194" spans="1:158" s="7" customFormat="1" ht="15.75" customHeight="1" outlineLevel="2">
      <c r="A194" s="2"/>
      <c r="C194" s="25">
        <v>30000</v>
      </c>
      <c r="D194" s="112" t="s">
        <v>1171</v>
      </c>
      <c r="E194" s="112">
        <f>IF($E$6="P",IMABS(AA194),IF($E$6="S",2*ABS(IMREAL(AA194)*AB194+IMAGINARY(AA194)*AC194),0))</f>
        <v>9.3876762102754903</v>
      </c>
      <c r="F194" s="32">
        <f>E194/ABS(AC194)</f>
        <v>19.270279859108136</v>
      </c>
      <c r="G194" s="8">
        <f>SQRT(PI()/$D$159)*24*F194</f>
        <v>28.210003436913816</v>
      </c>
      <c r="H194" s="17" t="s">
        <v>10</v>
      </c>
      <c r="I194" s="17"/>
      <c r="J194" s="17"/>
      <c r="N194" s="105"/>
      <c r="O194" s="105"/>
      <c r="P194" s="378"/>
      <c r="Q194" s="378"/>
      <c r="R194" s="8"/>
      <c r="V194" s="21"/>
      <c r="W194" s="21"/>
      <c r="X194" s="21"/>
      <c r="Y194" s="21"/>
      <c r="Z194" s="21"/>
      <c r="AA194" s="21" t="str">
        <f>$DT94</f>
        <v>5.35108708302792-0.0424101252493543i</v>
      </c>
      <c r="AB194" s="272">
        <f>COS(PI()*3*E173)</f>
        <v>-0.87331370044172785</v>
      </c>
      <c r="AC194" s="21">
        <f>SIN(PI()*3*E173)</f>
        <v>0.48715827060697237</v>
      </c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424"/>
      <c r="DO194" s="424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8"/>
      <c r="EE194" s="238"/>
      <c r="EF194" s="238"/>
      <c r="EG194" s="238"/>
      <c r="EH194" s="30"/>
      <c r="EI194" s="30"/>
      <c r="EJ194" s="30"/>
      <c r="EK194" s="30"/>
      <c r="EL194" s="30"/>
      <c r="EM194" s="30"/>
      <c r="EN194" s="30"/>
      <c r="EO194" s="30"/>
      <c r="EP194" s="30"/>
      <c r="EQ194" s="30"/>
      <c r="ER194" s="30"/>
      <c r="ES194" s="30"/>
      <c r="ET194" s="30"/>
      <c r="EU194" s="30"/>
      <c r="EW194" s="30"/>
      <c r="EX194" s="30"/>
      <c r="EY194" s="30"/>
      <c r="EZ194" s="30"/>
      <c r="FA194" s="30"/>
      <c r="FB194" s="30"/>
    </row>
    <row r="195" spans="1:158" s="7" customFormat="1" ht="15.75" customHeight="1" outlineLevel="2">
      <c r="A195" s="2"/>
      <c r="C195" s="25">
        <v>10110</v>
      </c>
      <c r="D195" s="112" t="s">
        <v>565</v>
      </c>
      <c r="E195" s="112">
        <f>IF($E$6="P",IMABS(AA195),IF($E$6="S",2*ABS(IMREAL(AA195)*AB195+IMAGINARY(AA195)*AC195),0))</f>
        <v>5.1245504072866543</v>
      </c>
      <c r="F195" s="32">
        <f>E195/ABS(AC195)</f>
        <v>6.6621911894747878</v>
      </c>
      <c r="G195" s="8">
        <f>2*SQRT(PI()/$D$159)*4*F195</f>
        <v>3.2509549718800148</v>
      </c>
      <c r="H195" s="17" t="s">
        <v>9</v>
      </c>
      <c r="I195" s="17"/>
      <c r="J195" s="17"/>
      <c r="N195" s="105"/>
      <c r="O195" s="105"/>
      <c r="P195" s="378"/>
      <c r="Q195" s="378"/>
      <c r="R195" s="8"/>
      <c r="V195" s="21"/>
      <c r="W195" s="21"/>
      <c r="X195" s="21"/>
      <c r="Y195" s="21"/>
      <c r="Z195" s="21"/>
      <c r="AA195" s="21" t="str">
        <f>$DU94</f>
        <v>7.8057733338627-3.15352382209028i</v>
      </c>
      <c r="AB195" s="272">
        <f>AB188</f>
        <v>0.63900938119571027</v>
      </c>
      <c r="AC195" s="21">
        <f>AC188</f>
        <v>0.76919894094042762</v>
      </c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424"/>
      <c r="DO195" s="424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8"/>
      <c r="EE195" s="238"/>
      <c r="EF195" s="238"/>
      <c r="EG195" s="238"/>
      <c r="EH195" s="30"/>
      <c r="EI195" s="30"/>
      <c r="EJ195" s="30"/>
      <c r="EK195" s="30"/>
      <c r="EL195" s="30"/>
      <c r="EM195" s="30"/>
      <c r="EN195" s="30"/>
      <c r="EO195" s="30"/>
      <c r="EP195" s="30"/>
      <c r="EQ195" s="30"/>
      <c r="ER195" s="30"/>
      <c r="ES195" s="30"/>
      <c r="ET195" s="30"/>
      <c r="EU195" s="30"/>
      <c r="EW195" s="30"/>
      <c r="EX195" s="30"/>
      <c r="EY195" s="30"/>
      <c r="EZ195" s="30"/>
      <c r="FA195" s="30"/>
      <c r="FB195" s="30"/>
    </row>
    <row r="196" spans="1:158" s="7" customFormat="1" ht="15.75" customHeight="1" outlineLevel="2">
      <c r="A196" s="2"/>
      <c r="C196" s="25">
        <v>10020</v>
      </c>
      <c r="D196" s="112"/>
      <c r="E196" s="112">
        <f>IF($E$6="P",IMABS(AA196),IF($E$6="S",2*ABS(IMREAL(AA196)*AB196+IMAGINARY(AA196)*AC196),0))</f>
        <v>1.8863621822683636</v>
      </c>
      <c r="F196" s="32">
        <f>E196/ABS(AC196)</f>
        <v>1.8896141606625882</v>
      </c>
      <c r="G196" s="8">
        <f>SQRT(PI()/$D$159)*8*F196</f>
        <v>0.92207659249496987</v>
      </c>
      <c r="H196" s="17" t="s">
        <v>571</v>
      </c>
      <c r="I196" s="17"/>
      <c r="J196" s="17"/>
      <c r="N196" s="105"/>
      <c r="O196" s="105"/>
      <c r="P196" s="378"/>
      <c r="Q196" s="378"/>
      <c r="R196" s="8"/>
      <c r="V196" s="21"/>
      <c r="W196" s="21"/>
      <c r="X196" s="21"/>
      <c r="Y196" s="21"/>
      <c r="Z196" s="21"/>
      <c r="AA196" s="21" t="str">
        <f>$DV94</f>
        <v>-4.43884711962201+1.20556263255263i</v>
      </c>
      <c r="AB196" s="272">
        <f>COS(PI()*(E173-2*E174))</f>
        <v>5.864288439457975E-2</v>
      </c>
      <c r="AC196" s="21">
        <f>SIN(PI()*(E173-2*E174))</f>
        <v>0.99827902517777256</v>
      </c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424"/>
      <c r="DO196" s="424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8"/>
      <c r="EE196" s="238"/>
      <c r="EF196" s="238"/>
      <c r="EG196" s="238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W196" s="30"/>
      <c r="EX196" s="30"/>
      <c r="EY196" s="30"/>
      <c r="EZ196" s="30"/>
      <c r="FA196" s="30"/>
      <c r="FB196" s="30"/>
    </row>
    <row r="197" spans="1:158" s="7" customFormat="1" ht="15.75" customHeight="1" outlineLevel="2">
      <c r="A197" s="2"/>
      <c r="C197" s="25">
        <v>10200</v>
      </c>
      <c r="D197" s="112" t="s">
        <v>288</v>
      </c>
      <c r="E197" s="112">
        <f>IF($E$6="P",IMABS(AA197),IF($E$6="S",2*ABS(IMREAL(AA197)*AB197+IMAGINARY(AA197)*AC197),0))</f>
        <v>0.90246597938477169</v>
      </c>
      <c r="F197" s="32">
        <f>E197/ABS(AC197)</f>
        <v>3.7498466601016864</v>
      </c>
      <c r="G197" s="8">
        <f>SQRT(PI()/$D$159)*8*F197</f>
        <v>1.8298157913427109</v>
      </c>
      <c r="H197" s="17" t="s">
        <v>767</v>
      </c>
      <c r="I197" s="17"/>
      <c r="J197" s="17"/>
      <c r="N197" s="105"/>
      <c r="O197" s="105"/>
      <c r="P197" s="378"/>
      <c r="Q197" s="378"/>
      <c r="R197" s="8"/>
      <c r="V197" s="21"/>
      <c r="W197" s="21"/>
      <c r="X197" s="21"/>
      <c r="Y197" s="21"/>
      <c r="Z197" s="21"/>
      <c r="AA197" s="21" t="str">
        <f>$DW94</f>
        <v>-0.0541045905099811-1.65672044506513i</v>
      </c>
      <c r="AB197" s="272">
        <f>COS(PI()*(E173+2*E174))</f>
        <v>0.97060763723904753</v>
      </c>
      <c r="AC197" s="21">
        <f>SIN(PI()*(E173+2*E174))</f>
        <v>0.24066743554796427</v>
      </c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424"/>
      <c r="DO197" s="424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8"/>
      <c r="EE197" s="238"/>
      <c r="EF197" s="238"/>
      <c r="EG197" s="238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W197" s="30"/>
      <c r="EX197" s="30"/>
      <c r="EY197" s="30"/>
      <c r="EZ197" s="30"/>
      <c r="FA197" s="30"/>
      <c r="FB197" s="30"/>
    </row>
    <row r="198" spans="1:158" s="7" customFormat="1" ht="15.75" customHeight="1" outlineLevel="2">
      <c r="A198" s="2"/>
      <c r="C198" s="25"/>
      <c r="D198" s="112"/>
      <c r="E198" s="112"/>
      <c r="F198" s="8"/>
      <c r="G198" s="17"/>
      <c r="H198" s="17"/>
      <c r="I198" s="17"/>
      <c r="J198" s="17"/>
      <c r="K198" s="8"/>
      <c r="L198" s="8"/>
      <c r="M198" s="8"/>
      <c r="N198" s="29"/>
      <c r="O198" s="29"/>
      <c r="P198" s="117"/>
      <c r="Q198" s="117"/>
      <c r="R198" s="8"/>
      <c r="S198" s="8"/>
      <c r="T198" s="8"/>
      <c r="U198" s="8"/>
      <c r="V198" s="21"/>
      <c r="W198" s="21"/>
      <c r="X198" s="21"/>
      <c r="Y198" s="21"/>
      <c r="Z198" s="21"/>
      <c r="AA198" s="21"/>
      <c r="AB198" s="21"/>
      <c r="AC198" s="21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424"/>
      <c r="DO198" s="424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8"/>
      <c r="EE198" s="238"/>
      <c r="EF198" s="238"/>
      <c r="EG198" s="238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W198" s="30"/>
      <c r="EX198" s="30"/>
      <c r="EY198" s="30"/>
      <c r="EZ198" s="30"/>
      <c r="FA198" s="30"/>
      <c r="FB198" s="30"/>
    </row>
    <row r="199" spans="1:158" s="7" customFormat="1" ht="14.25" customHeight="1" outlineLevel="1">
      <c r="A199" s="2"/>
      <c r="C199" s="104" t="s">
        <v>1101</v>
      </c>
      <c r="D199" s="112"/>
      <c r="E199" s="112"/>
      <c r="F199" s="8"/>
      <c r="G199" s="17"/>
      <c r="H199" s="17"/>
      <c r="I199" s="17"/>
      <c r="J199" s="17"/>
      <c r="K199" s="8"/>
      <c r="L199" s="8"/>
      <c r="M199" s="8"/>
      <c r="N199" s="29"/>
      <c r="O199" s="29"/>
      <c r="P199" s="117"/>
      <c r="Q199" s="117"/>
      <c r="R199" s="8"/>
      <c r="S199" s="8"/>
      <c r="T199" s="8"/>
      <c r="U199" s="8"/>
      <c r="V199" s="21"/>
      <c r="W199" s="21"/>
      <c r="X199" s="21"/>
      <c r="Y199" s="21"/>
      <c r="Z199" s="21"/>
      <c r="AA199" s="21"/>
      <c r="AB199" s="21"/>
      <c r="AC199" s="21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424"/>
      <c r="DO199" s="424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8"/>
      <c r="EE199" s="238"/>
      <c r="EF199" s="238"/>
      <c r="EG199" s="238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W199" s="30"/>
      <c r="EX199" s="30"/>
      <c r="EY199" s="30"/>
      <c r="EZ199" s="30"/>
      <c r="FA199" s="30"/>
      <c r="FB199" s="30"/>
    </row>
    <row r="200" spans="1:158" s="7" customFormat="1" ht="14.25" customHeight="1" outlineLevel="2">
      <c r="A200" s="2"/>
      <c r="F200" s="8"/>
      <c r="G200" s="17"/>
      <c r="H200" s="17"/>
      <c r="I200" s="17"/>
      <c r="J200" s="17"/>
      <c r="K200" s="8"/>
      <c r="L200" s="8"/>
      <c r="M200" s="8"/>
      <c r="N200" s="29"/>
      <c r="O200" s="29"/>
      <c r="P200" s="117"/>
      <c r="Q200" s="117"/>
      <c r="R200" s="8"/>
      <c r="S200" s="8"/>
      <c r="T200" s="8"/>
      <c r="U200" s="8"/>
      <c r="V200" s="21"/>
      <c r="W200" s="21"/>
      <c r="X200" s="21"/>
      <c r="Y200" s="21"/>
      <c r="Z200" s="21"/>
      <c r="AA200" s="21"/>
      <c r="AB200" s="21"/>
      <c r="AC200" s="21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424"/>
      <c r="DO200" s="424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8"/>
      <c r="EE200" s="238"/>
      <c r="EF200" s="238"/>
      <c r="EG200" s="238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W200" s="30"/>
      <c r="EX200" s="30"/>
      <c r="EY200" s="30"/>
      <c r="EZ200" s="30"/>
      <c r="FA200" s="30"/>
      <c r="FB200" s="30"/>
    </row>
    <row r="201" spans="1:158" s="7" customFormat="1" ht="14.25" customHeight="1" outlineLevel="2">
      <c r="A201" s="2"/>
      <c r="C201" s="30" t="s">
        <v>330</v>
      </c>
      <c r="D201" s="112" t="s">
        <v>81</v>
      </c>
      <c r="E201" s="112" t="s">
        <v>919</v>
      </c>
      <c r="F201" s="8"/>
      <c r="G201" s="17"/>
      <c r="H201" s="17"/>
      <c r="I201" s="17"/>
      <c r="J201" s="17"/>
      <c r="K201" s="8"/>
      <c r="L201" s="8"/>
      <c r="M201" s="8"/>
      <c r="N201" s="29"/>
      <c r="O201" s="29"/>
      <c r="P201" s="117"/>
      <c r="Q201" s="117"/>
      <c r="R201" s="8"/>
      <c r="S201" s="8"/>
      <c r="T201" s="8"/>
      <c r="U201" s="8"/>
      <c r="V201" s="21"/>
      <c r="W201" s="21"/>
      <c r="X201" s="21"/>
      <c r="Y201" s="21"/>
      <c r="Z201" s="21"/>
      <c r="AA201" s="21"/>
      <c r="AB201" s="21"/>
      <c r="AC201" s="21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424"/>
      <c r="DO201" s="424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8"/>
      <c r="EE201" s="238"/>
      <c r="EF201" s="238"/>
      <c r="EG201" s="238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W201" s="30"/>
      <c r="EX201" s="30"/>
      <c r="EY201" s="30"/>
      <c r="EZ201" s="30"/>
      <c r="FA201" s="30"/>
      <c r="FB201" s="30"/>
    </row>
    <row r="202" spans="1:158" s="7" customFormat="1" ht="14.25" customHeight="1" outlineLevel="2">
      <c r="A202" s="2"/>
      <c r="C202" s="112">
        <f>dNudJ(D24:H94,BA24:BB94,BF24:BG94,D152,1)*D149/1000</f>
        <v>-7.7345606382154468</v>
      </c>
      <c r="D202" s="112">
        <f>DX94*D152*D149/1000</f>
        <v>1.475126270738466</v>
      </c>
      <c r="E202" s="112">
        <f>C202+D202</f>
        <v>-6.259434367476981</v>
      </c>
      <c r="F202" s="7" t="s">
        <v>831</v>
      </c>
      <c r="K202" s="8"/>
      <c r="L202" s="8"/>
      <c r="M202" s="8"/>
      <c r="N202" s="29"/>
      <c r="O202" s="29"/>
      <c r="P202" s="117"/>
      <c r="Q202" s="117"/>
      <c r="R202" s="8"/>
      <c r="S202" s="8"/>
      <c r="T202" s="8"/>
      <c r="U202" s="8"/>
      <c r="V202" s="21"/>
      <c r="W202" s="21"/>
      <c r="X202" s="21"/>
      <c r="Y202" s="21"/>
      <c r="Z202" s="21"/>
      <c r="AA202" s="21"/>
      <c r="AB202" s="21"/>
      <c r="AC202" s="21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424"/>
      <c r="DO202" s="424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8"/>
      <c r="EE202" s="238"/>
      <c r="EF202" s="238"/>
      <c r="EG202" s="238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W202" s="30"/>
      <c r="EX202" s="30"/>
      <c r="EY202" s="30"/>
      <c r="EZ202" s="30"/>
      <c r="FA202" s="30"/>
      <c r="FB202" s="30"/>
    </row>
    <row r="203" spans="1:158" s="7" customFormat="1" ht="14.25" customHeight="1" outlineLevel="2">
      <c r="A203" s="2"/>
      <c r="C203" s="112">
        <f>dNudJ(D24:H94,BA24:BB94,BF24:BG94,D152,2)*D149/1000</f>
        <v>-5.728383608637972</v>
      </c>
      <c r="D203" s="112">
        <f>DY94*D152*D149/1000</f>
        <v>2.4186415508577617</v>
      </c>
      <c r="E203" s="112">
        <f>C203+D203</f>
        <v>-3.3097420577802104</v>
      </c>
      <c r="F203" s="7" t="s">
        <v>835</v>
      </c>
      <c r="K203" s="8"/>
      <c r="L203" s="8"/>
      <c r="M203" s="8"/>
      <c r="N203" s="29"/>
      <c r="O203" s="29"/>
      <c r="P203" s="117"/>
      <c r="Q203" s="117"/>
      <c r="R203" s="8"/>
      <c r="S203" s="8"/>
      <c r="T203" s="8"/>
      <c r="U203" s="8"/>
      <c r="V203" s="21"/>
      <c r="W203" s="21"/>
      <c r="X203" s="21"/>
      <c r="Y203" s="21"/>
      <c r="Z203" s="21"/>
      <c r="AA203" s="21"/>
      <c r="AB203" s="21"/>
      <c r="AC203" s="21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424"/>
      <c r="DO203" s="424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8"/>
      <c r="EE203" s="238"/>
      <c r="EF203" s="238"/>
      <c r="EG203" s="238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W203" s="30"/>
      <c r="EX203" s="30"/>
      <c r="EY203" s="30"/>
      <c r="EZ203" s="30"/>
      <c r="FA203" s="30"/>
      <c r="FB203" s="30"/>
    </row>
    <row r="204" spans="1:158" s="7" customFormat="1" ht="14.25" customHeight="1" outlineLevel="2">
      <c r="A204" s="2"/>
      <c r="C204" s="112">
        <f>dNudJ(D24:H94,BA24:BB94,BF24:BG94,D152,3)*D149/1000</f>
        <v>-5.0184808842948021</v>
      </c>
      <c r="D204" s="112">
        <f>DZ94*D152*D149/1000</f>
        <v>1.5099081551748261</v>
      </c>
      <c r="E204" s="112">
        <f>C204+D204</f>
        <v>-3.508572729119976</v>
      </c>
      <c r="F204" s="7" t="s">
        <v>1149</v>
      </c>
      <c r="K204" s="8"/>
      <c r="L204" s="8"/>
      <c r="M204" s="8"/>
      <c r="N204" s="29"/>
      <c r="O204" s="29"/>
      <c r="P204" s="117"/>
      <c r="Q204" s="117"/>
      <c r="R204" s="8"/>
      <c r="S204" s="8"/>
      <c r="T204" s="8"/>
      <c r="U204" s="8"/>
      <c r="V204" s="21"/>
      <c r="W204" s="21"/>
      <c r="X204" s="21"/>
      <c r="Y204" s="21"/>
      <c r="Z204" s="21"/>
      <c r="AA204" s="21"/>
      <c r="AB204" s="21"/>
      <c r="AC204" s="21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424"/>
      <c r="DO204" s="424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8"/>
      <c r="EE204" s="238"/>
      <c r="EF204" s="238"/>
      <c r="EG204" s="238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W204" s="30"/>
      <c r="EX204" s="30"/>
      <c r="EY204" s="30"/>
      <c r="EZ204" s="30"/>
      <c r="FA204" s="30"/>
      <c r="FB204" s="30"/>
    </row>
    <row r="205" spans="1:158" s="7" customFormat="1" ht="14.25" customHeight="1" outlineLevel="2">
      <c r="A205" s="2"/>
      <c r="C205" s="30"/>
      <c r="D205" s="112"/>
      <c r="E205" s="36"/>
      <c r="K205" s="8"/>
      <c r="L205" s="8"/>
      <c r="M205" s="8"/>
      <c r="N205" s="29"/>
      <c r="O205" s="29"/>
      <c r="P205" s="117"/>
      <c r="Q205" s="117"/>
      <c r="R205" s="8"/>
      <c r="S205" s="8"/>
      <c r="T205" s="8"/>
      <c r="U205" s="8"/>
      <c r="V205" s="21"/>
      <c r="W205" s="21"/>
      <c r="X205" s="21"/>
      <c r="Y205" s="21"/>
      <c r="Z205" s="21"/>
      <c r="AA205" s="21"/>
      <c r="AB205" s="21"/>
      <c r="AC205" s="21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424"/>
      <c r="DO205" s="424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8"/>
      <c r="EE205" s="238"/>
      <c r="EF205" s="238"/>
      <c r="EG205" s="238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W205" s="30"/>
      <c r="EX205" s="30"/>
      <c r="EY205" s="30"/>
      <c r="EZ205" s="30"/>
      <c r="FA205" s="30"/>
      <c r="FB205" s="30"/>
    </row>
    <row r="206" spans="1:158" s="7" customFormat="1" ht="14.25" customHeight="1" outlineLevel="2">
      <c r="A206" s="2"/>
      <c r="C206" s="104" t="s">
        <v>797</v>
      </c>
      <c r="D206" s="112"/>
      <c r="E206" s="36"/>
      <c r="K206" s="8"/>
      <c r="L206" s="8"/>
      <c r="M206" s="8"/>
      <c r="N206" s="29"/>
      <c r="O206" s="29"/>
      <c r="P206" s="117"/>
      <c r="Q206" s="117"/>
      <c r="R206" s="8"/>
      <c r="S206" s="8"/>
      <c r="T206" s="8"/>
      <c r="U206" s="8"/>
      <c r="V206" s="21"/>
      <c r="W206" s="21"/>
      <c r="X206" s="21"/>
      <c r="Y206" s="21"/>
      <c r="Z206" s="21"/>
      <c r="AA206" s="21"/>
      <c r="AB206" s="21"/>
      <c r="AC206" s="21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424"/>
      <c r="DO206" s="424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8"/>
      <c r="EE206" s="238"/>
      <c r="EF206" s="238"/>
      <c r="EG206" s="238"/>
      <c r="EH206" s="30"/>
      <c r="EI206" s="30"/>
      <c r="EJ206" s="30"/>
      <c r="EK206" s="30"/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W206" s="30"/>
      <c r="EX206" s="30"/>
      <c r="EY206" s="30"/>
      <c r="EZ206" s="30"/>
      <c r="FA206" s="30"/>
      <c r="FB206" s="30"/>
    </row>
    <row r="207" spans="1:158" s="7" customFormat="1" ht="14.25" customHeight="1" outlineLevel="2">
      <c r="A207" s="2"/>
      <c r="C207" s="104"/>
      <c r="D207" s="112"/>
      <c r="E207" s="36"/>
      <c r="K207" s="8"/>
      <c r="L207" s="8"/>
      <c r="M207" s="8"/>
      <c r="N207" s="29"/>
      <c r="O207" s="29"/>
      <c r="P207" s="117"/>
      <c r="Q207" s="117"/>
      <c r="R207" s="8"/>
      <c r="S207" s="8"/>
      <c r="T207" s="8"/>
      <c r="U207" s="8"/>
      <c r="V207" s="21"/>
      <c r="W207" s="21"/>
      <c r="X207" s="21"/>
      <c r="Y207" s="21"/>
      <c r="Z207" s="21"/>
      <c r="AA207" s="21"/>
      <c r="AB207" s="21"/>
      <c r="AC207" s="21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424"/>
      <c r="DO207" s="424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8"/>
      <c r="EE207" s="238"/>
      <c r="EF207" s="238"/>
      <c r="EG207" s="238"/>
      <c r="EH207" s="30"/>
      <c r="EI207" s="30"/>
      <c r="EJ207" s="30"/>
      <c r="EK207" s="30"/>
      <c r="EL207" s="30"/>
      <c r="EM207" s="30"/>
      <c r="EN207" s="30"/>
      <c r="EO207" s="30"/>
      <c r="EP207" s="30"/>
      <c r="EQ207" s="30"/>
      <c r="ER207" s="30"/>
      <c r="ES207" s="30"/>
      <c r="ET207" s="30"/>
      <c r="EU207" s="30"/>
      <c r="EW207" s="30"/>
      <c r="EX207" s="30"/>
      <c r="EY207" s="30"/>
      <c r="EZ207" s="30"/>
      <c r="FA207" s="30"/>
      <c r="FB207" s="30"/>
    </row>
    <row r="208" spans="1:158" s="7" customFormat="1" ht="14.25" customHeight="1" outlineLevel="2">
      <c r="A208" s="2"/>
      <c r="C208" s="30" t="s">
        <v>210</v>
      </c>
      <c r="D208" s="109">
        <v>0.02</v>
      </c>
      <c r="E208" s="36"/>
      <c r="N208" s="29"/>
      <c r="O208" s="29"/>
      <c r="P208" s="117"/>
      <c r="Q208" s="117"/>
      <c r="R208" s="8"/>
      <c r="S208" s="8"/>
      <c r="T208" s="8"/>
      <c r="U208" s="8"/>
      <c r="V208" s="21"/>
      <c r="W208" s="21"/>
      <c r="X208" s="21"/>
      <c r="Y208" s="21"/>
      <c r="Z208" s="21"/>
      <c r="AA208" s="21"/>
      <c r="AB208" s="21"/>
      <c r="AC208" s="21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424"/>
      <c r="DO208" s="424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8"/>
      <c r="EE208" s="238"/>
      <c r="EF208" s="238"/>
      <c r="EG208" s="238"/>
      <c r="EH208" s="30"/>
      <c r="EI208" s="30"/>
      <c r="EJ208" s="30"/>
      <c r="EK208" s="30"/>
      <c r="EL208" s="30"/>
      <c r="EM208" s="30"/>
      <c r="EN208" s="30"/>
      <c r="EO208" s="30"/>
      <c r="EP208" s="30"/>
      <c r="EQ208" s="30"/>
      <c r="ER208" s="30"/>
      <c r="ES208" s="30"/>
      <c r="ET208" s="30"/>
      <c r="EU208" s="30"/>
      <c r="EW208" s="30"/>
      <c r="EX208" s="30"/>
      <c r="EY208" s="30"/>
      <c r="EZ208" s="30"/>
      <c r="FA208" s="30"/>
      <c r="FB208" s="30"/>
    </row>
    <row r="209" spans="1:158" s="7" customFormat="1" ht="14.25" customHeight="1" outlineLevel="2">
      <c r="A209" s="2"/>
      <c r="C209" s="101">
        <f>C202*$D208^2/$V$24*1000</f>
        <v>-8.8098954201562801E-2</v>
      </c>
      <c r="D209" s="101">
        <f>D202*$D208^2/$V$24*1000</f>
        <v>1.6802128504262982E-2</v>
      </c>
      <c r="E209" s="101">
        <f>E202*$D208^2/$V$24*1000</f>
        <v>-7.1296825697299809E-2</v>
      </c>
      <c r="F209" s="7" t="s">
        <v>1053</v>
      </c>
      <c r="N209" s="29"/>
      <c r="O209" s="29"/>
      <c r="P209" s="117"/>
      <c r="Q209" s="117"/>
      <c r="R209" s="8"/>
      <c r="S209" s="8"/>
      <c r="T209" s="8"/>
      <c r="U209" s="8"/>
      <c r="V209" s="21"/>
      <c r="W209" s="21"/>
      <c r="X209" s="21"/>
      <c r="Y209" s="21"/>
      <c r="Z209" s="21"/>
      <c r="AA209" s="21"/>
      <c r="AB209" s="21"/>
      <c r="AC209" s="21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424"/>
      <c r="DO209" s="424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8"/>
      <c r="EE209" s="238"/>
      <c r="EF209" s="238"/>
      <c r="EG209" s="238"/>
      <c r="EH209" s="30"/>
      <c r="EI209" s="30"/>
      <c r="EJ209" s="30"/>
      <c r="EK209" s="30"/>
      <c r="EL209" s="30"/>
      <c r="EM209" s="30"/>
      <c r="EN209" s="30"/>
      <c r="EO209" s="30"/>
      <c r="EP209" s="30"/>
      <c r="EQ209" s="30"/>
      <c r="ER209" s="30"/>
      <c r="ES209" s="30"/>
      <c r="ET209" s="30"/>
      <c r="EU209" s="30"/>
      <c r="EW209" s="30"/>
      <c r="EX209" s="30"/>
      <c r="EY209" s="30"/>
      <c r="EZ209" s="30"/>
      <c r="FA209" s="30"/>
      <c r="FB209" s="30"/>
    </row>
    <row r="210" spans="1:158" s="7" customFormat="1" ht="14.25" customHeight="1" outlineLevel="2">
      <c r="A210" s="2"/>
      <c r="C210" s="101">
        <f>C203*$D208^2/$V$24*1000</f>
        <v>-6.5247999051542549E-2</v>
      </c>
      <c r="D210" s="101">
        <f>D203*$D208^2/$V$24*1000</f>
        <v>2.7549049155580412E-2</v>
      </c>
      <c r="E210" s="101">
        <f>E203*$D208^2/$V$24*1000</f>
        <v>-3.7698949895962126E-2</v>
      </c>
      <c r="F210" s="7" t="s">
        <v>1054</v>
      </c>
      <c r="N210" s="29"/>
      <c r="O210" s="29"/>
      <c r="P210" s="117"/>
      <c r="Q210" s="117"/>
      <c r="R210" s="8"/>
      <c r="S210" s="8"/>
      <c r="T210" s="8"/>
      <c r="U210" s="8"/>
      <c r="V210" s="21"/>
      <c r="W210" s="21"/>
      <c r="X210" s="21"/>
      <c r="Y210" s="21"/>
      <c r="Z210" s="21"/>
      <c r="AA210" s="21"/>
      <c r="AB210" s="21"/>
      <c r="AC210" s="21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424"/>
      <c r="DO210" s="424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8"/>
      <c r="EE210" s="238"/>
      <c r="EF210" s="238"/>
      <c r="EG210" s="238"/>
      <c r="EH210" s="30"/>
      <c r="EI210" s="30"/>
      <c r="EJ210" s="30"/>
      <c r="EK210" s="30"/>
      <c r="EL210" s="30"/>
      <c r="EM210" s="30"/>
      <c r="EN210" s="30"/>
      <c r="EO210" s="30"/>
      <c r="EP210" s="30"/>
      <c r="EQ210" s="30"/>
      <c r="ER210" s="30"/>
      <c r="ES210" s="30"/>
      <c r="ET210" s="30"/>
      <c r="EU210" s="30"/>
      <c r="EW210" s="30"/>
      <c r="EX210" s="30"/>
      <c r="EY210" s="30"/>
      <c r="EZ210" s="30"/>
      <c r="FA210" s="30"/>
      <c r="FB210" s="30"/>
    </row>
    <row r="211" spans="1:158" s="7" customFormat="1" ht="14.25" customHeight="1" outlineLevel="2">
      <c r="A211" s="2"/>
      <c r="C211" s="101"/>
      <c r="D211" s="101"/>
      <c r="E211" s="101"/>
      <c r="N211" s="29"/>
      <c r="O211" s="29"/>
      <c r="P211" s="117"/>
      <c r="Q211" s="117"/>
      <c r="R211" s="8"/>
      <c r="S211" s="8"/>
      <c r="T211" s="8"/>
      <c r="U211" s="8"/>
      <c r="V211" s="21"/>
      <c r="W211" s="21"/>
      <c r="X211" s="21"/>
      <c r="Y211" s="21"/>
      <c r="Z211" s="21"/>
      <c r="AA211" s="21"/>
      <c r="AB211" s="21"/>
      <c r="AC211" s="21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424"/>
      <c r="DO211" s="424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8"/>
      <c r="EE211" s="238"/>
      <c r="EF211" s="238"/>
      <c r="EG211" s="238"/>
      <c r="EH211" s="30"/>
      <c r="EI211" s="30"/>
      <c r="EJ211" s="30"/>
      <c r="EK211" s="30"/>
      <c r="EL211" s="30"/>
      <c r="EM211" s="30"/>
      <c r="EN211" s="30"/>
      <c r="EO211" s="30"/>
      <c r="EP211" s="30"/>
      <c r="EQ211" s="30"/>
      <c r="ER211" s="30"/>
      <c r="ES211" s="30"/>
      <c r="ET211" s="30"/>
      <c r="EU211" s="30"/>
      <c r="EW211" s="30"/>
      <c r="EX211" s="30"/>
      <c r="EY211" s="30"/>
      <c r="EZ211" s="30"/>
      <c r="FA211" s="30"/>
      <c r="FB211" s="30"/>
    </row>
    <row r="212" spans="1:158" s="7" customFormat="1" ht="14.25" customHeight="1" outlineLevel="2">
      <c r="A212" s="2"/>
      <c r="C212" s="30" t="s">
        <v>211</v>
      </c>
      <c r="D212" s="109">
        <v>5.0000000000000001E-3</v>
      </c>
      <c r="E212" s="36"/>
      <c r="K212" s="36"/>
      <c r="L212" s="36"/>
      <c r="M212" s="36"/>
      <c r="N212" s="29"/>
      <c r="O212" s="29"/>
      <c r="P212" s="117"/>
      <c r="Q212" s="117"/>
      <c r="R212" s="8"/>
      <c r="S212" s="8"/>
      <c r="T212" s="8"/>
      <c r="U212" s="8"/>
      <c r="V212" s="21"/>
      <c r="W212" s="21"/>
      <c r="X212" s="21"/>
      <c r="Y212" s="21"/>
      <c r="Z212" s="21"/>
      <c r="AA212" s="21"/>
      <c r="AB212" s="21"/>
      <c r="AC212" s="21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424"/>
      <c r="DO212" s="424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8"/>
      <c r="EE212" s="238"/>
      <c r="EF212" s="238"/>
      <c r="EG212" s="238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W212" s="30"/>
      <c r="EX212" s="30"/>
      <c r="EY212" s="30"/>
      <c r="EZ212" s="30"/>
      <c r="FA212" s="30"/>
      <c r="FB212" s="30"/>
    </row>
    <row r="213" spans="1:158" s="7" customFormat="1" ht="14.25" customHeight="1" outlineLevel="2">
      <c r="A213" s="2"/>
      <c r="C213" s="101">
        <f>C203*$D212^2/$Z$24*1000</f>
        <v>-5.6733328979971527E-2</v>
      </c>
      <c r="D213" s="101">
        <f>D203*$D212^2/$Z$24*1000</f>
        <v>2.3953980069094553E-2</v>
      </c>
      <c r="E213" s="101">
        <f>E203*$D212^2/$Z$24*1000</f>
        <v>-3.2779348910876971E-2</v>
      </c>
      <c r="F213" s="7" t="s">
        <v>1053</v>
      </c>
      <c r="N213" s="29"/>
      <c r="O213" s="29"/>
      <c r="P213" s="117"/>
      <c r="Q213" s="117"/>
      <c r="R213" s="8"/>
      <c r="S213" s="8"/>
      <c r="T213" s="8"/>
      <c r="U213" s="8"/>
      <c r="V213" s="21"/>
      <c r="W213" s="21"/>
      <c r="X213" s="21"/>
      <c r="Y213" s="21"/>
      <c r="Z213" s="21"/>
      <c r="AA213" s="21"/>
      <c r="AB213" s="21"/>
      <c r="AC213" s="21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424"/>
      <c r="DO213" s="424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8"/>
      <c r="EE213" s="238"/>
      <c r="EF213" s="238"/>
      <c r="EG213" s="238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W213" s="30"/>
      <c r="EX213" s="30"/>
      <c r="EY213" s="30"/>
      <c r="EZ213" s="30"/>
      <c r="FA213" s="30"/>
      <c r="FB213" s="30"/>
    </row>
    <row r="214" spans="1:158" s="7" customFormat="1" ht="14.25" customHeight="1" outlineLevel="2">
      <c r="A214" s="2"/>
      <c r="C214" s="101">
        <f>C204*$D212^2/$Z$24*1000</f>
        <v>-4.9702524558422799E-2</v>
      </c>
      <c r="D214" s="101">
        <f>D204*$D212^2/$Z$24*1000</f>
        <v>1.4953976889379973E-2</v>
      </c>
      <c r="E214" s="101">
        <f>E204*$D212^2/$Z$24*1000</f>
        <v>-3.4748547669042819E-2</v>
      </c>
      <c r="F214" s="7" t="s">
        <v>1054</v>
      </c>
      <c r="N214" s="29"/>
      <c r="O214" s="29"/>
      <c r="P214" s="117"/>
      <c r="Q214" s="117"/>
      <c r="R214" s="8"/>
      <c r="S214" s="8"/>
      <c r="T214" s="8"/>
      <c r="U214" s="8"/>
      <c r="V214" s="21"/>
      <c r="W214" s="21"/>
      <c r="X214" s="21"/>
      <c r="Y214" s="21"/>
      <c r="Z214" s="21"/>
      <c r="AA214" s="21"/>
      <c r="AB214" s="21"/>
      <c r="AC214" s="21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424"/>
      <c r="DO214" s="424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8"/>
      <c r="EE214" s="238"/>
      <c r="EF214" s="238"/>
      <c r="EG214" s="238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W214" s="30"/>
      <c r="EX214" s="30"/>
      <c r="EY214" s="30"/>
      <c r="EZ214" s="30"/>
      <c r="FA214" s="30"/>
      <c r="FB214" s="30"/>
    </row>
    <row r="215" spans="1:158" s="7" customFormat="1" ht="14.25" customHeight="1" outlineLevel="2">
      <c r="A215" s="2"/>
      <c r="C215" s="25"/>
      <c r="D215" s="112"/>
      <c r="E215" s="112"/>
      <c r="F215" s="112"/>
      <c r="G215" s="17"/>
      <c r="H215" s="17"/>
      <c r="I215" s="17"/>
      <c r="J215" s="17"/>
      <c r="K215" s="8"/>
      <c r="L215" s="8"/>
      <c r="M215" s="8"/>
      <c r="N215" s="29"/>
      <c r="O215" s="29"/>
      <c r="P215" s="117"/>
      <c r="Q215" s="117"/>
      <c r="R215" s="8"/>
      <c r="S215" s="8"/>
      <c r="T215" s="8"/>
      <c r="U215" s="8"/>
      <c r="V215" s="21"/>
      <c r="W215" s="21"/>
      <c r="X215" s="21"/>
      <c r="Y215" s="21"/>
      <c r="Z215" s="21"/>
      <c r="AA215" s="21"/>
      <c r="AB215" s="21"/>
      <c r="AC215" s="21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424"/>
      <c r="DO215" s="424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8"/>
      <c r="EE215" s="238"/>
      <c r="EF215" s="238"/>
      <c r="EG215" s="238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W215" s="30"/>
      <c r="EX215" s="30"/>
      <c r="EY215" s="30"/>
      <c r="EZ215" s="30"/>
      <c r="FA215" s="30"/>
      <c r="FB215" s="30"/>
    </row>
    <row r="216" spans="1:158" s="7" customFormat="1" ht="14.25" customHeight="1" outlineLevel="1" collapsed="1">
      <c r="A216" s="2"/>
      <c r="C216" s="104" t="s">
        <v>620</v>
      </c>
      <c r="D216" s="112"/>
      <c r="E216" s="112"/>
      <c r="F216" s="112"/>
      <c r="G216" s="17"/>
      <c r="H216" s="17"/>
      <c r="I216" s="17"/>
      <c r="J216" s="17"/>
      <c r="K216" s="8"/>
      <c r="L216" s="8"/>
      <c r="M216" s="8"/>
      <c r="N216" s="29"/>
      <c r="O216" s="29"/>
      <c r="P216" s="117"/>
      <c r="Q216" s="117"/>
      <c r="R216" s="8"/>
      <c r="S216" s="8"/>
      <c r="T216" s="8"/>
      <c r="U216" s="8"/>
      <c r="V216" s="21"/>
      <c r="W216" s="21"/>
      <c r="X216" s="21"/>
      <c r="Y216" s="21"/>
      <c r="Z216" s="21"/>
      <c r="AA216" s="21"/>
      <c r="AB216" s="21"/>
      <c r="AC216" s="21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424"/>
      <c r="DO216" s="424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8"/>
      <c r="EE216" s="238"/>
      <c r="EF216" s="238"/>
      <c r="EG216" s="238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W216" s="30"/>
      <c r="EX216" s="30"/>
      <c r="EY216" s="30"/>
      <c r="EZ216" s="30"/>
      <c r="FA216" s="30"/>
      <c r="FB216" s="30"/>
    </row>
    <row r="217" spans="1:158" s="7" customFormat="1" ht="14.25" hidden="1" customHeight="1" outlineLevel="2">
      <c r="A217" s="2"/>
      <c r="C217" s="25"/>
      <c r="D217" s="112"/>
      <c r="E217" s="112"/>
      <c r="F217" s="112"/>
      <c r="G217" s="17"/>
      <c r="H217" s="17"/>
      <c r="I217" s="17"/>
      <c r="J217" s="17"/>
      <c r="K217" s="8"/>
      <c r="L217" s="8"/>
      <c r="M217" s="8"/>
      <c r="N217" s="29"/>
      <c r="O217" s="29"/>
      <c r="P217" s="117"/>
      <c r="Q217" s="117"/>
      <c r="R217" s="8"/>
      <c r="S217" s="8"/>
      <c r="T217" s="8"/>
      <c r="U217" s="8"/>
      <c r="V217" s="21"/>
      <c r="W217" s="21"/>
      <c r="X217" s="21"/>
      <c r="Y217" s="21"/>
      <c r="Z217" s="21"/>
      <c r="AA217" s="21"/>
      <c r="AB217" s="21"/>
      <c r="AC217" s="21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424"/>
      <c r="DO217" s="424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8"/>
      <c r="EE217" s="238"/>
      <c r="EF217" s="238"/>
      <c r="EG217" s="238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W217" s="30"/>
      <c r="EX217" s="30"/>
      <c r="EY217" s="30"/>
      <c r="EZ217" s="30"/>
      <c r="FA217" s="30"/>
      <c r="FB217" s="30"/>
    </row>
    <row r="218" spans="1:158" s="7" customFormat="1" ht="14.25" hidden="1" customHeight="1" outlineLevel="2">
      <c r="A218" s="2"/>
      <c r="C218" s="483" t="s">
        <v>621</v>
      </c>
      <c r="D218" s="344" t="s">
        <v>622</v>
      </c>
      <c r="E218" s="344" t="s">
        <v>625</v>
      </c>
      <c r="F218" s="344" t="s">
        <v>109</v>
      </c>
      <c r="G218" s="17" t="s">
        <v>624</v>
      </c>
      <c r="H218" s="17" t="s">
        <v>623</v>
      </c>
      <c r="I218" s="17"/>
      <c r="J218" s="17"/>
      <c r="K218" s="8"/>
      <c r="L218" s="8"/>
      <c r="M218" s="8"/>
      <c r="N218" s="29"/>
      <c r="O218" s="29"/>
      <c r="P218" s="117"/>
      <c r="Q218" s="117"/>
      <c r="R218" s="8"/>
      <c r="S218" s="8"/>
      <c r="T218" s="8"/>
      <c r="U218" s="8"/>
      <c r="V218" s="21"/>
      <c r="W218" s="21"/>
      <c r="X218" s="21"/>
      <c r="Y218" s="21"/>
      <c r="Z218" s="21"/>
      <c r="AA218" s="21"/>
      <c r="AB218" s="21"/>
      <c r="AC218" s="21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424"/>
      <c r="DO218" s="424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8"/>
      <c r="EE218" s="238"/>
      <c r="EF218" s="238"/>
      <c r="EG218" s="238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W218" s="30"/>
      <c r="EX218" s="30"/>
      <c r="EY218" s="30"/>
      <c r="EZ218" s="30"/>
      <c r="FA218" s="30"/>
      <c r="FB218" s="30"/>
    </row>
    <row r="219" spans="1:158" s="7" customFormat="1" ht="14.25" hidden="1" customHeight="1" outlineLevel="2">
      <c r="A219" s="2"/>
      <c r="C219" s="483">
        <v>0</v>
      </c>
      <c r="D219" s="344">
        <v>2</v>
      </c>
      <c r="E219" s="487">
        <f>INT(C219*$E$173+D219*$E$174+0.5)</f>
        <v>2</v>
      </c>
      <c r="F219" s="344">
        <v>2</v>
      </c>
      <c r="G219" s="239">
        <f>$D$149*IF($E$6="P",IMABS($AA219),2*ABS(IMREAL($AA219)))</f>
        <v>546.59765503214396</v>
      </c>
      <c r="H219" s="17">
        <f>IF($E$6="P",IMARGUMENT( $AA219),0)</f>
        <v>0</v>
      </c>
      <c r="I219" s="112"/>
      <c r="J219" s="32"/>
      <c r="K219" s="8"/>
      <c r="L219" s="8"/>
      <c r="M219" s="8"/>
      <c r="N219" s="29"/>
      <c r="O219" s="29"/>
      <c r="P219" s="117"/>
      <c r="Q219" s="117"/>
      <c r="R219" s="8"/>
      <c r="S219" s="8"/>
      <c r="T219" s="8"/>
      <c r="U219" s="8"/>
      <c r="V219" s="21"/>
      <c r="W219" s="21"/>
      <c r="X219" s="21"/>
      <c r="Y219" s="21"/>
      <c r="Z219" s="21"/>
      <c r="AA219" s="21" t="str">
        <f>$EW94</f>
        <v>17.0811767197545+0.654752347001366i</v>
      </c>
      <c r="AB219" s="272"/>
      <c r="AC219" s="272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424"/>
      <c r="DO219" s="424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8"/>
      <c r="EE219" s="238"/>
      <c r="EF219" s="238"/>
      <c r="EG219" s="238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W219" s="30"/>
      <c r="EX219" s="30"/>
      <c r="EY219" s="30"/>
      <c r="EZ219" s="30"/>
      <c r="FA219" s="30"/>
      <c r="FB219" s="30"/>
    </row>
    <row r="220" spans="1:158" s="7" customFormat="1" ht="14.25" hidden="1" customHeight="1" outlineLevel="2">
      <c r="A220" s="2"/>
      <c r="C220" s="483">
        <v>2</v>
      </c>
      <c r="D220" s="344">
        <v>0</v>
      </c>
      <c r="E220" s="487">
        <f>INT(C220*$E$173+D220*$E$174+0.5)</f>
        <v>5</v>
      </c>
      <c r="F220" s="344">
        <v>5</v>
      </c>
      <c r="G220" s="239">
        <f>$D$149*IF($E$6="P",IMABS($AA220),2*ABS(IMREAL($AA220)))</f>
        <v>1641.5810200251904</v>
      </c>
      <c r="H220" s="17">
        <f>IF($E$6="P",IMARGUMENT( $AA220),0)</f>
        <v>0</v>
      </c>
      <c r="I220" s="17"/>
      <c r="J220" s="17"/>
      <c r="K220" s="8"/>
      <c r="L220" s="8"/>
      <c r="M220" s="8"/>
      <c r="N220" s="29"/>
      <c r="O220" s="29"/>
      <c r="P220" s="117"/>
      <c r="Q220" s="117"/>
      <c r="R220" s="8"/>
      <c r="S220" s="8"/>
      <c r="T220" s="8"/>
      <c r="U220" s="8"/>
      <c r="V220" s="21"/>
      <c r="W220" s="21"/>
      <c r="X220" s="21"/>
      <c r="Y220" s="21"/>
      <c r="Z220" s="21"/>
      <c r="AA220" s="21" t="str">
        <f>$EX94</f>
        <v>51.2994068757872+8.40052520945214i</v>
      </c>
      <c r="AB220" s="272"/>
      <c r="AC220" s="272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424"/>
      <c r="DO220" s="424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8"/>
      <c r="EE220" s="238"/>
      <c r="EF220" s="238"/>
      <c r="EG220" s="238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W220" s="30"/>
      <c r="EX220" s="30"/>
      <c r="EY220" s="30"/>
      <c r="EZ220" s="30"/>
      <c r="FA220" s="30"/>
      <c r="FB220" s="30"/>
    </row>
    <row r="221" spans="1:158" s="7" customFormat="1" ht="14.25" hidden="1" customHeight="1" outlineLevel="2">
      <c r="A221" s="2"/>
      <c r="C221" s="483">
        <v>3</v>
      </c>
      <c r="D221" s="344">
        <v>0</v>
      </c>
      <c r="E221" s="487">
        <f>INT(C221*$E$173+D221*$E$174+0.5)</f>
        <v>7</v>
      </c>
      <c r="F221" s="344">
        <v>14</v>
      </c>
      <c r="G221" s="239">
        <f>$D$149*IF($E$6="P",IMABS($AA221),2*ABS(IMREAL($AA221)))</f>
        <v>11289.139011777312</v>
      </c>
      <c r="H221" s="17">
        <f>IF($E$6="P",IMARGUMENT( $AA221),0)</f>
        <v>0</v>
      </c>
      <c r="I221" s="17"/>
      <c r="J221" s="17"/>
      <c r="K221" s="8"/>
      <c r="L221" s="8"/>
      <c r="M221" s="8"/>
      <c r="N221" s="29"/>
      <c r="O221" s="29"/>
      <c r="P221" s="117"/>
      <c r="Q221" s="117"/>
      <c r="R221" s="8"/>
      <c r="S221" s="8"/>
      <c r="T221" s="8"/>
      <c r="U221" s="8"/>
      <c r="V221" s="21"/>
      <c r="W221" s="21"/>
      <c r="X221" s="21"/>
      <c r="Y221" s="21"/>
      <c r="Z221" s="21"/>
      <c r="AA221" s="21" t="str">
        <f>$EY94</f>
        <v>352.785594118041+67.8971430062253i</v>
      </c>
      <c r="AB221" s="272"/>
      <c r="AC221" s="272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424"/>
      <c r="DO221" s="424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8"/>
      <c r="EE221" s="238"/>
      <c r="EF221" s="238"/>
      <c r="EG221" s="238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W221" s="30"/>
      <c r="EX221" s="30"/>
      <c r="EY221" s="30"/>
      <c r="EZ221" s="30"/>
      <c r="FA221" s="30"/>
      <c r="FB221" s="30"/>
    </row>
    <row r="222" spans="1:158" s="7" customFormat="1" ht="14.25" hidden="1" customHeight="1" outlineLevel="2">
      <c r="A222" s="2"/>
      <c r="C222" s="483">
        <v>1</v>
      </c>
      <c r="D222" s="344">
        <v>-2</v>
      </c>
      <c r="E222" s="487">
        <f>INT(C222*$E$173+D222*$E$174+0.5)</f>
        <v>0</v>
      </c>
      <c r="F222" s="344">
        <v>-1</v>
      </c>
      <c r="G222" s="239">
        <f>$D$149*IF($E$6="P",IMABS($AA222),2*ABS(IMREAL($AA222)))</f>
        <v>2482.2561922533791</v>
      </c>
      <c r="H222" s="17">
        <f>IF($E$6="P",IMARGUMENT( $AA222),0)</f>
        <v>0</v>
      </c>
      <c r="I222" s="17"/>
      <c r="J222" s="17"/>
      <c r="K222" s="8"/>
      <c r="L222" s="8"/>
      <c r="M222" s="8"/>
      <c r="N222" s="29"/>
      <c r="O222" s="29"/>
      <c r="P222" s="117"/>
      <c r="Q222" s="117"/>
      <c r="R222" s="8"/>
      <c r="S222" s="8"/>
      <c r="T222" s="8"/>
      <c r="U222" s="8"/>
      <c r="V222" s="21"/>
      <c r="W222" s="21"/>
      <c r="X222" s="21"/>
      <c r="Y222" s="21"/>
      <c r="Z222" s="21"/>
      <c r="AA222" s="21" t="str">
        <f>$EZ94</f>
        <v>77.5705060079181+139.708233909496i</v>
      </c>
      <c r="AB222" s="272"/>
      <c r="AC222" s="272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424"/>
      <c r="DO222" s="424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8"/>
      <c r="EE222" s="238"/>
      <c r="EF222" s="238"/>
      <c r="EG222" s="238"/>
      <c r="EH222" s="30"/>
      <c r="EI222" s="30"/>
      <c r="EJ222" s="30"/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W222" s="30"/>
      <c r="EX222" s="30"/>
      <c r="EY222" s="30"/>
      <c r="EZ222" s="30"/>
      <c r="FA222" s="30"/>
      <c r="FB222" s="30"/>
    </row>
    <row r="223" spans="1:158" s="7" customFormat="1" ht="14.25" hidden="1" customHeight="1" outlineLevel="2">
      <c r="A223" s="2"/>
      <c r="C223" s="483">
        <v>1</v>
      </c>
      <c r="D223" s="344">
        <v>2</v>
      </c>
      <c r="E223" s="487">
        <f>INT(C223*$E$173+D223*$E$174+0.5)</f>
        <v>4</v>
      </c>
      <c r="F223" s="344">
        <v>10</v>
      </c>
      <c r="G223" s="239">
        <f>$D$149*IF($E$6="P",IMABS($AA223),2*ABS(IMREAL($AA223)))</f>
        <v>5981.9218586920961</v>
      </c>
      <c r="H223" s="17">
        <f>IF($E$6="P",IMARGUMENT( $AA223),0)</f>
        <v>0</v>
      </c>
      <c r="I223" s="17"/>
      <c r="J223" s="17"/>
      <c r="K223" s="8"/>
      <c r="L223" s="8"/>
      <c r="M223" s="8"/>
      <c r="N223" s="29"/>
      <c r="O223" s="29"/>
      <c r="P223" s="117"/>
      <c r="Q223" s="117"/>
      <c r="R223" s="8"/>
      <c r="S223" s="8"/>
      <c r="T223" s="8"/>
      <c r="U223" s="8"/>
      <c r="V223" s="21"/>
      <c r="W223" s="21"/>
      <c r="X223" s="21"/>
      <c r="Y223" s="21"/>
      <c r="Z223" s="21"/>
      <c r="AA223" s="21" t="str">
        <f>$FA94</f>
        <v>-186.935058084128+222.058499485466i</v>
      </c>
      <c r="AB223" s="272"/>
      <c r="AC223" s="272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424"/>
      <c r="DO223" s="424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8"/>
      <c r="EE223" s="238"/>
      <c r="EF223" s="238"/>
      <c r="EG223" s="238"/>
      <c r="EH223" s="30"/>
      <c r="EI223" s="30"/>
      <c r="EJ223" s="30"/>
      <c r="EK223" s="30"/>
      <c r="EL223" s="30"/>
      <c r="EM223" s="30"/>
      <c r="EN223" s="30"/>
      <c r="EO223" s="30"/>
      <c r="EP223" s="30"/>
      <c r="EQ223" s="30"/>
      <c r="ER223" s="30"/>
      <c r="ES223" s="30"/>
      <c r="ET223" s="30"/>
      <c r="EU223" s="30"/>
      <c r="EW223" s="30"/>
      <c r="EX223" s="30"/>
      <c r="EY223" s="30"/>
      <c r="EZ223" s="30"/>
      <c r="FA223" s="30"/>
      <c r="FB223" s="30"/>
    </row>
    <row r="224" spans="1:158" s="7" customFormat="1" ht="14.25" hidden="1" customHeight="1" outlineLevel="2">
      <c r="A224" s="2"/>
      <c r="C224" s="25"/>
      <c r="D224" s="112"/>
      <c r="E224" s="112"/>
      <c r="F224" s="112"/>
      <c r="G224" s="17"/>
      <c r="H224" s="17"/>
      <c r="I224" s="17"/>
      <c r="J224" s="17"/>
      <c r="K224" s="8"/>
      <c r="L224" s="8"/>
      <c r="M224" s="8"/>
      <c r="N224" s="29"/>
      <c r="O224" s="29"/>
      <c r="P224" s="117"/>
      <c r="Q224" s="117"/>
      <c r="R224" s="8"/>
      <c r="S224" s="8"/>
      <c r="T224" s="8"/>
      <c r="U224" s="8"/>
      <c r="V224" s="21"/>
      <c r="W224" s="21"/>
      <c r="X224" s="21"/>
      <c r="Y224" s="21"/>
      <c r="Z224" s="21"/>
      <c r="AA224" s="21"/>
      <c r="AB224" s="21"/>
      <c r="AC224" s="21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424"/>
      <c r="DO224" s="424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8"/>
      <c r="EE224" s="238"/>
      <c r="EF224" s="238"/>
      <c r="EG224" s="238"/>
      <c r="EH224" s="30"/>
      <c r="EI224" s="30"/>
      <c r="EJ224" s="30"/>
      <c r="EK224" s="30"/>
      <c r="EL224" s="30"/>
      <c r="EM224" s="30"/>
      <c r="EN224" s="30"/>
      <c r="EO224" s="30"/>
      <c r="EP224" s="30"/>
      <c r="EQ224" s="30"/>
      <c r="ER224" s="30"/>
      <c r="ES224" s="30"/>
      <c r="ET224" s="30"/>
      <c r="EU224" s="30"/>
      <c r="EW224" s="30"/>
      <c r="EX224" s="30"/>
      <c r="EY224" s="30"/>
      <c r="EZ224" s="30"/>
      <c r="FA224" s="30"/>
      <c r="FB224" s="30"/>
    </row>
    <row r="225" spans="1:229" s="7" customFormat="1" ht="14.25" hidden="1" customHeight="1" outlineLevel="2">
      <c r="A225" s="2"/>
      <c r="C225" s="25"/>
      <c r="D225" s="112"/>
      <c r="E225" s="112"/>
      <c r="F225" s="112"/>
      <c r="G225" s="17"/>
      <c r="H225" s="17"/>
      <c r="I225" s="17"/>
      <c r="J225" s="17"/>
      <c r="K225" s="8"/>
      <c r="L225" s="8"/>
      <c r="M225" s="8"/>
      <c r="N225" s="29"/>
      <c r="O225" s="29"/>
      <c r="P225" s="117"/>
      <c r="Q225" s="117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424"/>
      <c r="DO225" s="424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8"/>
      <c r="EE225" s="238"/>
      <c r="EF225" s="238"/>
      <c r="EG225" s="238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W225" s="30"/>
      <c r="EX225" s="30"/>
      <c r="EY225" s="30"/>
      <c r="EZ225" s="30"/>
      <c r="FA225" s="30"/>
      <c r="FB225" s="30"/>
    </row>
    <row r="226" spans="1:229" s="7" customFormat="1" ht="14.25" hidden="1" customHeight="1" outlineLevel="2">
      <c r="A226" s="2"/>
      <c r="C226" s="25"/>
      <c r="D226" s="112"/>
      <c r="E226" s="112"/>
      <c r="F226" s="112"/>
      <c r="G226" s="17"/>
      <c r="H226" s="17"/>
      <c r="I226" s="17"/>
      <c r="J226" s="17"/>
      <c r="K226" s="8"/>
      <c r="L226" s="8"/>
      <c r="M226" s="8"/>
      <c r="N226" s="29"/>
      <c r="O226" s="29"/>
      <c r="P226" s="117"/>
      <c r="Q226" s="117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424"/>
      <c r="DO226" s="424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8"/>
      <c r="EE226" s="238"/>
      <c r="EF226" s="238"/>
      <c r="EG226" s="238"/>
      <c r="EH226" s="30"/>
      <c r="EI226" s="30"/>
      <c r="EJ226" s="30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W226" s="30"/>
      <c r="EX226" s="30"/>
      <c r="EY226" s="30"/>
      <c r="EZ226" s="30"/>
      <c r="FA226" s="30"/>
      <c r="FB226" s="30"/>
    </row>
    <row r="227" spans="1:229" s="2" customFormat="1" ht="15.75" customHeight="1">
      <c r="B227" s="1" t="s">
        <v>935</v>
      </c>
      <c r="D227" s="3"/>
      <c r="N227" s="6"/>
      <c r="O227" s="6"/>
      <c r="P227" s="456"/>
      <c r="Q227" s="456"/>
      <c r="CH227" s="4"/>
      <c r="DN227" s="420"/>
      <c r="DO227" s="420"/>
      <c r="DP227" s="439"/>
      <c r="DQ227" s="439"/>
      <c r="DR227" s="439"/>
      <c r="DS227" s="439"/>
      <c r="DT227" s="439"/>
      <c r="DU227" s="439"/>
      <c r="DV227" s="439"/>
      <c r="DW227" s="439"/>
      <c r="DX227" s="439"/>
      <c r="DY227" s="439"/>
      <c r="DZ227" s="439"/>
      <c r="EA227" s="439"/>
      <c r="EE227" s="337"/>
      <c r="EF227" s="337"/>
      <c r="EG227" s="337"/>
      <c r="EH227" s="338"/>
      <c r="EI227" s="338"/>
      <c r="EJ227" s="338"/>
      <c r="EK227" s="338"/>
      <c r="EL227" s="338"/>
      <c r="EM227" s="338"/>
      <c r="EN227" s="338"/>
      <c r="EO227" s="338"/>
      <c r="EP227" s="338"/>
      <c r="EQ227" s="338"/>
      <c r="ER227" s="338"/>
      <c r="ES227" s="338"/>
      <c r="ET227" s="338"/>
      <c r="EU227" s="338"/>
      <c r="EV227" s="7"/>
      <c r="EW227" s="30"/>
      <c r="EX227" s="30"/>
      <c r="EY227" s="30"/>
      <c r="EZ227" s="30"/>
      <c r="FA227" s="30"/>
      <c r="FB227" s="30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</row>
    <row r="228" spans="1:229" s="7" customFormat="1" ht="15.75" customHeight="1" outlineLevel="1">
      <c r="A228" s="2"/>
      <c r="C228" s="30"/>
      <c r="E228" s="101"/>
      <c r="N228" s="36"/>
      <c r="O228" s="36"/>
      <c r="P228" s="458"/>
      <c r="Q228" s="458"/>
      <c r="DN228" s="356"/>
      <c r="DO228" s="356"/>
      <c r="DP228" s="38"/>
      <c r="DQ228" s="38"/>
      <c r="DR228" s="38"/>
      <c r="DS228" s="38"/>
      <c r="DT228" s="38"/>
      <c r="DU228" s="38"/>
      <c r="DV228" s="38"/>
      <c r="DW228" s="38"/>
      <c r="DX228" s="38"/>
      <c r="DY228" s="38"/>
      <c r="DZ228" s="38"/>
      <c r="EA228" s="38"/>
      <c r="EE228" s="238"/>
      <c r="EF228" s="238"/>
      <c r="EG228" s="238"/>
      <c r="EH228" s="30"/>
      <c r="EI228" s="30"/>
      <c r="EJ228" s="30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W228" s="30"/>
      <c r="EX228" s="30"/>
      <c r="EY228" s="30"/>
      <c r="EZ228" s="30"/>
      <c r="FA228" s="30"/>
      <c r="FB228" s="30"/>
    </row>
    <row r="229" spans="1:229" s="7" customFormat="1" ht="15.75" customHeight="1" outlineLevel="1">
      <c r="A229" s="2"/>
      <c r="C229" s="30"/>
      <c r="E229" s="101"/>
      <c r="G229" s="7" t="s">
        <v>1179</v>
      </c>
      <c r="N229" s="36"/>
      <c r="O229" s="36"/>
      <c r="P229" s="458"/>
      <c r="Q229" s="458"/>
      <c r="DN229" s="356"/>
      <c r="DO229" s="356"/>
      <c r="DP229" s="38"/>
      <c r="DQ229" s="38"/>
      <c r="DR229" s="38"/>
      <c r="DS229" s="38"/>
      <c r="DT229" s="38"/>
      <c r="DU229" s="38"/>
      <c r="DV229" s="38"/>
      <c r="DW229" s="38"/>
      <c r="DX229" s="38"/>
      <c r="DY229" s="38"/>
      <c r="DZ229" s="38"/>
      <c r="EA229" s="38"/>
      <c r="EE229" s="238"/>
      <c r="EF229" s="238"/>
      <c r="EG229" s="238"/>
      <c r="EH229" s="30"/>
      <c r="EI229" s="30"/>
      <c r="EJ229" s="30"/>
      <c r="EK229" s="30"/>
      <c r="EL229" s="30"/>
      <c r="EM229" s="30"/>
      <c r="EN229" s="30"/>
      <c r="EO229" s="30"/>
      <c r="EP229" s="30"/>
      <c r="EQ229" s="30"/>
      <c r="ER229" s="30"/>
      <c r="ES229" s="30"/>
      <c r="ET229" s="30"/>
      <c r="EU229" s="30"/>
      <c r="EW229" s="30"/>
      <c r="EX229" s="30"/>
      <c r="EY229" s="30"/>
      <c r="EZ229" s="30"/>
      <c r="FA229" s="30"/>
      <c r="FB229" s="30"/>
    </row>
    <row r="230" spans="1:229" s="7" customFormat="1" ht="15.75" customHeight="1" outlineLevel="1">
      <c r="A230" s="2"/>
      <c r="C230" s="30"/>
      <c r="E230" s="101"/>
      <c r="G230" s="7" t="s">
        <v>42</v>
      </c>
      <c r="N230" s="36"/>
      <c r="O230" s="36"/>
      <c r="P230" s="458"/>
      <c r="Q230" s="458"/>
      <c r="DN230" s="356"/>
      <c r="DO230" s="356"/>
      <c r="DP230" s="38"/>
      <c r="DQ230" s="38"/>
      <c r="DR230" s="38"/>
      <c r="DS230" s="38"/>
      <c r="DT230" s="38"/>
      <c r="DU230" s="38"/>
      <c r="DV230" s="38"/>
      <c r="DW230" s="38"/>
      <c r="DX230" s="38"/>
      <c r="DY230" s="38"/>
      <c r="DZ230" s="38"/>
      <c r="EA230" s="38"/>
      <c r="EE230" s="238"/>
      <c r="EF230" s="238"/>
      <c r="EG230" s="238"/>
      <c r="EH230" s="30"/>
      <c r="EI230" s="30"/>
      <c r="EJ230" s="30"/>
      <c r="EK230" s="30"/>
      <c r="EL230" s="30"/>
      <c r="EM230" s="30"/>
      <c r="EN230" s="30"/>
      <c r="EO230" s="30"/>
      <c r="EP230" s="30"/>
      <c r="EQ230" s="30"/>
      <c r="ER230" s="30"/>
      <c r="ES230" s="30"/>
      <c r="ET230" s="30"/>
      <c r="EU230" s="30"/>
      <c r="EW230" s="30"/>
      <c r="EX230" s="30"/>
      <c r="EY230" s="30"/>
      <c r="EZ230" s="30"/>
      <c r="FA230" s="30"/>
      <c r="FB230" s="30"/>
    </row>
    <row r="231" spans="1:229" s="7" customFormat="1" ht="15.75" customHeight="1" outlineLevel="1">
      <c r="A231" s="2"/>
      <c r="C231" s="30"/>
      <c r="E231" s="101"/>
      <c r="N231" s="36"/>
      <c r="O231" s="36"/>
      <c r="P231" s="458"/>
      <c r="Q231" s="458"/>
      <c r="DN231" s="356"/>
      <c r="DO231" s="356"/>
      <c r="DP231" s="38"/>
      <c r="DQ231" s="38"/>
      <c r="DR231" s="38"/>
      <c r="DS231" s="38"/>
      <c r="DT231" s="38"/>
      <c r="DU231" s="38"/>
      <c r="DV231" s="38"/>
      <c r="DW231" s="38"/>
      <c r="DX231" s="38"/>
      <c r="DY231" s="38"/>
      <c r="DZ231" s="38"/>
      <c r="EA231" s="38"/>
      <c r="EE231" s="238"/>
      <c r="EF231" s="238"/>
      <c r="EG231" s="238"/>
      <c r="EH231" s="30"/>
      <c r="EI231" s="30"/>
      <c r="EJ231" s="30"/>
      <c r="EK231" s="30"/>
      <c r="EL231" s="30"/>
      <c r="EM231" s="30"/>
      <c r="EN231" s="30"/>
      <c r="EO231" s="30"/>
      <c r="EP231" s="30"/>
      <c r="EQ231" s="30"/>
      <c r="ER231" s="30"/>
      <c r="ES231" s="30"/>
      <c r="ET231" s="30"/>
      <c r="EU231" s="30"/>
      <c r="EW231" s="30"/>
      <c r="EX231" s="30"/>
      <c r="EY231" s="30"/>
      <c r="EZ231" s="30"/>
      <c r="FA231" s="30"/>
      <c r="FB231" s="30"/>
    </row>
    <row r="232" spans="1:229" s="7" customFormat="1" ht="15.75" customHeight="1" outlineLevel="1">
      <c r="A232" s="2"/>
      <c r="C232" s="7" t="s">
        <v>558</v>
      </c>
      <c r="D232" s="30" t="s">
        <v>809</v>
      </c>
      <c r="E232" s="30">
        <f>T_Vrf</f>
        <v>9</v>
      </c>
      <c r="G232" s="7" t="s">
        <v>1103</v>
      </c>
      <c r="N232" s="36"/>
      <c r="O232" s="36"/>
      <c r="P232" s="458"/>
      <c r="Q232" s="458"/>
      <c r="DN232" s="356"/>
      <c r="DO232" s="356"/>
      <c r="DP232" s="38"/>
      <c r="DQ232" s="38"/>
      <c r="DR232" s="38"/>
      <c r="DS232" s="38"/>
      <c r="DT232" s="38"/>
      <c r="DU232" s="38"/>
      <c r="DV232" s="38"/>
      <c r="DW232" s="38"/>
      <c r="DX232" s="38"/>
      <c r="DY232" s="38"/>
      <c r="DZ232" s="38"/>
      <c r="EA232" s="38"/>
      <c r="EE232" s="238"/>
      <c r="EF232" s="238"/>
      <c r="EG232" s="238"/>
      <c r="EH232" s="30"/>
      <c r="EI232" s="30"/>
      <c r="EJ232" s="30"/>
      <c r="EK232" s="30"/>
      <c r="EL232" s="30"/>
      <c r="EM232" s="30"/>
      <c r="EN232" s="30"/>
      <c r="EO232" s="30"/>
      <c r="EP232" s="30"/>
      <c r="EQ232" s="30"/>
      <c r="ER232" s="30"/>
      <c r="ES232" s="30"/>
      <c r="ET232" s="30"/>
      <c r="EU232" s="30"/>
      <c r="EW232" s="30"/>
      <c r="EX232" s="30"/>
      <c r="EY232" s="30"/>
      <c r="EZ232" s="30"/>
      <c r="FA232" s="30"/>
      <c r="FB232" s="30"/>
    </row>
    <row r="233" spans="1:229" s="7" customFormat="1" ht="15.75" customHeight="1" outlineLevel="1">
      <c r="A233" s="2"/>
      <c r="C233" s="7" t="s">
        <v>559</v>
      </c>
      <c r="D233" s="30"/>
      <c r="E233" s="30">
        <f>E8</f>
        <v>992</v>
      </c>
      <c r="G233" s="7" t="s">
        <v>401</v>
      </c>
      <c r="N233" s="36"/>
      <c r="O233" s="36"/>
      <c r="P233" s="458"/>
      <c r="Q233" s="458"/>
      <c r="DN233" s="356"/>
      <c r="DO233" s="356"/>
      <c r="DP233" s="38"/>
      <c r="DQ233" s="38"/>
      <c r="DR233" s="38"/>
      <c r="DS233" s="38"/>
      <c r="DT233" s="38"/>
      <c r="DU233" s="38"/>
      <c r="DV233" s="38"/>
      <c r="DW233" s="38"/>
      <c r="DX233" s="38"/>
      <c r="DY233" s="38"/>
      <c r="DZ233" s="38"/>
      <c r="EA233" s="38"/>
      <c r="EE233" s="238"/>
      <c r="EF233" s="238"/>
      <c r="EG233" s="238"/>
      <c r="EH233" s="30"/>
      <c r="EI233" s="30"/>
      <c r="EJ233" s="30"/>
      <c r="EK233" s="30"/>
      <c r="EL233" s="30"/>
      <c r="EM233" s="30"/>
      <c r="EN233" s="30"/>
      <c r="EO233" s="30"/>
      <c r="EP233" s="30"/>
      <c r="EQ233" s="30"/>
      <c r="ER233" s="30"/>
      <c r="ES233" s="30"/>
      <c r="ET233" s="30"/>
      <c r="EU233" s="30"/>
      <c r="EW233" s="30"/>
      <c r="EX233" s="30"/>
      <c r="EY233" s="30"/>
      <c r="EZ233" s="30"/>
      <c r="FA233" s="30"/>
      <c r="FB233" s="30"/>
    </row>
    <row r="234" spans="1:229" s="7" customFormat="1" ht="15.75" customHeight="1" outlineLevel="1">
      <c r="A234" s="2"/>
      <c r="C234" s="30"/>
      <c r="D234" s="30"/>
      <c r="E234" s="101"/>
      <c r="N234" s="36"/>
      <c r="O234" s="36"/>
      <c r="P234" s="458"/>
      <c r="Q234" s="458"/>
      <c r="DN234" s="356"/>
      <c r="DO234" s="356"/>
      <c r="DP234" s="38"/>
      <c r="DQ234" s="38"/>
      <c r="DR234" s="38"/>
      <c r="DS234" s="38"/>
      <c r="DT234" s="38"/>
      <c r="DU234" s="38"/>
      <c r="DV234" s="38"/>
      <c r="DW234" s="38"/>
      <c r="DX234" s="38"/>
      <c r="DY234" s="38"/>
      <c r="DZ234" s="38"/>
      <c r="EA234" s="38"/>
      <c r="EE234" s="238"/>
      <c r="EF234" s="238"/>
      <c r="EG234" s="238"/>
      <c r="EH234" s="30"/>
      <c r="EI234" s="30"/>
      <c r="EJ234" s="30"/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W234" s="30"/>
      <c r="EX234" s="30"/>
      <c r="EY234" s="30"/>
      <c r="EZ234" s="30"/>
      <c r="FA234" s="30"/>
      <c r="FB234" s="30"/>
    </row>
    <row r="235" spans="1:229" s="7" customFormat="1" ht="15.75" customHeight="1" outlineLevel="1">
      <c r="A235" s="2"/>
      <c r="C235" s="17" t="s">
        <v>525</v>
      </c>
      <c r="D235" s="8"/>
      <c r="E235" s="33">
        <f>E236*0.000003333*D159</f>
        <v>6.0243899009243792E-3</v>
      </c>
      <c r="F235" s="8"/>
      <c r="G235" s="17" t="s">
        <v>966</v>
      </c>
      <c r="H235" s="17"/>
      <c r="I235" s="17"/>
      <c r="J235" s="17"/>
      <c r="K235" s="8"/>
      <c r="L235" s="33">
        <f>1/E235</f>
        <v>165.99191228419005</v>
      </c>
      <c r="M235" s="8">
        <f>166*16</f>
        <v>2656</v>
      </c>
      <c r="N235" s="29"/>
      <c r="O235" s="29"/>
      <c r="P235" s="117"/>
      <c r="Q235" s="117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424"/>
      <c r="DO235" s="424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E235" s="238"/>
      <c r="EF235" s="238"/>
      <c r="EG235" s="238"/>
      <c r="EH235" s="30"/>
      <c r="EI235" s="30"/>
      <c r="EJ235" s="30"/>
      <c r="EK235" s="30"/>
      <c r="EL235" s="30"/>
      <c r="EM235" s="30"/>
      <c r="EN235" s="30"/>
      <c r="EO235" s="30"/>
      <c r="EP235" s="30"/>
      <c r="EQ235" s="30"/>
      <c r="ER235" s="30"/>
      <c r="ES235" s="30"/>
      <c r="ET235" s="30"/>
      <c r="EU235" s="30"/>
      <c r="EW235" s="30"/>
      <c r="EX235" s="30"/>
      <c r="EY235" s="30"/>
      <c r="EZ235" s="30"/>
      <c r="FA235" s="30"/>
      <c r="FB235" s="30"/>
    </row>
    <row r="236" spans="1:229" s="7" customFormat="1" ht="15.75" customHeight="1" outlineLevel="1">
      <c r="A236" s="2"/>
      <c r="C236" s="17" t="s">
        <v>967</v>
      </c>
      <c r="D236" s="8" t="s">
        <v>968</v>
      </c>
      <c r="E236" s="29">
        <f>300/D159*SQRT(D155*E233*E232*1000/2/PI()/CF94*COS(E238/180*PI()))</f>
        <v>2.1406005683175682</v>
      </c>
      <c r="F236" s="8"/>
      <c r="G236" s="17" t="s">
        <v>1126</v>
      </c>
      <c r="H236" s="17"/>
      <c r="I236" s="17"/>
      <c r="J236" s="17"/>
      <c r="K236" s="8"/>
      <c r="L236" s="8"/>
      <c r="M236" s="8"/>
      <c r="N236" s="29"/>
      <c r="O236" s="29"/>
      <c r="P236" s="117"/>
      <c r="Q236" s="117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424"/>
      <c r="DO236" s="424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E236" s="238"/>
      <c r="EF236" s="238"/>
      <c r="EG236" s="238"/>
      <c r="EH236" s="30"/>
      <c r="EI236" s="30"/>
      <c r="EJ236" s="30"/>
      <c r="EK236" s="30"/>
      <c r="EL236" s="30"/>
      <c r="EM236" s="30"/>
      <c r="EN236" s="30"/>
      <c r="EO236" s="30"/>
      <c r="EP236" s="30"/>
      <c r="EQ236" s="30"/>
      <c r="ER236" s="30"/>
      <c r="ES236" s="30"/>
      <c r="ET236" s="30"/>
      <c r="EU236" s="30"/>
      <c r="EW236" s="30"/>
      <c r="EX236" s="30"/>
      <c r="EY236" s="30"/>
      <c r="EZ236" s="30"/>
      <c r="FA236" s="30"/>
      <c r="FB236" s="30"/>
    </row>
    <row r="237" spans="1:229" s="7" customFormat="1" ht="15.75" customHeight="1" outlineLevel="1">
      <c r="A237" s="2"/>
      <c r="C237" s="17" t="s">
        <v>272</v>
      </c>
      <c r="D237" s="8" t="s">
        <v>1127</v>
      </c>
      <c r="E237" s="29">
        <f>E236*D159/300000/E233/D155*100*SQRT(4-2*PI()*(1-2*E238/180)*TAN(E238/180*PI()))</f>
        <v>3.9468092332393261</v>
      </c>
      <c r="F237" s="8"/>
      <c r="G237" s="17" t="s">
        <v>576</v>
      </c>
      <c r="H237" s="17"/>
      <c r="I237" s="17"/>
      <c r="J237" s="17"/>
      <c r="K237" s="8"/>
      <c r="L237" s="8"/>
      <c r="M237" s="8"/>
      <c r="N237" s="29">
        <f>300/D159*SQRT(D155*E233*E232*1000/2/PI()/CF94)</f>
        <v>2.3353316248430951</v>
      </c>
      <c r="O237" s="29"/>
      <c r="P237" s="117"/>
      <c r="Q237" s="117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424"/>
      <c r="DO237" s="424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E237" s="238"/>
      <c r="EF237" s="238"/>
      <c r="EG237" s="238"/>
      <c r="EH237" s="30"/>
      <c r="EI237" s="30"/>
      <c r="EJ237" s="30"/>
      <c r="EK237" s="30"/>
      <c r="EL237" s="30"/>
      <c r="EM237" s="30"/>
      <c r="EN237" s="30"/>
      <c r="EO237" s="30"/>
      <c r="EP237" s="30"/>
      <c r="EQ237" s="30"/>
      <c r="ER237" s="30"/>
      <c r="ES237" s="30"/>
      <c r="ET237" s="30"/>
      <c r="EU237" s="30"/>
      <c r="EW237" s="30"/>
      <c r="EX237" s="30"/>
      <c r="EY237" s="30"/>
      <c r="EZ237" s="30"/>
      <c r="FA237" s="30"/>
      <c r="FB237" s="30"/>
    </row>
    <row r="238" spans="1:229" s="7" customFormat="1" ht="15.75" customHeight="1" outlineLevel="1">
      <c r="A238" s="2"/>
      <c r="C238" s="17" t="s">
        <v>46</v>
      </c>
      <c r="D238" s="8" t="s">
        <v>47</v>
      </c>
      <c r="E238" s="29">
        <f>ASIN(D160*1000/E232/1000)/PI()*180</f>
        <v>32.840497474396699</v>
      </c>
      <c r="F238" s="8"/>
      <c r="G238" s="17" t="s">
        <v>66</v>
      </c>
      <c r="H238" s="17"/>
      <c r="I238" s="17"/>
      <c r="J238" s="17"/>
      <c r="K238" s="8"/>
      <c r="L238" s="8"/>
      <c r="M238" s="8"/>
      <c r="N238" s="29"/>
      <c r="O238" s="29"/>
      <c r="P238" s="117"/>
      <c r="Q238" s="117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424"/>
      <c r="DO238" s="424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E238" s="238"/>
      <c r="EF238" s="238"/>
      <c r="EG238" s="238"/>
      <c r="EH238" s="30"/>
      <c r="EI238" s="30"/>
      <c r="EJ238" s="30"/>
      <c r="EK238" s="30"/>
      <c r="EL238" s="30"/>
      <c r="EM238" s="30"/>
      <c r="EN238" s="30"/>
      <c r="EO238" s="30"/>
      <c r="EP238" s="30"/>
      <c r="EQ238" s="30"/>
      <c r="ER238" s="30"/>
      <c r="ES238" s="30"/>
      <c r="ET238" s="30"/>
      <c r="EU238" s="30"/>
      <c r="EW238" s="30"/>
      <c r="EX238" s="30"/>
      <c r="EY238" s="30"/>
      <c r="EZ238" s="30"/>
      <c r="FA238" s="30"/>
      <c r="FB238" s="30"/>
    </row>
    <row r="239" spans="1:229" s="7" customFormat="1" ht="15.75" customHeight="1" outlineLevel="1">
      <c r="A239" s="2"/>
      <c r="C239" s="17" t="s">
        <v>748</v>
      </c>
      <c r="D239" s="29" t="s">
        <v>290</v>
      </c>
      <c r="E239" s="106">
        <f>D167*D155/2/PI()/E236*1000000000</f>
        <v>14.514949578147865</v>
      </c>
      <c r="F239" s="8"/>
      <c r="G239" s="17" t="s">
        <v>289</v>
      </c>
      <c r="H239" s="17"/>
      <c r="I239" s="17"/>
      <c r="J239" s="17"/>
      <c r="K239" s="8"/>
      <c r="L239" s="8"/>
      <c r="M239" s="8"/>
      <c r="N239" s="29"/>
      <c r="O239" s="29"/>
      <c r="P239" s="117"/>
      <c r="Q239" s="117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424"/>
      <c r="DO239" s="424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E239" s="238"/>
      <c r="EF239" s="238"/>
      <c r="EG239" s="238"/>
      <c r="EH239" s="30"/>
      <c r="EI239" s="30"/>
      <c r="EJ239" s="30"/>
      <c r="EK239" s="30"/>
      <c r="EL239" s="30"/>
      <c r="EM239" s="30"/>
      <c r="EN239" s="30"/>
      <c r="EO239" s="30"/>
      <c r="EP239" s="30"/>
      <c r="EQ239" s="30"/>
      <c r="ER239" s="30"/>
      <c r="ES239" s="30"/>
      <c r="ET239" s="30"/>
      <c r="EU239" s="30"/>
      <c r="EW239" s="30"/>
      <c r="EX239" s="30"/>
      <c r="EY239" s="30"/>
      <c r="EZ239" s="30"/>
      <c r="FA239" s="30"/>
      <c r="FB239" s="30"/>
    </row>
    <row r="240" spans="1:229" s="7" customFormat="1" ht="15.75" customHeight="1" outlineLevel="1">
      <c r="A240" s="2"/>
      <c r="C240" s="17" t="s">
        <v>748</v>
      </c>
      <c r="D240" s="29" t="s">
        <v>34</v>
      </c>
      <c r="E240" s="106">
        <f>E239*300000000/1000000000</f>
        <v>4.3544848734443597</v>
      </c>
      <c r="F240" s="8"/>
      <c r="G240" s="17" t="s">
        <v>289</v>
      </c>
      <c r="H240" s="17"/>
      <c r="I240" s="17"/>
      <c r="J240" s="17"/>
      <c r="K240" s="8"/>
      <c r="L240" s="8"/>
      <c r="M240" s="8"/>
      <c r="N240" s="29"/>
      <c r="O240" s="29"/>
      <c r="P240" s="117"/>
      <c r="Q240" s="117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424"/>
      <c r="DO240" s="424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E240" s="238"/>
      <c r="EF240" s="238"/>
      <c r="EG240" s="238"/>
      <c r="EH240" s="30"/>
      <c r="EI240" s="30"/>
      <c r="EJ240" s="30"/>
      <c r="EK240" s="30"/>
      <c r="EL240" s="30"/>
      <c r="EM240" s="30"/>
      <c r="EN240" s="30"/>
      <c r="EO240" s="30"/>
      <c r="EP240" s="30"/>
      <c r="EQ240" s="30"/>
      <c r="ER240" s="30"/>
      <c r="ES240" s="30"/>
      <c r="ET240" s="30"/>
      <c r="EU240" s="30"/>
      <c r="EW240" s="30"/>
      <c r="EX240" s="30"/>
      <c r="EY240" s="30"/>
      <c r="EZ240" s="30"/>
      <c r="FA240" s="30"/>
      <c r="FB240" s="30"/>
    </row>
    <row r="241" spans="1:229" s="7" customFormat="1" ht="15.75" customHeight="1" outlineLevel="1">
      <c r="A241" s="2"/>
      <c r="C241" s="17" t="s">
        <v>260</v>
      </c>
      <c r="D241" s="29" t="s">
        <v>261</v>
      </c>
      <c r="E241" s="106">
        <f>E239*0.000000000001/100/D167*360*352000000</f>
        <v>17.303387753431998</v>
      </c>
      <c r="F241" s="8"/>
      <c r="G241" s="17" t="s">
        <v>259</v>
      </c>
      <c r="H241" s="17"/>
      <c r="I241" s="17"/>
      <c r="J241" s="17"/>
      <c r="K241" s="8"/>
      <c r="L241" s="8"/>
      <c r="M241" s="8"/>
      <c r="N241" s="29"/>
      <c r="O241" s="29"/>
      <c r="P241" s="117"/>
      <c r="Q241" s="117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424"/>
      <c r="DO241" s="424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E241" s="238"/>
      <c r="EF241" s="238"/>
      <c r="EG241" s="238"/>
      <c r="EH241" s="30"/>
      <c r="EI241" s="30"/>
      <c r="EJ241" s="30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W241" s="30"/>
      <c r="EX241" s="30"/>
      <c r="EY241" s="30"/>
      <c r="EZ241" s="30"/>
      <c r="FA241" s="30"/>
      <c r="FB241" s="30"/>
    </row>
    <row r="242" spans="1:229" s="7" customFormat="1" ht="15.75" customHeight="1" outlineLevel="1">
      <c r="A242" s="2"/>
      <c r="C242" s="17"/>
      <c r="D242" s="29"/>
      <c r="E242" s="106"/>
      <c r="F242" s="8"/>
      <c r="G242" s="17"/>
      <c r="H242" s="17"/>
      <c r="I242" s="17"/>
      <c r="J242" s="17"/>
      <c r="K242" s="8"/>
      <c r="L242" s="8"/>
      <c r="M242" s="8"/>
      <c r="N242" s="29"/>
      <c r="O242" s="29"/>
      <c r="P242" s="117"/>
      <c r="Q242" s="117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424"/>
      <c r="DO242" s="424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E242" s="238"/>
      <c r="EF242" s="238"/>
      <c r="EG242" s="238"/>
      <c r="EH242" s="30"/>
      <c r="EI242" s="30"/>
      <c r="EJ242" s="30"/>
      <c r="EK242" s="30"/>
      <c r="EL242" s="30"/>
      <c r="EM242" s="30"/>
      <c r="EN242" s="30"/>
      <c r="EO242" s="30"/>
      <c r="EP242" s="30"/>
      <c r="EQ242" s="30"/>
      <c r="ER242" s="30"/>
      <c r="ES242" s="30"/>
      <c r="ET242" s="30"/>
      <c r="EU242" s="30"/>
      <c r="EW242" s="30"/>
      <c r="EX242" s="30"/>
      <c r="EY242" s="30"/>
      <c r="EZ242" s="30"/>
      <c r="FA242" s="30"/>
      <c r="FB242" s="30"/>
    </row>
    <row r="243" spans="1:229" s="7" customFormat="1" ht="15.75" customHeight="1" outlineLevel="1">
      <c r="A243" s="2"/>
      <c r="C243" s="17" t="s">
        <v>1060</v>
      </c>
      <c r="D243" s="29" t="s">
        <v>166</v>
      </c>
      <c r="E243" s="106">
        <f>2/SQRT(3)*ABS(D155/D156)*SQRT(2*PI()*E233*D155*T_Energy/E232*1000/COS(E238*PI()/180))/PI()*180</f>
        <v>134.93692698446486</v>
      </c>
      <c r="F243" s="8"/>
      <c r="G243" s="17" t="s">
        <v>524</v>
      </c>
      <c r="H243" s="17"/>
      <c r="I243" s="17"/>
      <c r="J243" s="17"/>
      <c r="K243" s="8"/>
      <c r="L243" s="8"/>
      <c r="M243" s="8"/>
      <c r="N243" s="29"/>
      <c r="O243" s="29"/>
      <c r="P243" s="117"/>
      <c r="Q243" s="117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424"/>
      <c r="DO243" s="424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E243" s="238"/>
      <c r="EF243" s="238"/>
      <c r="EG243" s="238"/>
      <c r="EH243" s="30"/>
      <c r="EI243" s="30"/>
      <c r="EJ243" s="30"/>
      <c r="EK243" s="30"/>
      <c r="EL243" s="30"/>
      <c r="EM243" s="30"/>
      <c r="EN243" s="30"/>
      <c r="EO243" s="30"/>
      <c r="EP243" s="30"/>
      <c r="EQ243" s="30"/>
      <c r="ER243" s="30"/>
      <c r="ES243" s="30"/>
      <c r="ET243" s="30"/>
      <c r="EU243" s="30"/>
      <c r="EW243" s="30"/>
      <c r="EX243" s="30"/>
      <c r="EY243" s="30"/>
      <c r="EZ243" s="30"/>
      <c r="FA243" s="30"/>
      <c r="FB243" s="30"/>
    </row>
    <row r="244" spans="1:229" s="7" customFormat="1" ht="15.75" customHeight="1" outlineLevel="1">
      <c r="A244" s="2"/>
      <c r="C244" s="17" t="s">
        <v>272</v>
      </c>
      <c r="D244" s="8" t="s">
        <v>1127</v>
      </c>
      <c r="E244" s="101">
        <f>ABS(D155/D156)*100</f>
        <v>6.7450032839212675</v>
      </c>
      <c r="G244" s="17" t="s">
        <v>178</v>
      </c>
      <c r="H244" s="17"/>
      <c r="I244" s="17"/>
      <c r="J244" s="17"/>
      <c r="K244" s="8"/>
      <c r="L244" s="8"/>
      <c r="M244" s="8"/>
      <c r="N244" s="29"/>
      <c r="O244" s="29"/>
      <c r="P244" s="117"/>
      <c r="Q244" s="117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424"/>
      <c r="DO244" s="424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E244" s="238"/>
      <c r="EF244" s="238"/>
      <c r="EG244" s="238"/>
      <c r="EH244" s="30"/>
      <c r="EI244" s="30"/>
      <c r="EJ244" s="30"/>
      <c r="EK244" s="30"/>
      <c r="EL244" s="30"/>
      <c r="EM244" s="30"/>
      <c r="EN244" s="30"/>
      <c r="EO244" s="30"/>
      <c r="EP244" s="30"/>
      <c r="EQ244" s="30"/>
      <c r="ER244" s="30"/>
      <c r="ES244" s="30"/>
      <c r="ET244" s="30"/>
      <c r="EU244" s="30"/>
      <c r="EW244" s="30"/>
      <c r="EX244" s="30"/>
      <c r="EY244" s="30"/>
      <c r="EZ244" s="30"/>
      <c r="FA244" s="30"/>
      <c r="FB244" s="30"/>
    </row>
    <row r="245" spans="1:229" s="2" customFormat="1" ht="15.75" customHeight="1" collapsed="1">
      <c r="B245" s="1" t="s">
        <v>713</v>
      </c>
      <c r="D245" s="3"/>
      <c r="N245" s="6"/>
      <c r="O245" s="6"/>
      <c r="P245" s="456"/>
      <c r="Q245" s="456"/>
      <c r="DN245" s="420"/>
      <c r="DO245" s="420"/>
      <c r="DP245" s="439"/>
      <c r="DQ245" s="439"/>
      <c r="DR245" s="439"/>
      <c r="DS245" s="439"/>
      <c r="DT245" s="439"/>
      <c r="DU245" s="439"/>
      <c r="DV245" s="439"/>
      <c r="DW245" s="439"/>
      <c r="DX245" s="439"/>
      <c r="DY245" s="439"/>
      <c r="DZ245" s="439"/>
      <c r="EA245" s="439"/>
      <c r="EE245" s="337"/>
      <c r="EF245" s="337"/>
      <c r="EG245" s="337"/>
      <c r="EH245" s="338"/>
      <c r="EI245" s="338"/>
      <c r="EJ245" s="338"/>
      <c r="EK245" s="338"/>
      <c r="EL245" s="338"/>
      <c r="EM245" s="338"/>
      <c r="EN245" s="338"/>
      <c r="EO245" s="338"/>
      <c r="EP245" s="338"/>
      <c r="EQ245" s="338"/>
      <c r="ER245" s="338"/>
      <c r="ES245" s="338"/>
      <c r="ET245" s="338"/>
      <c r="EU245" s="338"/>
      <c r="EV245" s="7"/>
      <c r="EW245" s="30"/>
      <c r="EX245" s="30"/>
      <c r="EY245" s="30"/>
      <c r="EZ245" s="30"/>
      <c r="FA245" s="30"/>
      <c r="FB245" s="30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</row>
    <row r="246" spans="1:229" s="7" customFormat="1" ht="15.75" hidden="1" customHeight="1" outlineLevel="1">
      <c r="A246" s="2"/>
      <c r="C246" s="104" t="s">
        <v>701</v>
      </c>
      <c r="E246" s="112"/>
      <c r="N246" s="36"/>
      <c r="O246" s="36"/>
      <c r="P246" s="458"/>
      <c r="Q246" s="458"/>
      <c r="DN246" s="356"/>
      <c r="DO246" s="356"/>
      <c r="DP246" s="38"/>
      <c r="DQ246" s="38"/>
      <c r="DR246" s="38"/>
      <c r="DS246" s="38"/>
      <c r="DT246" s="38"/>
      <c r="DU246" s="38"/>
      <c r="DV246" s="38"/>
      <c r="DW246" s="38"/>
      <c r="DX246" s="38"/>
      <c r="DY246" s="38"/>
      <c r="DZ246" s="38"/>
      <c r="EA246" s="38"/>
      <c r="EE246" s="238"/>
      <c r="EF246" s="238"/>
      <c r="EG246" s="238"/>
      <c r="EH246" s="30"/>
      <c r="EI246" s="30"/>
      <c r="EJ246" s="30"/>
      <c r="EK246" s="30"/>
      <c r="EL246" s="30"/>
      <c r="EM246" s="30"/>
      <c r="EN246" s="30"/>
      <c r="EO246" s="30"/>
      <c r="EP246" s="30"/>
      <c r="EQ246" s="30"/>
      <c r="ER246" s="30"/>
      <c r="ES246" s="30"/>
      <c r="ET246" s="30"/>
      <c r="EU246" s="30"/>
      <c r="EW246" s="30"/>
      <c r="EX246" s="30"/>
      <c r="EY246" s="30"/>
      <c r="EZ246" s="30"/>
      <c r="FA246" s="30"/>
      <c r="FB246" s="30"/>
    </row>
    <row r="247" spans="1:229" s="7" customFormat="1" ht="15.75" hidden="1" customHeight="1" outlineLevel="2">
      <c r="A247" s="2"/>
      <c r="C247" s="25"/>
      <c r="E247" s="112"/>
      <c r="N247" s="36"/>
      <c r="O247" s="36"/>
      <c r="P247" s="458"/>
      <c r="Q247" s="458"/>
      <c r="DN247" s="356"/>
      <c r="DO247" s="356"/>
      <c r="DP247" s="38"/>
      <c r="DQ247" s="38"/>
      <c r="DR247" s="38"/>
      <c r="DS247" s="38"/>
      <c r="DT247" s="38"/>
      <c r="DU247" s="38"/>
      <c r="DV247" s="38"/>
      <c r="DW247" s="38"/>
      <c r="DX247" s="38"/>
      <c r="DY247" s="38"/>
      <c r="DZ247" s="38"/>
      <c r="EA247" s="38"/>
      <c r="EE247" s="238"/>
      <c r="EF247" s="238"/>
      <c r="EG247" s="238"/>
      <c r="EH247" s="30"/>
      <c r="EI247" s="30"/>
      <c r="EJ247" s="30"/>
      <c r="EK247" s="30"/>
      <c r="EL247" s="30"/>
      <c r="EM247" s="30"/>
      <c r="EN247" s="30"/>
      <c r="EO247" s="30"/>
      <c r="EP247" s="30"/>
      <c r="EQ247" s="30"/>
      <c r="ER247" s="30"/>
      <c r="ES247" s="30"/>
      <c r="ET247" s="30"/>
      <c r="EU247" s="30"/>
      <c r="EW247" s="30"/>
      <c r="EX247" s="30"/>
      <c r="EY247" s="30"/>
      <c r="EZ247" s="30"/>
      <c r="FA247" s="30"/>
      <c r="FB247" s="30"/>
    </row>
    <row r="248" spans="1:229" s="7" customFormat="1" ht="15.75" hidden="1" customHeight="1" outlineLevel="2" collapsed="1">
      <c r="A248" s="2"/>
      <c r="C248" s="25" t="s">
        <v>882</v>
      </c>
      <c r="E248" s="112"/>
      <c r="N248" s="36"/>
      <c r="O248" s="36"/>
      <c r="P248" s="458"/>
      <c r="Q248" s="458"/>
      <c r="DN248" s="356"/>
      <c r="DO248" s="356"/>
      <c r="DP248" s="38"/>
      <c r="DQ248" s="38"/>
      <c r="DR248" s="38"/>
      <c r="DS248" s="38"/>
      <c r="DT248" s="38"/>
      <c r="DU248" s="38"/>
      <c r="DV248" s="38"/>
      <c r="DW248" s="38"/>
      <c r="DX248" s="38"/>
      <c r="DY248" s="38"/>
      <c r="DZ248" s="38"/>
      <c r="EA248" s="38"/>
      <c r="EE248" s="238"/>
      <c r="EF248" s="238"/>
      <c r="EG248" s="238"/>
      <c r="EH248" s="30"/>
      <c r="EI248" s="30"/>
      <c r="EJ248" s="30"/>
      <c r="EK248" s="30"/>
      <c r="EL248" s="30"/>
      <c r="EM248" s="30"/>
      <c r="EN248" s="30"/>
      <c r="EO248" s="30"/>
      <c r="EP248" s="30"/>
      <c r="EQ248" s="30"/>
      <c r="ER248" s="30"/>
      <c r="ES248" s="30"/>
      <c r="ET248" s="30"/>
      <c r="EU248" s="30"/>
      <c r="EW248" s="30"/>
      <c r="EX248" s="30"/>
      <c r="EY248" s="30"/>
      <c r="EZ248" s="30"/>
      <c r="FA248" s="30"/>
      <c r="FB248" s="30"/>
    </row>
    <row r="249" spans="1:229" s="7" customFormat="1" ht="15.75" hidden="1" customHeight="1" outlineLevel="3">
      <c r="A249" s="2"/>
      <c r="C249" s="25" t="s">
        <v>1142</v>
      </c>
      <c r="D249" s="102"/>
      <c r="E249" s="112"/>
      <c r="N249" s="36"/>
      <c r="O249" s="36"/>
      <c r="P249" s="458"/>
      <c r="Q249" s="458"/>
      <c r="DN249" s="356"/>
      <c r="DO249" s="356"/>
      <c r="DP249" s="38"/>
      <c r="DQ249" s="38"/>
      <c r="DR249" s="38"/>
      <c r="DS249" s="38"/>
      <c r="DT249" s="38"/>
      <c r="DU249" s="38"/>
      <c r="DV249" s="38"/>
      <c r="DW249" s="38"/>
      <c r="DX249" s="38"/>
      <c r="DY249" s="38"/>
      <c r="DZ249" s="38"/>
      <c r="EA249" s="38"/>
      <c r="EE249" s="238"/>
      <c r="EF249" s="238"/>
      <c r="EG249" s="238"/>
      <c r="EH249" s="30"/>
      <c r="EI249" s="30"/>
      <c r="EJ249" s="30"/>
      <c r="EK249" s="30"/>
      <c r="EL249" s="30"/>
      <c r="EM249" s="30"/>
      <c r="EN249" s="30"/>
      <c r="EO249" s="30"/>
      <c r="EP249" s="30"/>
      <c r="EQ249" s="30"/>
      <c r="ER249" s="30"/>
      <c r="ES249" s="30"/>
      <c r="ET249" s="30"/>
      <c r="EU249" s="30"/>
      <c r="EW249" s="30"/>
      <c r="EX249" s="30"/>
      <c r="EY249" s="30"/>
      <c r="EZ249" s="30"/>
      <c r="FA249" s="30"/>
      <c r="FB249" s="30"/>
    </row>
    <row r="250" spans="1:229" s="7" customFormat="1" ht="15.75" hidden="1" customHeight="1" outlineLevel="3">
      <c r="A250" s="2"/>
      <c r="C250" s="25" t="s">
        <v>1159</v>
      </c>
      <c r="N250" s="36"/>
      <c r="O250" s="36"/>
      <c r="P250" s="458"/>
      <c r="Q250" s="458"/>
      <c r="DN250" s="356"/>
      <c r="DO250" s="356"/>
      <c r="DP250" s="38"/>
      <c r="DQ250" s="38"/>
      <c r="DR250" s="38"/>
      <c r="DS250" s="38"/>
      <c r="DT250" s="38"/>
      <c r="DU250" s="38"/>
      <c r="DV250" s="38"/>
      <c r="DW250" s="38"/>
      <c r="DX250" s="38"/>
      <c r="DY250" s="38"/>
      <c r="DZ250" s="38"/>
      <c r="EA250" s="38"/>
      <c r="EE250" s="238"/>
      <c r="EF250" s="238"/>
      <c r="EG250" s="238"/>
      <c r="EH250" s="30"/>
      <c r="EI250" s="30"/>
      <c r="EJ250" s="30"/>
      <c r="EK250" s="30"/>
      <c r="EL250" s="30"/>
      <c r="EM250" s="30"/>
      <c r="EN250" s="30"/>
      <c r="EO250" s="30"/>
      <c r="EP250" s="30"/>
      <c r="EQ250" s="30"/>
      <c r="ER250" s="30"/>
      <c r="ES250" s="30"/>
      <c r="ET250" s="30"/>
      <c r="EU250" s="30"/>
      <c r="EW250" s="30"/>
      <c r="EX250" s="30"/>
      <c r="EY250" s="30"/>
      <c r="EZ250" s="30"/>
      <c r="FA250" s="30"/>
      <c r="FB250" s="30"/>
    </row>
    <row r="251" spans="1:229" s="7" customFormat="1" ht="15.75" hidden="1" customHeight="1" outlineLevel="3">
      <c r="A251" s="2"/>
      <c r="C251" s="25" t="s">
        <v>80</v>
      </c>
      <c r="N251" s="36"/>
      <c r="O251" s="36"/>
      <c r="P251" s="458"/>
      <c r="Q251" s="458"/>
      <c r="DN251" s="356"/>
      <c r="DO251" s="356"/>
      <c r="DP251" s="38"/>
      <c r="DQ251" s="38"/>
      <c r="DR251" s="38"/>
      <c r="DS251" s="38"/>
      <c r="DT251" s="38"/>
      <c r="DU251" s="38"/>
      <c r="DV251" s="38"/>
      <c r="DW251" s="38"/>
      <c r="DX251" s="38"/>
      <c r="DY251" s="38"/>
      <c r="DZ251" s="38"/>
      <c r="EA251" s="38"/>
      <c r="EE251" s="238"/>
      <c r="EF251" s="238"/>
      <c r="EG251" s="238"/>
      <c r="EH251" s="30"/>
      <c r="EI251" s="30"/>
      <c r="EJ251" s="30"/>
      <c r="EK251" s="30"/>
      <c r="EL251" s="30"/>
      <c r="EM251" s="30"/>
      <c r="EN251" s="30"/>
      <c r="EO251" s="30"/>
      <c r="EP251" s="30"/>
      <c r="EQ251" s="30"/>
      <c r="ER251" s="30"/>
      <c r="ES251" s="30"/>
      <c r="ET251" s="30"/>
      <c r="EU251" s="30"/>
      <c r="EW251" s="30"/>
      <c r="EX251" s="30"/>
      <c r="EY251" s="30"/>
      <c r="EZ251" s="30"/>
      <c r="FA251" s="30"/>
      <c r="FB251" s="30"/>
    </row>
    <row r="252" spans="1:229" s="7" customFormat="1" ht="15.75" hidden="1" customHeight="1" outlineLevel="3">
      <c r="A252" s="2"/>
      <c r="C252" s="25" t="s">
        <v>904</v>
      </c>
      <c r="N252" s="36"/>
      <c r="O252" s="36"/>
      <c r="P252" s="458"/>
      <c r="Q252" s="458"/>
      <c r="DN252" s="356"/>
      <c r="DO252" s="356"/>
      <c r="DP252" s="38"/>
      <c r="DQ252" s="38"/>
      <c r="DR252" s="38"/>
      <c r="DS252" s="38"/>
      <c r="DT252" s="38"/>
      <c r="DU252" s="38"/>
      <c r="DV252" s="38"/>
      <c r="DW252" s="38"/>
      <c r="DX252" s="38"/>
      <c r="DY252" s="38"/>
      <c r="DZ252" s="38"/>
      <c r="EA252" s="38"/>
      <c r="EE252" s="238"/>
      <c r="EF252" s="238"/>
      <c r="EG252" s="238"/>
      <c r="EH252" s="30"/>
      <c r="EI252" s="30"/>
      <c r="EJ252" s="30"/>
      <c r="EK252" s="30"/>
      <c r="EL252" s="30"/>
      <c r="EM252" s="30"/>
      <c r="EN252" s="30"/>
      <c r="EO252" s="30"/>
      <c r="EP252" s="30"/>
      <c r="EQ252" s="30"/>
      <c r="ER252" s="30"/>
      <c r="ES252" s="30"/>
      <c r="ET252" s="30"/>
      <c r="EU252" s="30"/>
      <c r="EW252" s="30"/>
      <c r="EX252" s="30"/>
      <c r="EY252" s="30"/>
      <c r="EZ252" s="30"/>
      <c r="FA252" s="30"/>
      <c r="FB252" s="30"/>
    </row>
    <row r="253" spans="1:229" s="7" customFormat="1" ht="15.75" hidden="1" customHeight="1" outlineLevel="2">
      <c r="A253" s="2"/>
      <c r="C253" s="25"/>
      <c r="N253" s="36"/>
      <c r="O253" s="36"/>
      <c r="P253" s="458"/>
      <c r="Q253" s="458"/>
      <c r="DN253" s="356"/>
      <c r="DO253" s="356"/>
      <c r="DP253" s="38"/>
      <c r="DQ253" s="38"/>
      <c r="DR253" s="38"/>
      <c r="DS253" s="38"/>
      <c r="DT253" s="38"/>
      <c r="DU253" s="38"/>
      <c r="DV253" s="38"/>
      <c r="DW253" s="38"/>
      <c r="DX253" s="38"/>
      <c r="DY253" s="38"/>
      <c r="DZ253" s="38"/>
      <c r="EA253" s="38"/>
      <c r="EE253" s="238"/>
      <c r="EF253" s="238"/>
      <c r="EG253" s="238"/>
      <c r="EH253" s="30"/>
      <c r="EI253" s="30"/>
      <c r="EJ253" s="30"/>
      <c r="EK253" s="30"/>
      <c r="EL253" s="30"/>
      <c r="EM253" s="30"/>
      <c r="EN253" s="30"/>
      <c r="EO253" s="30"/>
      <c r="EP253" s="30"/>
      <c r="EQ253" s="30"/>
      <c r="ER253" s="30"/>
      <c r="ES253" s="30"/>
      <c r="ET253" s="30"/>
      <c r="EU253" s="30"/>
      <c r="EW253" s="30"/>
      <c r="EX253" s="30"/>
      <c r="EY253" s="30"/>
      <c r="EZ253" s="30"/>
      <c r="FA253" s="30"/>
      <c r="FB253" s="30"/>
    </row>
    <row r="254" spans="1:229" s="7" customFormat="1" ht="15.75" hidden="1" customHeight="1" outlineLevel="2">
      <c r="A254" s="2"/>
      <c r="C254" s="30"/>
      <c r="D254" s="109">
        <v>200</v>
      </c>
      <c r="E254" s="101"/>
      <c r="F254" s="7" t="s">
        <v>743</v>
      </c>
      <c r="N254" s="36"/>
      <c r="O254" s="36"/>
      <c r="P254" s="458"/>
      <c r="Q254" s="458"/>
      <c r="DN254" s="356"/>
      <c r="DO254" s="356"/>
      <c r="DP254" s="38"/>
      <c r="DQ254" s="38"/>
      <c r="DR254" s="38"/>
      <c r="DS254" s="38"/>
      <c r="DT254" s="38"/>
      <c r="DU254" s="38"/>
      <c r="DV254" s="38"/>
      <c r="DW254" s="38"/>
      <c r="DX254" s="38"/>
      <c r="DY254" s="38"/>
      <c r="DZ254" s="38"/>
      <c r="EA254" s="38"/>
      <c r="EE254" s="238"/>
      <c r="EF254" s="238"/>
      <c r="EG254" s="238"/>
      <c r="EH254" s="30"/>
      <c r="EI254" s="30"/>
      <c r="EJ254" s="30"/>
      <c r="EK254" s="30"/>
      <c r="EL254" s="30"/>
      <c r="EM254" s="30"/>
      <c r="EN254" s="30"/>
      <c r="EO254" s="30"/>
      <c r="EP254" s="30"/>
      <c r="EQ254" s="30"/>
      <c r="ER254" s="30"/>
      <c r="ES254" s="30"/>
      <c r="ET254" s="30"/>
      <c r="EU254" s="30"/>
      <c r="EW254" s="30"/>
      <c r="EX254" s="30"/>
      <c r="EY254" s="30"/>
      <c r="EZ254" s="30"/>
      <c r="FA254" s="30"/>
      <c r="FB254" s="30"/>
    </row>
    <row r="255" spans="1:229" s="7" customFormat="1" ht="15.75" hidden="1" customHeight="1" outlineLevel="2">
      <c r="A255" s="2"/>
      <c r="C255" s="30"/>
      <c r="D255" s="109">
        <v>1.5</v>
      </c>
      <c r="E255" s="101"/>
      <c r="F255" s="38" t="s">
        <v>516</v>
      </c>
      <c r="N255" s="36"/>
      <c r="O255" s="36"/>
      <c r="P255" s="458"/>
      <c r="Q255" s="458"/>
      <c r="DN255" s="356"/>
      <c r="DO255" s="356"/>
      <c r="DP255" s="38"/>
      <c r="DQ255" s="38"/>
      <c r="DR255" s="38"/>
      <c r="DS255" s="38"/>
      <c r="DT255" s="38"/>
      <c r="DU255" s="38"/>
      <c r="DV255" s="38"/>
      <c r="DW255" s="38"/>
      <c r="DX255" s="38"/>
      <c r="DY255" s="38"/>
      <c r="DZ255" s="38"/>
      <c r="EA255" s="38"/>
      <c r="EE255" s="238"/>
      <c r="EF255" s="238"/>
      <c r="EG255" s="238"/>
      <c r="EH255" s="30"/>
      <c r="EI255" s="30"/>
      <c r="EJ255" s="30"/>
      <c r="EK255" s="30"/>
      <c r="EL255" s="30"/>
      <c r="EM255" s="30"/>
      <c r="EN255" s="30"/>
      <c r="EO255" s="30"/>
      <c r="EP255" s="30"/>
      <c r="EQ255" s="30"/>
      <c r="ER255" s="30"/>
      <c r="ES255" s="30"/>
      <c r="ET255" s="30"/>
      <c r="EU255" s="30"/>
      <c r="EW255" s="30"/>
      <c r="EX255" s="30"/>
      <c r="EY255" s="30"/>
      <c r="EZ255" s="30"/>
      <c r="FA255" s="30"/>
      <c r="FB255" s="30"/>
    </row>
    <row r="256" spans="1:229" s="7" customFormat="1" ht="15.75" hidden="1" customHeight="1" outlineLevel="2">
      <c r="A256" s="2"/>
      <c r="C256" s="25"/>
      <c r="D256" s="109">
        <v>1.9</v>
      </c>
      <c r="E256" s="101"/>
      <c r="F256" s="38" t="s">
        <v>795</v>
      </c>
      <c r="N256" s="36"/>
      <c r="O256" s="36"/>
      <c r="P256" s="458"/>
      <c r="Q256" s="458"/>
      <c r="DN256" s="356"/>
      <c r="DO256" s="356"/>
      <c r="DP256" s="38"/>
      <c r="DQ256" s="38"/>
      <c r="DR256" s="38"/>
      <c r="DS256" s="38"/>
      <c r="DT256" s="38"/>
      <c r="DU256" s="38"/>
      <c r="DV256" s="38"/>
      <c r="DW256" s="38"/>
      <c r="DX256" s="38"/>
      <c r="DY256" s="38"/>
      <c r="DZ256" s="38"/>
      <c r="EA256" s="38"/>
      <c r="EE256" s="238"/>
      <c r="EF256" s="238"/>
      <c r="EG256" s="238"/>
      <c r="EH256" s="30"/>
      <c r="EI256" s="30"/>
      <c r="EJ256" s="30"/>
      <c r="EK256" s="30"/>
      <c r="EL256" s="30"/>
      <c r="EM256" s="30"/>
      <c r="EN256" s="30"/>
      <c r="EO256" s="30"/>
      <c r="EP256" s="30"/>
      <c r="EQ256" s="30"/>
      <c r="ER256" s="30"/>
      <c r="ES256" s="30"/>
      <c r="ET256" s="30"/>
      <c r="EU256" s="30"/>
      <c r="EW256" s="30"/>
      <c r="EX256" s="30"/>
      <c r="EY256" s="30"/>
      <c r="EZ256" s="30"/>
      <c r="FA256" s="30"/>
      <c r="FB256" s="30"/>
    </row>
    <row r="257" spans="1:158" s="7" customFormat="1" ht="15.75" hidden="1" customHeight="1" outlineLevel="2">
      <c r="A257" s="2"/>
      <c r="C257" s="25"/>
      <c r="E257" s="101"/>
      <c r="N257" s="36"/>
      <c r="O257" s="36"/>
      <c r="P257" s="458"/>
      <c r="Q257" s="458"/>
      <c r="DN257" s="356"/>
      <c r="DO257" s="356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E257" s="238"/>
      <c r="EF257" s="238"/>
      <c r="EG257" s="238"/>
      <c r="EH257" s="30"/>
      <c r="EI257" s="30"/>
      <c r="EJ257" s="30"/>
      <c r="EK257" s="30"/>
      <c r="EL257" s="30"/>
      <c r="EM257" s="30"/>
      <c r="EN257" s="30"/>
      <c r="EO257" s="30"/>
      <c r="EP257" s="30"/>
      <c r="EQ257" s="30"/>
      <c r="ER257" s="30"/>
      <c r="ES257" s="30"/>
      <c r="ET257" s="30"/>
      <c r="EU257" s="30"/>
      <c r="EW257" s="30"/>
      <c r="EX257" s="30"/>
      <c r="EY257" s="30"/>
      <c r="EZ257" s="30"/>
      <c r="FA257" s="30"/>
      <c r="FB257" s="30"/>
    </row>
    <row r="258" spans="1:158" s="7" customFormat="1" ht="15.75" hidden="1" customHeight="1" outlineLevel="2">
      <c r="A258" s="2"/>
      <c r="C258" s="25"/>
      <c r="D258" s="101">
        <f>D254/E233</f>
        <v>0.20161290322580644</v>
      </c>
      <c r="E258" s="101"/>
      <c r="F258" s="25" t="s">
        <v>517</v>
      </c>
      <c r="N258" s="36"/>
      <c r="O258" s="36"/>
      <c r="P258" s="458"/>
      <c r="Q258" s="458"/>
      <c r="DN258" s="356"/>
      <c r="DO258" s="356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E258" s="238"/>
      <c r="EF258" s="238"/>
      <c r="EG258" s="238"/>
      <c r="EH258" s="30"/>
      <c r="EI258" s="30"/>
      <c r="EJ258" s="30"/>
      <c r="EK258" s="30"/>
      <c r="EL258" s="30"/>
      <c r="EM258" s="30"/>
      <c r="EN258" s="30"/>
      <c r="EO258" s="30"/>
      <c r="EP258" s="30"/>
      <c r="EQ258" s="30"/>
      <c r="ER258" s="30"/>
      <c r="ES258" s="30"/>
      <c r="ET258" s="30"/>
      <c r="EU258" s="30"/>
      <c r="EW258" s="30"/>
      <c r="EX258" s="30"/>
      <c r="EY258" s="30"/>
      <c r="EZ258" s="30"/>
      <c r="FA258" s="30"/>
      <c r="FB258" s="30"/>
    </row>
    <row r="259" spans="1:158" s="7" customFormat="1" ht="15.75" hidden="1" customHeight="1" outlineLevel="2">
      <c r="A259" s="2"/>
      <c r="C259" s="29"/>
      <c r="D259" s="113">
        <f>$D$159*D258/1000/300000000/1.6E-19</f>
        <v>3546657149.8941674</v>
      </c>
      <c r="E259" s="101"/>
      <c r="F259" s="25" t="s">
        <v>1024</v>
      </c>
      <c r="N259" s="36"/>
      <c r="O259" s="36"/>
      <c r="P259" s="458"/>
      <c r="Q259" s="458"/>
      <c r="CI259" s="103"/>
      <c r="DN259" s="356"/>
      <c r="DO259" s="356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E259" s="238"/>
      <c r="EF259" s="238"/>
      <c r="EG259" s="238"/>
      <c r="EH259" s="30"/>
      <c r="EI259" s="30"/>
      <c r="EJ259" s="30"/>
      <c r="EK259" s="30"/>
      <c r="EL259" s="30"/>
      <c r="EM259" s="30"/>
      <c r="EN259" s="30"/>
      <c r="EO259" s="30"/>
      <c r="EP259" s="30"/>
      <c r="EQ259" s="30"/>
      <c r="ER259" s="30"/>
      <c r="ES259" s="30"/>
      <c r="ET259" s="30"/>
      <c r="EU259" s="30"/>
      <c r="EW259" s="30"/>
      <c r="EX259" s="30"/>
      <c r="EY259" s="30"/>
      <c r="EZ259" s="30"/>
      <c r="FA259" s="30"/>
      <c r="FB259" s="30"/>
    </row>
    <row r="260" spans="1:158" s="7" customFormat="1" ht="15.75" hidden="1" customHeight="1" outlineLevel="2">
      <c r="A260" s="2"/>
      <c r="C260" s="30"/>
      <c r="D260" s="32">
        <f>1/($EB$94/$R$94)</f>
        <v>0.16662398729696717</v>
      </c>
      <c r="E260" s="101"/>
      <c r="F260" s="26" t="s">
        <v>1183</v>
      </c>
      <c r="N260" s="36"/>
      <c r="O260" s="36"/>
      <c r="P260" s="458"/>
      <c r="Q260" s="458"/>
      <c r="CI260" s="103"/>
      <c r="DN260" s="356"/>
      <c r="DO260" s="356"/>
      <c r="DP260" s="38"/>
      <c r="DQ260" s="38"/>
      <c r="DR260" s="38"/>
      <c r="DS260" s="38"/>
      <c r="DT260" s="38"/>
      <c r="DU260" s="38"/>
      <c r="DV260" s="38"/>
      <c r="DW260" s="38"/>
      <c r="DX260" s="38"/>
      <c r="DY260" s="38"/>
      <c r="DZ260" s="38"/>
      <c r="EA260" s="38"/>
      <c r="EE260" s="238"/>
      <c r="EF260" s="238"/>
      <c r="EG260" s="238"/>
      <c r="EH260" s="30"/>
      <c r="EI260" s="30"/>
      <c r="EJ260" s="30"/>
      <c r="EK260" s="30"/>
      <c r="EL260" s="30"/>
      <c r="EM260" s="30"/>
      <c r="EN260" s="30"/>
      <c r="EO260" s="30"/>
      <c r="EP260" s="30"/>
      <c r="EQ260" s="30"/>
      <c r="ER260" s="30"/>
      <c r="ES260" s="30"/>
      <c r="ET260" s="30"/>
      <c r="EU260" s="30"/>
      <c r="EW260" s="30"/>
      <c r="EX260" s="30"/>
      <c r="EY260" s="30"/>
      <c r="EZ260" s="30"/>
      <c r="FA260" s="30"/>
      <c r="FB260" s="30"/>
    </row>
    <row r="261" spans="1:158" s="7" customFormat="1" ht="15.75" hidden="1" customHeight="1" outlineLevel="2">
      <c r="A261" s="2"/>
      <c r="C261" s="30"/>
      <c r="D261" s="32">
        <f>1/($EC$94/$R$94)</f>
        <v>2.114041424911698E-2</v>
      </c>
      <c r="E261" s="101"/>
      <c r="F261" s="26" t="s">
        <v>484</v>
      </c>
      <c r="N261" s="36"/>
      <c r="O261" s="36"/>
      <c r="P261" s="458"/>
      <c r="Q261" s="458"/>
      <c r="DN261" s="356"/>
      <c r="DO261" s="356"/>
      <c r="DP261" s="38"/>
      <c r="DQ261" s="38"/>
      <c r="DR261" s="38"/>
      <c r="DS261" s="38"/>
      <c r="DT261" s="38"/>
      <c r="DU261" s="38"/>
      <c r="DV261" s="38"/>
      <c r="DW261" s="38"/>
      <c r="DX261" s="38"/>
      <c r="DY261" s="38"/>
      <c r="DZ261" s="38"/>
      <c r="EA261" s="38"/>
      <c r="EE261" s="238"/>
      <c r="EF261" s="238"/>
      <c r="EG261" s="238"/>
      <c r="EH261" s="30"/>
      <c r="EI261" s="30"/>
      <c r="EJ261" s="30"/>
      <c r="EK261" s="30"/>
      <c r="EL261" s="30"/>
      <c r="EM261" s="30"/>
      <c r="EN261" s="30"/>
      <c r="EO261" s="30"/>
      <c r="EP261" s="30"/>
      <c r="EQ261" s="30"/>
      <c r="ER261" s="30"/>
      <c r="ES261" s="30"/>
      <c r="ET261" s="30"/>
      <c r="EU261" s="30"/>
      <c r="EW261" s="30"/>
      <c r="EX261" s="30"/>
      <c r="EY261" s="30"/>
      <c r="EZ261" s="30"/>
      <c r="FA261" s="30"/>
      <c r="FB261" s="30"/>
    </row>
    <row r="262" spans="1:158" s="7" customFormat="1" ht="15.75" hidden="1" customHeight="1" outlineLevel="2">
      <c r="A262" s="2"/>
      <c r="C262" s="30"/>
      <c r="D262" s="29">
        <f>$E$240*D255</f>
        <v>6.5317273101665396</v>
      </c>
      <c r="E262" s="101"/>
      <c r="F262" s="105" t="s">
        <v>485</v>
      </c>
      <c r="N262" s="36"/>
      <c r="O262" s="36"/>
      <c r="P262" s="458"/>
      <c r="Q262" s="458"/>
      <c r="DN262" s="356"/>
      <c r="DO262" s="356"/>
      <c r="DP262" s="38"/>
      <c r="DQ262" s="38"/>
      <c r="DR262" s="38"/>
      <c r="DS262" s="38"/>
      <c r="DT262" s="38"/>
      <c r="DU262" s="38"/>
      <c r="DV262" s="38"/>
      <c r="DW262" s="38"/>
      <c r="DX262" s="38"/>
      <c r="DY262" s="38"/>
      <c r="DZ262" s="38"/>
      <c r="EA262" s="38"/>
      <c r="EE262" s="238"/>
      <c r="EF262" s="238"/>
      <c r="EG262" s="238"/>
      <c r="EH262" s="30"/>
      <c r="EI262" s="30"/>
      <c r="EJ262" s="30"/>
      <c r="EK262" s="30"/>
      <c r="EL262" s="30"/>
      <c r="EM262" s="30"/>
      <c r="EN262" s="30"/>
      <c r="EO262" s="30"/>
      <c r="EP262" s="30"/>
      <c r="EQ262" s="30"/>
      <c r="ER262" s="30"/>
      <c r="ES262" s="30"/>
      <c r="ET262" s="30"/>
      <c r="EU262" s="30"/>
      <c r="EW262" s="30"/>
      <c r="EX262" s="30"/>
      <c r="EY262" s="30"/>
      <c r="EZ262" s="30"/>
      <c r="FA262" s="30"/>
      <c r="FB262" s="30"/>
    </row>
    <row r="263" spans="1:158" s="7" customFormat="1" ht="15.75" hidden="1" customHeight="1" outlineLevel="2">
      <c r="A263" s="2"/>
      <c r="C263" s="30"/>
      <c r="D263" s="113">
        <f>(D256/100/1957/$E$4/$ED$94*$R$94*1000)^2</f>
        <v>3.1176579452874725E-4</v>
      </c>
      <c r="E263" s="101"/>
      <c r="F263" s="105" t="s">
        <v>486</v>
      </c>
      <c r="N263" s="36"/>
      <c r="O263" s="36"/>
      <c r="P263" s="458"/>
      <c r="Q263" s="458"/>
      <c r="DN263" s="356"/>
      <c r="DO263" s="356"/>
      <c r="DP263" s="38"/>
      <c r="DQ263" s="38"/>
      <c r="DR263" s="38"/>
      <c r="DS263" s="38"/>
      <c r="DT263" s="38"/>
      <c r="DU263" s="38"/>
      <c r="DV263" s="38"/>
      <c r="DW263" s="38"/>
      <c r="DX263" s="38"/>
      <c r="DY263" s="38"/>
      <c r="DZ263" s="38"/>
      <c r="EA263" s="38"/>
      <c r="EE263" s="238"/>
      <c r="EF263" s="238"/>
      <c r="EG263" s="238"/>
      <c r="EH263" s="30"/>
      <c r="EI263" s="30"/>
      <c r="EJ263" s="30"/>
      <c r="EK263" s="30"/>
      <c r="EL263" s="30"/>
      <c r="EM263" s="30"/>
      <c r="EN263" s="30"/>
      <c r="EO263" s="30"/>
      <c r="EP263" s="30"/>
      <c r="EQ263" s="30"/>
      <c r="ER263" s="30"/>
      <c r="ES263" s="30"/>
      <c r="ET263" s="30"/>
      <c r="EU263" s="30"/>
      <c r="EW263" s="30"/>
      <c r="EX263" s="30"/>
      <c r="EY263" s="30"/>
      <c r="EZ263" s="30"/>
      <c r="FA263" s="30"/>
      <c r="FB263" s="30"/>
    </row>
    <row r="264" spans="1:158" s="7" customFormat="1" ht="15.75" hidden="1" customHeight="1" outlineLevel="2">
      <c r="A264" s="2"/>
      <c r="C264" s="30"/>
      <c r="D264" s="29">
        <f>0.543607+0.14136*LOG10(D263)-0.00208713*LOG10(D263)^2-0.00197498*LOG10(D263)^3</f>
        <v>0.10744299521598108</v>
      </c>
      <c r="E264" s="101"/>
      <c r="F264" s="105" t="s">
        <v>487</v>
      </c>
      <c r="N264" s="36"/>
      <c r="O264" s="36"/>
      <c r="P264" s="458"/>
      <c r="Q264" s="458"/>
      <c r="DN264" s="356"/>
      <c r="DO264" s="356"/>
      <c r="DP264" s="38"/>
      <c r="DQ264" s="38"/>
      <c r="DR264" s="38"/>
      <c r="DS264" s="38"/>
      <c r="DT264" s="38"/>
      <c r="DU264" s="38"/>
      <c r="DV264" s="38"/>
      <c r="DW264" s="38"/>
      <c r="DX264" s="38"/>
      <c r="DY264" s="38"/>
      <c r="DZ264" s="38"/>
      <c r="EA264" s="38"/>
      <c r="EE264" s="238"/>
      <c r="EF264" s="238"/>
      <c r="EG264" s="238"/>
      <c r="EH264" s="30"/>
      <c r="EI264" s="30"/>
      <c r="EJ264" s="30"/>
      <c r="EK264" s="30"/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W264" s="30"/>
      <c r="EX264" s="30"/>
      <c r="EY264" s="30"/>
      <c r="EZ264" s="30"/>
      <c r="FA264" s="30"/>
      <c r="FB264" s="30"/>
    </row>
    <row r="265" spans="1:158" s="7" customFormat="1" ht="15.75" hidden="1" customHeight="1" outlineLevel="2">
      <c r="A265" s="2"/>
      <c r="C265" s="30"/>
      <c r="D265" s="29">
        <f>8*(1957*$E$4)^2*PI()*D260*D261*D262/D259*0.000000001/300000000/0.00000000000000282^2*(MIN(D256,$E$237)/100)^3/3600/D264</f>
        <v>169.32300431827446</v>
      </c>
      <c r="E265" s="101"/>
      <c r="F265" s="105" t="s">
        <v>1002</v>
      </c>
      <c r="N265" s="36"/>
      <c r="O265" s="36"/>
      <c r="P265" s="458"/>
      <c r="Q265" s="458"/>
      <c r="DN265" s="356"/>
      <c r="DO265" s="356"/>
      <c r="DP265" s="38"/>
      <c r="DQ265" s="38"/>
      <c r="DR265" s="38"/>
      <c r="DS265" s="38"/>
      <c r="DT265" s="38"/>
      <c r="DU265" s="38"/>
      <c r="DV265" s="38"/>
      <c r="DW265" s="38"/>
      <c r="DX265" s="38"/>
      <c r="DY265" s="38"/>
      <c r="DZ265" s="38"/>
      <c r="EA265" s="38"/>
      <c r="EE265" s="238"/>
      <c r="EF265" s="238"/>
      <c r="EG265" s="238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W265" s="30"/>
      <c r="EX265" s="30"/>
      <c r="EY265" s="30"/>
      <c r="EZ265" s="30"/>
      <c r="FA265" s="30"/>
      <c r="FB265" s="30"/>
    </row>
    <row r="266" spans="1:158" s="7" customFormat="1" ht="15.75" hidden="1" customHeight="1" outlineLevel="2">
      <c r="A266" s="2"/>
      <c r="C266" s="30"/>
      <c r="E266" s="101"/>
      <c r="N266" s="36"/>
      <c r="O266" s="36"/>
      <c r="P266" s="458"/>
      <c r="Q266" s="458"/>
      <c r="DN266" s="356"/>
      <c r="DO266" s="356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E266" s="238"/>
      <c r="EF266" s="238"/>
      <c r="EG266" s="238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W266" s="30"/>
      <c r="EX266" s="30"/>
      <c r="EY266" s="30"/>
      <c r="EZ266" s="30"/>
      <c r="FA266" s="30"/>
      <c r="FB266" s="30"/>
    </row>
    <row r="267" spans="1:158" s="7" customFormat="1" ht="15.75" hidden="1" customHeight="1" outlineLevel="1">
      <c r="A267" s="2"/>
      <c r="C267" s="104" t="s">
        <v>212</v>
      </c>
      <c r="E267" s="101"/>
      <c r="N267" s="36"/>
      <c r="O267" s="36"/>
      <c r="P267" s="458"/>
      <c r="Q267" s="458"/>
      <c r="DN267" s="356"/>
      <c r="DO267" s="356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E267" s="238"/>
      <c r="EF267" s="238"/>
      <c r="EG267" s="238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W267" s="30"/>
      <c r="EX267" s="30"/>
      <c r="EY267" s="30"/>
      <c r="EZ267" s="30"/>
      <c r="FA267" s="30"/>
      <c r="FB267" s="30"/>
    </row>
    <row r="268" spans="1:158" s="7" customFormat="1" ht="15.75" hidden="1" customHeight="1" outlineLevel="2">
      <c r="A268" s="2"/>
      <c r="C268" s="25"/>
      <c r="N268" s="36"/>
      <c r="O268" s="36"/>
      <c r="P268" s="458"/>
      <c r="Q268" s="458"/>
      <c r="CI268" s="103"/>
      <c r="DN268" s="356"/>
      <c r="DO268" s="356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E268" s="238"/>
      <c r="EF268" s="238"/>
      <c r="EG268" s="238"/>
      <c r="EH268" s="30"/>
      <c r="EI268" s="30"/>
      <c r="EJ268" s="30"/>
      <c r="EK268" s="30"/>
      <c r="EL268" s="30"/>
      <c r="EM268" s="30"/>
      <c r="EN268" s="30"/>
      <c r="EO268" s="30"/>
      <c r="EP268" s="30"/>
      <c r="EQ268" s="30"/>
      <c r="ER268" s="30"/>
      <c r="ES268" s="30"/>
      <c r="ET268" s="30"/>
      <c r="EU268" s="30"/>
      <c r="EW268" s="30"/>
      <c r="EX268" s="30"/>
      <c r="EY268" s="30"/>
      <c r="EZ268" s="30"/>
      <c r="FA268" s="30"/>
      <c r="FB268" s="30"/>
    </row>
    <row r="269" spans="1:158" s="7" customFormat="1" ht="15.75" hidden="1" customHeight="1" outlineLevel="2">
      <c r="A269" s="2"/>
      <c r="C269" s="25"/>
      <c r="D269" s="114">
        <f>0.0000000003</f>
        <v>3E-10</v>
      </c>
      <c r="E269" s="101"/>
      <c r="F269" s="7" t="s">
        <v>1022</v>
      </c>
      <c r="N269" s="36"/>
      <c r="O269" s="36"/>
      <c r="P269" s="458"/>
      <c r="Q269" s="458"/>
      <c r="CI269" s="103"/>
      <c r="DN269" s="356"/>
      <c r="DO269" s="356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E269" s="238"/>
      <c r="EF269" s="238"/>
      <c r="EG269" s="238"/>
      <c r="EH269" s="30"/>
      <c r="EI269" s="30"/>
      <c r="EJ269" s="30"/>
      <c r="EK269" s="30"/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W269" s="30"/>
      <c r="EX269" s="30"/>
      <c r="EY269" s="30"/>
      <c r="EZ269" s="30"/>
      <c r="FA269" s="30"/>
      <c r="FB269" s="30"/>
    </row>
    <row r="270" spans="1:158" s="7" customFormat="1" ht="15.75" hidden="1" customHeight="1" outlineLevel="2">
      <c r="A270" s="2"/>
      <c r="C270" s="25"/>
      <c r="D270" s="115">
        <v>60</v>
      </c>
      <c r="E270" s="101"/>
      <c r="F270" s="7" t="s">
        <v>236</v>
      </c>
      <c r="N270" s="36"/>
      <c r="O270" s="36"/>
      <c r="P270" s="458"/>
      <c r="Q270" s="458"/>
      <c r="CI270" s="103"/>
      <c r="DN270" s="356"/>
      <c r="DO270" s="356"/>
      <c r="DP270" s="38"/>
      <c r="DQ270" s="38"/>
      <c r="DR270" s="38"/>
      <c r="DS270" s="38"/>
      <c r="DT270" s="38"/>
      <c r="DU270" s="38"/>
      <c r="DV270" s="38"/>
      <c r="DW270" s="38"/>
      <c r="DX270" s="38"/>
      <c r="DY270" s="38"/>
      <c r="DZ270" s="38"/>
      <c r="EA270" s="38"/>
      <c r="EE270" s="238"/>
      <c r="EF270" s="238"/>
      <c r="EG270" s="238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W270" s="30"/>
      <c r="EX270" s="30"/>
      <c r="EY270" s="30"/>
      <c r="EZ270" s="30"/>
      <c r="FA270" s="30"/>
      <c r="FB270" s="30"/>
    </row>
    <row r="271" spans="1:158" s="7" customFormat="1" ht="15.75" hidden="1" customHeight="1" outlineLevel="2">
      <c r="A271" s="2"/>
      <c r="C271" s="25"/>
      <c r="D271" s="109">
        <v>6</v>
      </c>
      <c r="E271" s="101"/>
      <c r="F271" s="7" t="s">
        <v>99</v>
      </c>
      <c r="N271" s="36"/>
      <c r="O271" s="36"/>
      <c r="P271" s="458"/>
      <c r="Q271" s="458"/>
      <c r="CI271" s="103"/>
      <c r="DN271" s="356"/>
      <c r="DO271" s="356"/>
      <c r="DP271" s="38"/>
      <c r="DQ271" s="38"/>
      <c r="DR271" s="38"/>
      <c r="DS271" s="38"/>
      <c r="DT271" s="38"/>
      <c r="DU271" s="38"/>
      <c r="DV271" s="38"/>
      <c r="DW271" s="38"/>
      <c r="DX271" s="38"/>
      <c r="DY271" s="38"/>
      <c r="DZ271" s="38"/>
      <c r="EA271" s="38"/>
      <c r="EE271" s="238"/>
      <c r="EF271" s="238"/>
      <c r="EG271" s="238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W271" s="30"/>
      <c r="EX271" s="30"/>
      <c r="EY271" s="30"/>
      <c r="EZ271" s="30"/>
      <c r="FA271" s="30"/>
      <c r="FB271" s="30"/>
    </row>
    <row r="272" spans="1:158" s="7" customFormat="1" ht="15.75" hidden="1" customHeight="1" outlineLevel="2">
      <c r="A272" s="2"/>
      <c r="C272" s="25"/>
      <c r="D272" s="109">
        <v>5</v>
      </c>
      <c r="E272" s="101"/>
      <c r="F272" s="25" t="s">
        <v>491</v>
      </c>
      <c r="N272" s="36"/>
      <c r="O272" s="36"/>
      <c r="P272" s="458"/>
      <c r="Q272" s="458"/>
      <c r="CI272" s="103"/>
      <c r="DN272" s="356"/>
      <c r="DO272" s="356"/>
      <c r="DP272" s="38"/>
      <c r="DQ272" s="38"/>
      <c r="DR272" s="38"/>
      <c r="DS272" s="38"/>
      <c r="DT272" s="38"/>
      <c r="DU272" s="38"/>
      <c r="DV272" s="38"/>
      <c r="DW272" s="38"/>
      <c r="DX272" s="38"/>
      <c r="DY272" s="38"/>
      <c r="DZ272" s="38"/>
      <c r="EA272" s="38"/>
      <c r="EE272" s="238"/>
      <c r="EF272" s="238"/>
      <c r="EG272" s="238"/>
      <c r="EH272" s="30"/>
      <c r="EI272" s="30"/>
      <c r="EJ272" s="30"/>
      <c r="EK272" s="30"/>
      <c r="EL272" s="30"/>
      <c r="EM272" s="30"/>
      <c r="EN272" s="30"/>
      <c r="EO272" s="30"/>
      <c r="EP272" s="30"/>
      <c r="EQ272" s="30"/>
      <c r="ER272" s="30"/>
      <c r="ES272" s="30"/>
      <c r="ET272" s="30"/>
      <c r="EU272" s="30"/>
      <c r="EW272" s="30"/>
      <c r="EX272" s="30"/>
      <c r="EY272" s="30"/>
      <c r="EZ272" s="30"/>
      <c r="FA272" s="30"/>
      <c r="FB272" s="30"/>
    </row>
    <row r="273" spans="1:229" s="7" customFormat="1" ht="15.75" hidden="1" customHeight="1" outlineLevel="2">
      <c r="A273" s="2"/>
      <c r="C273" s="25"/>
      <c r="D273" s="116">
        <f>EU94/R94</f>
        <v>20.544974537609129</v>
      </c>
      <c r="E273" s="101"/>
      <c r="F273" s="25" t="s">
        <v>957</v>
      </c>
      <c r="N273" s="36"/>
      <c r="O273" s="36"/>
      <c r="P273" s="458"/>
      <c r="Q273" s="458"/>
      <c r="CI273" s="103"/>
      <c r="DN273" s="356"/>
      <c r="DO273" s="356"/>
      <c r="DP273" s="38"/>
      <c r="DQ273" s="38"/>
      <c r="DR273" s="38"/>
      <c r="DS273" s="38"/>
      <c r="DT273" s="38"/>
      <c r="DU273" s="38"/>
      <c r="DV273" s="38"/>
      <c r="DW273" s="38"/>
      <c r="DX273" s="38"/>
      <c r="DY273" s="38"/>
      <c r="DZ273" s="38"/>
      <c r="EA273" s="38"/>
      <c r="EE273" s="238"/>
      <c r="EF273" s="238"/>
      <c r="EG273" s="238"/>
      <c r="EH273" s="30"/>
      <c r="EI273" s="30"/>
      <c r="EJ273" s="30"/>
      <c r="EK273" s="30"/>
      <c r="EL273" s="30"/>
      <c r="EM273" s="30"/>
      <c r="EN273" s="30"/>
      <c r="EO273" s="30"/>
      <c r="EP273" s="30"/>
      <c r="EQ273" s="30"/>
      <c r="ER273" s="30"/>
      <c r="ES273" s="30"/>
      <c r="ET273" s="30"/>
      <c r="EU273" s="30"/>
      <c r="EW273" s="30"/>
      <c r="EX273" s="30"/>
      <c r="EY273" s="30"/>
      <c r="EZ273" s="30"/>
      <c r="FA273" s="30"/>
      <c r="FB273" s="30"/>
    </row>
    <row r="274" spans="1:229" s="7" customFormat="1" ht="15.75" hidden="1" customHeight="1" outlineLevel="2">
      <c r="A274" s="2"/>
      <c r="C274" s="25"/>
      <c r="D274" s="109">
        <v>2</v>
      </c>
      <c r="E274" s="101"/>
      <c r="F274" s="7" t="s">
        <v>612</v>
      </c>
      <c r="N274" s="36"/>
      <c r="O274" s="36"/>
      <c r="P274" s="458"/>
      <c r="Q274" s="458"/>
      <c r="CI274" s="103"/>
      <c r="DN274" s="356"/>
      <c r="DO274" s="356"/>
      <c r="DP274" s="38"/>
      <c r="DQ274" s="38"/>
      <c r="DR274" s="38"/>
      <c r="DS274" s="38"/>
      <c r="DT274" s="38"/>
      <c r="DU274" s="38"/>
      <c r="DV274" s="38"/>
      <c r="DW274" s="38"/>
      <c r="DX274" s="38"/>
      <c r="DY274" s="38"/>
      <c r="DZ274" s="38"/>
      <c r="EA274" s="38"/>
      <c r="EE274" s="238"/>
      <c r="EF274" s="238"/>
      <c r="EG274" s="238"/>
      <c r="EH274" s="30"/>
      <c r="EI274" s="30"/>
      <c r="EJ274" s="30"/>
      <c r="EK274" s="30"/>
      <c r="EL274" s="30"/>
      <c r="EM274" s="30"/>
      <c r="EN274" s="30"/>
      <c r="EO274" s="30"/>
      <c r="EP274" s="30"/>
      <c r="EQ274" s="30"/>
      <c r="ER274" s="30"/>
      <c r="ES274" s="30"/>
      <c r="ET274" s="30"/>
      <c r="EU274" s="30"/>
      <c r="EW274" s="30"/>
      <c r="EX274" s="30"/>
      <c r="EY274" s="30"/>
      <c r="EZ274" s="30"/>
      <c r="FA274" s="30"/>
      <c r="FB274" s="30"/>
    </row>
    <row r="275" spans="1:229" s="7" customFormat="1" ht="15.75" hidden="1" customHeight="1" outlineLevel="2">
      <c r="A275" s="2"/>
      <c r="C275" s="25"/>
      <c r="D275" s="109">
        <v>7</v>
      </c>
      <c r="E275" s="101"/>
      <c r="F275" s="7" t="s">
        <v>683</v>
      </c>
      <c r="N275" s="36"/>
      <c r="O275" s="36"/>
      <c r="P275" s="458"/>
      <c r="Q275" s="458"/>
      <c r="CI275" s="103"/>
      <c r="DN275" s="356"/>
      <c r="DO275" s="356"/>
      <c r="DP275" s="38"/>
      <c r="DQ275" s="38"/>
      <c r="DR275" s="38"/>
      <c r="DS275" s="38"/>
      <c r="DT275" s="38"/>
      <c r="DU275" s="38"/>
      <c r="DV275" s="38"/>
      <c r="DW275" s="38"/>
      <c r="DX275" s="38"/>
      <c r="DY275" s="38"/>
      <c r="DZ275" s="38"/>
      <c r="EA275" s="38"/>
      <c r="EE275" s="238"/>
      <c r="EF275" s="238"/>
      <c r="EG275" s="238"/>
      <c r="EH275" s="30"/>
      <c r="EI275" s="30"/>
      <c r="EJ275" s="30"/>
      <c r="EK275" s="30"/>
      <c r="EL275" s="30"/>
      <c r="EM275" s="30"/>
      <c r="EN275" s="30"/>
      <c r="EO275" s="30"/>
      <c r="EP275" s="30"/>
      <c r="EQ275" s="30"/>
      <c r="ER275" s="30"/>
      <c r="ES275" s="30"/>
      <c r="ET275" s="30"/>
      <c r="EU275" s="30"/>
      <c r="EW275" s="30"/>
      <c r="EX275" s="30"/>
      <c r="EY275" s="30"/>
      <c r="EZ275" s="30"/>
      <c r="FA275" s="30"/>
      <c r="FB275" s="30"/>
    </row>
    <row r="276" spans="1:229" s="7" customFormat="1" ht="15.75" hidden="1" customHeight="1" outlineLevel="2">
      <c r="A276" s="2"/>
      <c r="C276" s="25"/>
      <c r="D276" s="109">
        <v>2</v>
      </c>
      <c r="E276" s="101"/>
      <c r="F276" s="25" t="s">
        <v>256</v>
      </c>
      <c r="N276" s="36"/>
      <c r="O276" s="36"/>
      <c r="P276" s="458"/>
      <c r="Q276" s="458"/>
      <c r="CI276" s="103"/>
      <c r="DN276" s="356"/>
      <c r="DO276" s="356"/>
      <c r="DP276" s="38"/>
      <c r="DQ276" s="38"/>
      <c r="DR276" s="38"/>
      <c r="DS276" s="38"/>
      <c r="DT276" s="38"/>
      <c r="DU276" s="38"/>
      <c r="DV276" s="38"/>
      <c r="DW276" s="38"/>
      <c r="DX276" s="38"/>
      <c r="DY276" s="38"/>
      <c r="DZ276" s="38"/>
      <c r="EA276" s="38"/>
      <c r="EE276" s="238"/>
      <c r="EF276" s="238"/>
      <c r="EG276" s="238"/>
      <c r="EH276" s="30"/>
      <c r="EI276" s="30"/>
      <c r="EJ276" s="30"/>
      <c r="EK276" s="30"/>
      <c r="EL276" s="30"/>
      <c r="EM276" s="30"/>
      <c r="EN276" s="30"/>
      <c r="EO276" s="30"/>
      <c r="EP276" s="30"/>
      <c r="EQ276" s="30"/>
      <c r="ER276" s="30"/>
      <c r="ES276" s="30"/>
      <c r="ET276" s="30"/>
      <c r="EU276" s="30"/>
      <c r="EW276" s="30"/>
      <c r="EX276" s="30"/>
      <c r="EY276" s="30"/>
      <c r="EZ276" s="30"/>
      <c r="FA276" s="30"/>
      <c r="FB276" s="30"/>
    </row>
    <row r="277" spans="1:229" s="7" customFormat="1" ht="15.75" hidden="1" customHeight="1" outlineLevel="2">
      <c r="A277" s="2"/>
      <c r="C277" s="25"/>
      <c r="D277" s="30"/>
      <c r="E277" s="101"/>
      <c r="F277" s="25"/>
      <c r="N277" s="36"/>
      <c r="O277" s="36"/>
      <c r="P277" s="458"/>
      <c r="Q277" s="458"/>
      <c r="CI277" s="103"/>
      <c r="DN277" s="356"/>
      <c r="DO277" s="356"/>
      <c r="DP277" s="38"/>
      <c r="DQ277" s="38"/>
      <c r="DR277" s="38"/>
      <c r="DS277" s="38"/>
      <c r="DT277" s="38"/>
      <c r="DU277" s="38"/>
      <c r="DV277" s="38"/>
      <c r="DW277" s="38"/>
      <c r="DX277" s="38"/>
      <c r="DY277" s="38"/>
      <c r="DZ277" s="38"/>
      <c r="EA277" s="38"/>
      <c r="EE277" s="238"/>
      <c r="EF277" s="238"/>
      <c r="EG277" s="238"/>
      <c r="EH277" s="30"/>
      <c r="EI277" s="30"/>
      <c r="EJ277" s="30"/>
      <c r="EK277" s="30"/>
      <c r="EL277" s="30"/>
      <c r="EM277" s="30"/>
      <c r="EN277" s="30"/>
      <c r="EO277" s="30"/>
      <c r="EP277" s="30"/>
      <c r="EQ277" s="30"/>
      <c r="ER277" s="30"/>
      <c r="ES277" s="30"/>
      <c r="ET277" s="30"/>
      <c r="EU277" s="30"/>
      <c r="EW277" s="30"/>
      <c r="EX277" s="30"/>
      <c r="EY277" s="30"/>
      <c r="EZ277" s="30"/>
      <c r="FA277" s="30"/>
      <c r="FB277" s="30"/>
    </row>
    <row r="278" spans="1:229" s="7" customFormat="1" ht="15.75" hidden="1" customHeight="1" outlineLevel="2">
      <c r="A278" s="2"/>
      <c r="C278" s="30"/>
      <c r="D278" s="105" t="s">
        <v>1002</v>
      </c>
      <c r="E278" s="101"/>
      <c r="N278" s="36"/>
      <c r="O278" s="36"/>
      <c r="P278" s="458"/>
      <c r="Q278" s="458"/>
      <c r="CI278" s="103"/>
      <c r="DN278" s="356"/>
      <c r="DO278" s="356"/>
      <c r="DP278" s="38"/>
      <c r="DQ278" s="38"/>
      <c r="DR278" s="38"/>
      <c r="DS278" s="38"/>
      <c r="DT278" s="38"/>
      <c r="DU278" s="38"/>
      <c r="DV278" s="38"/>
      <c r="DW278" s="38"/>
      <c r="DX278" s="38"/>
      <c r="DY278" s="38"/>
      <c r="DZ278" s="38"/>
      <c r="EA278" s="38"/>
      <c r="EE278" s="238"/>
      <c r="EF278" s="238"/>
      <c r="EG278" s="238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W278" s="30"/>
      <c r="EX278" s="30"/>
      <c r="EY278" s="30"/>
      <c r="EZ278" s="30"/>
      <c r="FA278" s="30"/>
      <c r="FB278" s="30"/>
    </row>
    <row r="279" spans="1:229" s="7" customFormat="1" ht="15.75" hidden="1" customHeight="1" outlineLevel="2">
      <c r="A279" s="2"/>
      <c r="D279" s="117">
        <f>1/(300000000*9.66E+24*D274*D269/(273+D270)*2*PI()*0.00000000000000282^2*D275^2*D273*D272/(D271/2000)^2/(1957*E4)^2)/3600</f>
        <v>265.97472130668393</v>
      </c>
      <c r="F279" s="25" t="s">
        <v>1019</v>
      </c>
      <c r="G279" s="118"/>
      <c r="H279" s="118"/>
      <c r="I279" s="118"/>
      <c r="J279" s="118"/>
      <c r="N279" s="36"/>
      <c r="O279" s="36"/>
      <c r="P279" s="458"/>
      <c r="Q279" s="458"/>
      <c r="CI279" s="103"/>
      <c r="DN279" s="356"/>
      <c r="DO279" s="356"/>
      <c r="DP279" s="38"/>
      <c r="DQ279" s="38"/>
      <c r="DR279" s="38"/>
      <c r="DS279" s="38"/>
      <c r="DT279" s="38"/>
      <c r="DU279" s="38"/>
      <c r="DV279" s="38"/>
      <c r="DW279" s="38"/>
      <c r="DX279" s="38"/>
      <c r="DY279" s="38"/>
      <c r="DZ279" s="38"/>
      <c r="EA279" s="38"/>
      <c r="EE279" s="238"/>
      <c r="EF279" s="238"/>
      <c r="EG279" s="238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W279" s="30"/>
      <c r="EX279" s="30"/>
      <c r="EY279" s="30"/>
      <c r="EZ279" s="30"/>
      <c r="FA279" s="30"/>
      <c r="FB279" s="30"/>
    </row>
    <row r="280" spans="1:229" s="7" customFormat="1" ht="15.75" hidden="1" customHeight="1" outlineLevel="2">
      <c r="A280" s="2"/>
      <c r="C280" s="105"/>
      <c r="D280" s="117">
        <f>1/(300000000*9.66E+24*D274*D269/(273+D270)*4*0.00000000000000282^2*D275^2*4/3/137*LN(183/D275^(1/3))*(LN(1/D276*100)-5/8))/3600</f>
        <v>233.92205180814329</v>
      </c>
      <c r="F280" s="25" t="s">
        <v>1158</v>
      </c>
      <c r="G280" s="118"/>
      <c r="H280" s="118"/>
      <c r="I280" s="118"/>
      <c r="J280" s="118"/>
      <c r="N280" s="36"/>
      <c r="O280" s="36"/>
      <c r="P280" s="458"/>
      <c r="Q280" s="458"/>
      <c r="CI280" s="103"/>
      <c r="DN280" s="356"/>
      <c r="DO280" s="356"/>
      <c r="DP280" s="38"/>
      <c r="DQ280" s="38"/>
      <c r="DR280" s="38"/>
      <c r="DS280" s="38"/>
      <c r="DT280" s="38"/>
      <c r="DU280" s="38"/>
      <c r="DV280" s="38"/>
      <c r="DW280" s="38"/>
      <c r="DX280" s="38"/>
      <c r="DY280" s="38"/>
      <c r="DZ280" s="38"/>
      <c r="EA280" s="38"/>
      <c r="EE280" s="238"/>
      <c r="EF280" s="238"/>
      <c r="EG280" s="238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W280" s="30"/>
      <c r="EX280" s="30"/>
      <c r="EY280" s="30"/>
      <c r="EZ280" s="30"/>
      <c r="FA280" s="30"/>
      <c r="FB280" s="30"/>
    </row>
    <row r="281" spans="1:229" s="7" customFormat="1" ht="15.75" hidden="1" customHeight="1" outlineLevel="2">
      <c r="A281" s="2"/>
      <c r="C281" s="105"/>
      <c r="D281" s="117">
        <f>1/(300000000*9.66E+24*D274*D269/(273+D270)*2*PI()*0.00000000000000282^2*D275/(1957*E4)/D276*100)/3600</f>
        <v>35956.195753075357</v>
      </c>
      <c r="F281" s="25" t="s">
        <v>237</v>
      </c>
      <c r="G281" s="118"/>
      <c r="H281" s="118"/>
      <c r="I281" s="118"/>
      <c r="J281" s="118"/>
      <c r="N281" s="36"/>
      <c r="O281" s="36"/>
      <c r="P281" s="458"/>
      <c r="Q281" s="458"/>
      <c r="CI281" s="103"/>
      <c r="DN281" s="356"/>
      <c r="DO281" s="356"/>
      <c r="DP281" s="38"/>
      <c r="DQ281" s="38"/>
      <c r="DR281" s="38"/>
      <c r="DS281" s="38"/>
      <c r="DT281" s="38"/>
      <c r="DU281" s="38"/>
      <c r="DV281" s="38"/>
      <c r="DW281" s="38"/>
      <c r="DX281" s="38"/>
      <c r="DY281" s="38"/>
      <c r="DZ281" s="38"/>
      <c r="EA281" s="38"/>
      <c r="EE281" s="238"/>
      <c r="EF281" s="238"/>
      <c r="EG281" s="238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W281" s="30"/>
      <c r="EX281" s="30"/>
      <c r="EY281" s="30"/>
      <c r="EZ281" s="30"/>
      <c r="FA281" s="30"/>
      <c r="FB281" s="30"/>
    </row>
    <row r="282" spans="1:229" s="7" customFormat="1" ht="15.75" hidden="1" customHeight="1" outlineLevel="2">
      <c r="A282" s="2"/>
      <c r="C282" s="105"/>
      <c r="D282" s="29">
        <f>1/(300000000*9.66E+24*D274*D269/(273+D270)*4*0.00000000000000282^2*D275*4/3/137*(LN(2.5*1957*E4/D276*100)-1.4)*(LN(1/D276*100)-5/8))/3600</f>
        <v>583.18362137923521</v>
      </c>
      <c r="F282" s="25" t="s">
        <v>190</v>
      </c>
      <c r="N282" s="36"/>
      <c r="O282" s="36"/>
      <c r="P282" s="458"/>
      <c r="Q282" s="458"/>
      <c r="CI282" s="103"/>
      <c r="DN282" s="356"/>
      <c r="DO282" s="356"/>
      <c r="DP282" s="38"/>
      <c r="DQ282" s="38"/>
      <c r="DR282" s="38"/>
      <c r="DS282" s="38"/>
      <c r="DT282" s="38"/>
      <c r="DU282" s="38"/>
      <c r="DV282" s="38"/>
      <c r="DW282" s="38"/>
      <c r="DX282" s="38"/>
      <c r="DY282" s="38"/>
      <c r="DZ282" s="38"/>
      <c r="EA282" s="38"/>
      <c r="EE282" s="238"/>
      <c r="EF282" s="238"/>
      <c r="EG282" s="238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W282" s="30"/>
      <c r="EX282" s="30"/>
      <c r="EY282" s="30"/>
      <c r="EZ282" s="30"/>
      <c r="FA282" s="30"/>
      <c r="FB282" s="30"/>
    </row>
    <row r="283" spans="1:229" s="7" customFormat="1" ht="15.75" hidden="1" customHeight="1" outlineLevel="2">
      <c r="A283" s="2"/>
      <c r="C283" s="105"/>
      <c r="D283" s="117">
        <f>1/(1/D265+1/D279+1/D280+1/D281+1/D282)</f>
        <v>63.762930149049382</v>
      </c>
      <c r="F283" s="101" t="s">
        <v>118</v>
      </c>
      <c r="N283" s="36"/>
      <c r="O283" s="36"/>
      <c r="P283" s="458"/>
      <c r="Q283" s="458"/>
      <c r="CI283" s="103"/>
      <c r="DN283" s="356"/>
      <c r="DO283" s="356"/>
      <c r="DP283" s="38"/>
      <c r="DQ283" s="38"/>
      <c r="DR283" s="38"/>
      <c r="DS283" s="38"/>
      <c r="DT283" s="38"/>
      <c r="DU283" s="38"/>
      <c r="DV283" s="38"/>
      <c r="DW283" s="38"/>
      <c r="DX283" s="38"/>
      <c r="DY283" s="38"/>
      <c r="DZ283" s="38"/>
      <c r="EA283" s="38"/>
      <c r="EE283" s="238"/>
      <c r="EF283" s="238"/>
      <c r="EG283" s="238"/>
      <c r="EH283" s="30"/>
      <c r="EI283" s="30"/>
      <c r="EJ283" s="30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W283" s="30"/>
      <c r="EX283" s="30"/>
      <c r="EY283" s="30"/>
      <c r="EZ283" s="30"/>
      <c r="FA283" s="30"/>
      <c r="FB283" s="30"/>
    </row>
    <row r="284" spans="1:229" s="7" customFormat="1" ht="15.75" hidden="1" customHeight="1" outlineLevel="2">
      <c r="A284" s="2"/>
      <c r="C284" s="105"/>
      <c r="N284" s="36"/>
      <c r="O284" s="36"/>
      <c r="P284" s="458"/>
      <c r="Q284" s="458"/>
      <c r="CI284" s="103"/>
      <c r="DN284" s="356"/>
      <c r="DO284" s="356"/>
      <c r="DP284" s="38"/>
      <c r="DQ284" s="38"/>
      <c r="DR284" s="38"/>
      <c r="DS284" s="38"/>
      <c r="DT284" s="38"/>
      <c r="DU284" s="38"/>
      <c r="DV284" s="38"/>
      <c r="DW284" s="38"/>
      <c r="DX284" s="38"/>
      <c r="DY284" s="38"/>
      <c r="DZ284" s="38"/>
      <c r="EA284" s="38"/>
      <c r="EE284" s="238"/>
      <c r="EF284" s="238"/>
      <c r="EG284" s="238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W284" s="30"/>
      <c r="EX284" s="30"/>
      <c r="EY284" s="30"/>
      <c r="EZ284" s="30"/>
      <c r="FA284" s="30"/>
      <c r="FB284" s="30"/>
    </row>
    <row r="285" spans="1:229" s="7" customFormat="1" ht="15.75" hidden="1" customHeight="1" outlineLevel="2">
      <c r="A285" s="2"/>
      <c r="C285" s="105"/>
      <c r="N285" s="36"/>
      <c r="O285" s="36"/>
      <c r="P285" s="458"/>
      <c r="Q285" s="458"/>
      <c r="CI285" s="103"/>
      <c r="DN285" s="356"/>
      <c r="DO285" s="356"/>
      <c r="DP285" s="38"/>
      <c r="DQ285" s="38"/>
      <c r="DR285" s="38"/>
      <c r="DS285" s="38"/>
      <c r="DT285" s="38"/>
      <c r="DU285" s="38"/>
      <c r="DV285" s="38"/>
      <c r="DW285" s="38"/>
      <c r="DX285" s="38"/>
      <c r="DY285" s="38"/>
      <c r="DZ285" s="38"/>
      <c r="EA285" s="38"/>
      <c r="EE285" s="238"/>
      <c r="EF285" s="238"/>
      <c r="EG285" s="238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W285" s="30"/>
      <c r="EX285" s="30"/>
      <c r="EY285" s="30"/>
      <c r="EZ285" s="30"/>
      <c r="FA285" s="30"/>
      <c r="FB285" s="30"/>
    </row>
    <row r="286" spans="1:229" s="2" customFormat="1" ht="15.75" customHeight="1" collapsed="1">
      <c r="B286" s="1" t="s">
        <v>145</v>
      </c>
      <c r="D286" s="3"/>
      <c r="N286" s="6"/>
      <c r="O286" s="6"/>
      <c r="P286" s="456"/>
      <c r="Q286" s="456"/>
      <c r="DN286" s="420"/>
      <c r="DO286" s="420"/>
      <c r="DP286" s="439"/>
      <c r="DQ286" s="439"/>
      <c r="DR286" s="439"/>
      <c r="DS286" s="439"/>
      <c r="DT286" s="439"/>
      <c r="DU286" s="439"/>
      <c r="DV286" s="439"/>
      <c r="DW286" s="439"/>
      <c r="DX286" s="439"/>
      <c r="DY286" s="439"/>
      <c r="DZ286" s="439"/>
      <c r="EA286" s="439"/>
      <c r="EE286" s="337"/>
      <c r="EF286" s="337"/>
      <c r="EG286" s="337"/>
      <c r="EH286" s="338"/>
      <c r="EI286" s="338"/>
      <c r="EJ286" s="338"/>
      <c r="EK286" s="338"/>
      <c r="EL286" s="338"/>
      <c r="EM286" s="338"/>
      <c r="EN286" s="338"/>
      <c r="EO286" s="338"/>
      <c r="EP286" s="338"/>
      <c r="EQ286" s="338"/>
      <c r="ER286" s="338"/>
      <c r="ES286" s="338"/>
      <c r="ET286" s="338"/>
      <c r="EU286" s="338"/>
      <c r="EV286" s="7"/>
      <c r="EW286" s="30"/>
      <c r="EX286" s="30"/>
      <c r="EY286" s="30"/>
      <c r="EZ286" s="30"/>
      <c r="FA286" s="30"/>
      <c r="FB286" s="30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</row>
    <row r="287" spans="1:229" s="7" customFormat="1" ht="15.75" hidden="1" customHeight="1" outlineLevel="1">
      <c r="A287" s="2"/>
      <c r="C287" s="105"/>
      <c r="N287" s="36"/>
      <c r="O287" s="36"/>
      <c r="P287" s="458"/>
      <c r="Q287" s="458"/>
      <c r="CI287" s="103"/>
      <c r="DN287" s="356"/>
      <c r="DO287" s="356"/>
      <c r="DP287" s="38"/>
      <c r="DQ287" s="38"/>
      <c r="DR287" s="38"/>
      <c r="DS287" s="38"/>
      <c r="DT287" s="38"/>
      <c r="DU287" s="38"/>
      <c r="DV287" s="38"/>
      <c r="DW287" s="38"/>
      <c r="DX287" s="38"/>
      <c r="DY287" s="38"/>
      <c r="DZ287" s="38"/>
      <c r="EA287" s="38"/>
      <c r="EE287" s="238"/>
      <c r="EF287" s="238"/>
      <c r="EG287" s="238"/>
      <c r="EH287" s="30"/>
      <c r="EI287" s="30"/>
      <c r="EJ287" s="30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W287" s="30"/>
      <c r="EX287" s="30"/>
      <c r="EY287" s="30"/>
      <c r="EZ287" s="30"/>
      <c r="FA287" s="30"/>
      <c r="FB287" s="30"/>
    </row>
    <row r="288" spans="1:229" s="7" customFormat="1" ht="15.75" hidden="1" customHeight="1" outlineLevel="1">
      <c r="A288" s="2"/>
      <c r="C288" s="325" t="s">
        <v>1170</v>
      </c>
      <c r="N288" s="36"/>
      <c r="O288" s="36"/>
      <c r="P288" s="458"/>
      <c r="Q288" s="458"/>
      <c r="CI288" s="103"/>
      <c r="DN288" s="356"/>
      <c r="DO288" s="356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E288" s="238"/>
      <c r="EF288" s="238"/>
      <c r="EG288" s="238"/>
      <c r="EH288" s="30"/>
      <c r="EI288" s="30"/>
      <c r="EJ288" s="30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W288" s="30"/>
      <c r="EX288" s="30"/>
      <c r="EY288" s="30"/>
      <c r="EZ288" s="30"/>
      <c r="FA288" s="30"/>
      <c r="FB288" s="30"/>
    </row>
    <row r="289" spans="1:158" s="7" customFormat="1" ht="15.75" hidden="1" customHeight="1" outlineLevel="1" collapsed="1">
      <c r="A289" s="2"/>
      <c r="C289" s="325"/>
      <c r="F289" s="7" t="s">
        <v>271</v>
      </c>
      <c r="N289" s="36"/>
      <c r="O289" s="36"/>
      <c r="P289" s="458"/>
      <c r="Q289" s="458"/>
      <c r="CI289" s="103"/>
      <c r="DN289" s="356"/>
      <c r="DO289" s="356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E289" s="238"/>
      <c r="EF289" s="238"/>
      <c r="EG289" s="238"/>
      <c r="EH289" s="30"/>
      <c r="EI289" s="30"/>
      <c r="EJ289" s="30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W289" s="30"/>
      <c r="EX289" s="30"/>
      <c r="EY289" s="30"/>
      <c r="EZ289" s="30"/>
      <c r="FA289" s="30"/>
      <c r="FB289" s="30"/>
    </row>
    <row r="290" spans="1:158" s="7" customFormat="1" ht="15.75" hidden="1" customHeight="1" outlineLevel="2">
      <c r="A290" s="2"/>
      <c r="C290" s="105"/>
      <c r="F290" s="7" t="s">
        <v>1061</v>
      </c>
      <c r="N290" s="36"/>
      <c r="O290" s="36"/>
      <c r="P290" s="458"/>
      <c r="Q290" s="458"/>
      <c r="CI290" s="103"/>
      <c r="DN290" s="356"/>
      <c r="DO290" s="356"/>
      <c r="DP290" s="38"/>
      <c r="DQ290" s="38"/>
      <c r="DR290" s="38"/>
      <c r="DS290" s="38"/>
      <c r="DT290" s="38"/>
      <c r="DU290" s="38"/>
      <c r="DV290" s="38"/>
      <c r="DW290" s="38"/>
      <c r="DX290" s="38"/>
      <c r="DY290" s="38"/>
      <c r="DZ290" s="38"/>
      <c r="EA290" s="38"/>
      <c r="EE290" s="238"/>
      <c r="EF290" s="238"/>
      <c r="EG290" s="238"/>
      <c r="EH290" s="30"/>
      <c r="EI290" s="30"/>
      <c r="EJ290" s="30"/>
      <c r="EK290" s="30"/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W290" s="30"/>
      <c r="EX290" s="30"/>
      <c r="EY290" s="30"/>
      <c r="EZ290" s="30"/>
      <c r="FA290" s="30"/>
      <c r="FB290" s="30"/>
    </row>
    <row r="291" spans="1:158" s="7" customFormat="1" ht="15.75" hidden="1" customHeight="1" outlineLevel="2">
      <c r="A291" s="2"/>
      <c r="C291" s="105"/>
      <c r="F291" s="7" t="s">
        <v>593</v>
      </c>
      <c r="N291" s="36"/>
      <c r="O291" s="36"/>
      <c r="P291" s="458"/>
      <c r="Q291" s="458"/>
      <c r="CI291" s="103"/>
      <c r="DN291" s="356"/>
      <c r="DO291" s="356"/>
      <c r="DP291" s="38"/>
      <c r="DQ291" s="38"/>
      <c r="DR291" s="38"/>
      <c r="DS291" s="38"/>
      <c r="DT291" s="38"/>
      <c r="DU291" s="38"/>
      <c r="DV291" s="38"/>
      <c r="DW291" s="38"/>
      <c r="DX291" s="38"/>
      <c r="DY291" s="38"/>
      <c r="DZ291" s="38"/>
      <c r="EA291" s="38"/>
      <c r="EE291" s="238"/>
      <c r="EF291" s="238"/>
      <c r="EG291" s="238"/>
      <c r="EH291" s="30"/>
      <c r="EI291" s="30"/>
      <c r="EJ291" s="30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W291" s="30"/>
      <c r="EX291" s="30"/>
      <c r="EY291" s="30"/>
      <c r="EZ291" s="30"/>
      <c r="FA291" s="30"/>
      <c r="FB291" s="30"/>
    </row>
    <row r="292" spans="1:158" s="7" customFormat="1" ht="15.75" hidden="1" customHeight="1" outlineLevel="2">
      <c r="A292" s="2"/>
      <c r="C292" s="105"/>
      <c r="F292" s="7" t="s">
        <v>1083</v>
      </c>
      <c r="N292" s="36"/>
      <c r="O292" s="36"/>
      <c r="P292" s="458"/>
      <c r="Q292" s="458"/>
      <c r="CI292" s="103"/>
      <c r="DN292" s="356"/>
      <c r="DO292" s="356"/>
      <c r="DP292" s="38"/>
      <c r="DQ292" s="38"/>
      <c r="DR292" s="38"/>
      <c r="DS292" s="38"/>
      <c r="DT292" s="38"/>
      <c r="DU292" s="38"/>
      <c r="DV292" s="38"/>
      <c r="DW292" s="38"/>
      <c r="DX292" s="38"/>
      <c r="DY292" s="38"/>
      <c r="DZ292" s="38"/>
      <c r="EA292" s="38"/>
      <c r="EE292" s="238"/>
      <c r="EF292" s="238"/>
      <c r="EG292" s="238"/>
      <c r="EH292" s="30"/>
      <c r="EI292" s="30"/>
      <c r="EJ292" s="30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W292" s="30"/>
      <c r="EX292" s="30"/>
      <c r="EY292" s="30"/>
      <c r="EZ292" s="30"/>
      <c r="FA292" s="30"/>
      <c r="FB292" s="30"/>
    </row>
    <row r="293" spans="1:158" s="7" customFormat="1" ht="15.75" hidden="1" customHeight="1" outlineLevel="2">
      <c r="A293" s="2"/>
      <c r="C293" s="105"/>
      <c r="F293" s="7" t="s">
        <v>763</v>
      </c>
      <c r="N293" s="36"/>
      <c r="O293" s="36"/>
      <c r="P293" s="458"/>
      <c r="Q293" s="458"/>
      <c r="CI293" s="103"/>
      <c r="DN293" s="356"/>
      <c r="DO293" s="356"/>
      <c r="DP293" s="38"/>
      <c r="DQ293" s="38"/>
      <c r="DR293" s="38"/>
      <c r="DS293" s="38"/>
      <c r="DT293" s="38"/>
      <c r="DU293" s="38"/>
      <c r="DV293" s="38"/>
      <c r="DW293" s="38"/>
      <c r="DX293" s="38"/>
      <c r="DY293" s="38"/>
      <c r="DZ293" s="38"/>
      <c r="EA293" s="38"/>
      <c r="EE293" s="238"/>
      <c r="EF293" s="238"/>
      <c r="EG293" s="238"/>
      <c r="EH293" s="30"/>
      <c r="EI293" s="30"/>
      <c r="EJ293" s="30"/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W293" s="30"/>
      <c r="EX293" s="30"/>
      <c r="EY293" s="30"/>
      <c r="EZ293" s="30"/>
      <c r="FA293" s="30"/>
      <c r="FB293" s="30"/>
    </row>
    <row r="294" spans="1:158" s="7" customFormat="1" ht="15.75" hidden="1" customHeight="1" outlineLevel="2">
      <c r="A294" s="2"/>
      <c r="C294" s="105"/>
      <c r="N294" s="36"/>
      <c r="O294" s="36"/>
      <c r="P294" s="458"/>
      <c r="Q294" s="458"/>
      <c r="CI294" s="103"/>
      <c r="DN294" s="356"/>
      <c r="DO294" s="356"/>
      <c r="DP294" s="38"/>
      <c r="DQ294" s="38"/>
      <c r="DR294" s="38"/>
      <c r="DS294" s="38"/>
      <c r="DT294" s="38"/>
      <c r="DU294" s="38"/>
      <c r="DV294" s="38"/>
      <c r="DW294" s="38"/>
      <c r="DX294" s="38"/>
      <c r="DY294" s="38"/>
      <c r="DZ294" s="38"/>
      <c r="EA294" s="38"/>
      <c r="EE294" s="238"/>
      <c r="EF294" s="238"/>
      <c r="EG294" s="238"/>
      <c r="EH294" s="30"/>
      <c r="EI294" s="30"/>
      <c r="EJ294" s="30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W294" s="30"/>
      <c r="EX294" s="30"/>
      <c r="EY294" s="30"/>
      <c r="EZ294" s="30"/>
      <c r="FA294" s="30"/>
      <c r="FB294" s="30"/>
    </row>
    <row r="295" spans="1:158" s="7" customFormat="1" ht="15.75" hidden="1" customHeight="1" outlineLevel="1">
      <c r="A295" s="2"/>
      <c r="C295" s="105"/>
      <c r="D295" s="109">
        <v>10</v>
      </c>
      <c r="F295" s="7" t="s">
        <v>743</v>
      </c>
      <c r="N295" s="36"/>
      <c r="O295" s="36"/>
      <c r="P295" s="458"/>
      <c r="Q295" s="458"/>
      <c r="CI295" s="103"/>
      <c r="DN295" s="356"/>
      <c r="DO295" s="356"/>
      <c r="DP295" s="38"/>
      <c r="DQ295" s="38"/>
      <c r="DR295" s="38"/>
      <c r="DS295" s="38"/>
      <c r="DT295" s="38"/>
      <c r="DU295" s="38"/>
      <c r="DV295" s="38"/>
      <c r="DW295" s="38"/>
      <c r="DX295" s="38"/>
      <c r="DY295" s="38"/>
      <c r="DZ295" s="38"/>
      <c r="EA295" s="38"/>
      <c r="EE295" s="238"/>
      <c r="EF295" s="238"/>
      <c r="EG295" s="238"/>
      <c r="EH295" s="30"/>
      <c r="EI295" s="30"/>
      <c r="EJ295" s="30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W295" s="30"/>
      <c r="EX295" s="30"/>
      <c r="EY295" s="30"/>
      <c r="EZ295" s="30"/>
      <c r="FA295" s="30"/>
      <c r="FB295" s="30"/>
    </row>
    <row r="296" spans="1:158" s="7" customFormat="1" ht="15.75" hidden="1" customHeight="1" outlineLevel="1">
      <c r="A296" s="2"/>
      <c r="C296" s="105"/>
      <c r="D296" s="109">
        <v>1</v>
      </c>
      <c r="F296" s="7" t="s">
        <v>617</v>
      </c>
      <c r="N296" s="36"/>
      <c r="O296" s="36"/>
      <c r="P296" s="458"/>
      <c r="Q296" s="458"/>
      <c r="CI296" s="103"/>
      <c r="DN296" s="356"/>
      <c r="DO296" s="356"/>
      <c r="DP296" s="38"/>
      <c r="DQ296" s="38"/>
      <c r="DR296" s="38"/>
      <c r="DS296" s="38"/>
      <c r="DT296" s="38"/>
      <c r="DU296" s="38"/>
      <c r="DV296" s="38"/>
      <c r="DW296" s="38"/>
      <c r="DX296" s="38"/>
      <c r="DY296" s="38"/>
      <c r="DZ296" s="38"/>
      <c r="EA296" s="38"/>
      <c r="EE296" s="238"/>
      <c r="EF296" s="238"/>
      <c r="EG296" s="238"/>
      <c r="EH296" s="30"/>
      <c r="EI296" s="30"/>
      <c r="EJ296" s="30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W296" s="30"/>
      <c r="EX296" s="30"/>
      <c r="EY296" s="30"/>
      <c r="EZ296" s="30"/>
      <c r="FA296" s="30"/>
      <c r="FB296" s="30"/>
    </row>
    <row r="297" spans="1:158" s="7" customFormat="1" ht="15.75" hidden="1" customHeight="1" outlineLevel="1">
      <c r="A297" s="2"/>
      <c r="C297" s="105"/>
      <c r="D297" s="109">
        <v>1</v>
      </c>
      <c r="F297" s="7" t="s">
        <v>128</v>
      </c>
      <c r="N297" s="36"/>
      <c r="O297" s="36"/>
      <c r="P297" s="458"/>
      <c r="Q297" s="458"/>
      <c r="CI297" s="103"/>
      <c r="DN297" s="356"/>
      <c r="DO297" s="356"/>
      <c r="DP297" s="38"/>
      <c r="DQ297" s="38"/>
      <c r="DR297" s="38"/>
      <c r="DS297" s="38"/>
      <c r="DT297" s="38"/>
      <c r="DU297" s="38"/>
      <c r="DV297" s="38"/>
      <c r="DW297" s="38"/>
      <c r="DX297" s="38"/>
      <c r="DY297" s="38"/>
      <c r="DZ297" s="38"/>
      <c r="EA297" s="38"/>
      <c r="EE297" s="238"/>
      <c r="EF297" s="238"/>
      <c r="EG297" s="238"/>
      <c r="EH297" s="30"/>
      <c r="EI297" s="30"/>
      <c r="EJ297" s="30"/>
      <c r="EK297" s="30"/>
      <c r="EL297" s="30"/>
      <c r="EM297" s="30"/>
      <c r="EN297" s="30"/>
      <c r="EO297" s="30"/>
      <c r="EP297" s="30"/>
      <c r="EQ297" s="30"/>
      <c r="ER297" s="30"/>
      <c r="ES297" s="30"/>
      <c r="ET297" s="30"/>
      <c r="EU297" s="30"/>
      <c r="EW297" s="30"/>
      <c r="EX297" s="30"/>
      <c r="EY297" s="30"/>
      <c r="EZ297" s="30"/>
      <c r="FA297" s="30"/>
      <c r="FB297" s="30"/>
    </row>
    <row r="298" spans="1:158" s="7" customFormat="1" ht="15.75" hidden="1" customHeight="1" outlineLevel="1">
      <c r="A298" s="2"/>
      <c r="C298" s="105"/>
      <c r="D298" s="109">
        <v>0.09</v>
      </c>
      <c r="F298" s="7" t="s">
        <v>712</v>
      </c>
      <c r="N298" s="36"/>
      <c r="O298" s="36"/>
      <c r="P298" s="458"/>
      <c r="Q298" s="458"/>
      <c r="CI298" s="103"/>
      <c r="DN298" s="356"/>
      <c r="DO298" s="356"/>
      <c r="DP298" s="38"/>
      <c r="DQ298" s="38"/>
      <c r="DR298" s="38"/>
      <c r="DS298" s="38"/>
      <c r="DT298" s="38"/>
      <c r="DU298" s="38"/>
      <c r="DV298" s="38"/>
      <c r="DW298" s="38"/>
      <c r="DX298" s="38"/>
      <c r="DY298" s="38"/>
      <c r="DZ298" s="38"/>
      <c r="EA298" s="38"/>
      <c r="EE298" s="238"/>
      <c r="EF298" s="238"/>
      <c r="EG298" s="238"/>
      <c r="EH298" s="30"/>
      <c r="EI298" s="30"/>
      <c r="EJ298" s="30"/>
      <c r="EK298" s="30"/>
      <c r="EL298" s="30"/>
      <c r="EM298" s="30"/>
      <c r="EN298" s="30"/>
      <c r="EO298" s="30"/>
      <c r="EP298" s="30"/>
      <c r="EQ298" s="30"/>
      <c r="ER298" s="30"/>
      <c r="ES298" s="30"/>
      <c r="ET298" s="30"/>
      <c r="EU298" s="30"/>
      <c r="EW298" s="30"/>
      <c r="EX298" s="30"/>
      <c r="EY298" s="30"/>
      <c r="EZ298" s="30"/>
      <c r="FA298" s="30"/>
      <c r="FB298" s="30"/>
    </row>
    <row r="299" spans="1:158" s="7" customFormat="1" ht="15.75" hidden="1" customHeight="1" outlineLevel="1">
      <c r="A299" s="2"/>
      <c r="C299" s="105"/>
      <c r="D299" s="112">
        <f>E240</f>
        <v>4.3544848734443597</v>
      </c>
      <c r="F299" s="7" t="s">
        <v>195</v>
      </c>
      <c r="N299" s="36"/>
      <c r="O299" s="36"/>
      <c r="P299" s="458"/>
      <c r="Q299" s="458"/>
      <c r="CI299" s="103"/>
      <c r="DN299" s="356"/>
      <c r="DO299" s="356"/>
      <c r="DP299" s="38"/>
      <c r="DQ299" s="38"/>
      <c r="DR299" s="38"/>
      <c r="DS299" s="38"/>
      <c r="DT299" s="38"/>
      <c r="DU299" s="38"/>
      <c r="DV299" s="38"/>
      <c r="DW299" s="38"/>
      <c r="DX299" s="38"/>
      <c r="DY299" s="38"/>
      <c r="DZ299" s="38"/>
      <c r="EA299" s="38"/>
      <c r="EE299" s="238"/>
      <c r="EF299" s="238"/>
      <c r="EG299" s="238"/>
      <c r="EH299" s="30"/>
      <c r="EI299" s="30"/>
      <c r="EJ299" s="30"/>
      <c r="EK299" s="30"/>
      <c r="EL299" s="30"/>
      <c r="EM299" s="30"/>
      <c r="EN299" s="30"/>
      <c r="EO299" s="30"/>
      <c r="EP299" s="30"/>
      <c r="EQ299" s="30"/>
      <c r="ER299" s="30"/>
      <c r="ES299" s="30"/>
      <c r="ET299" s="30"/>
      <c r="EU299" s="30"/>
      <c r="EW299" s="30"/>
      <c r="EX299" s="30"/>
      <c r="EY299" s="30"/>
      <c r="EZ299" s="30"/>
      <c r="FA299" s="30"/>
      <c r="FB299" s="30"/>
    </row>
    <row r="300" spans="1:158" s="7" customFormat="1" ht="15.75" hidden="1" customHeight="1" outlineLevel="1">
      <c r="A300" s="2"/>
      <c r="C300" s="105"/>
      <c r="D300" s="112">
        <f>(D297+D298)*D295/D296/1000/T_Energy/1000000000*D155/SQRT(2*PI())/(E235)^2 *(D159/2/PI()/D299*1000)^3</f>
        <v>107.09060289182113</v>
      </c>
      <c r="F300" s="7" t="s">
        <v>616</v>
      </c>
      <c r="N300" s="36"/>
      <c r="O300" s="36"/>
      <c r="P300" s="458"/>
      <c r="Q300" s="458"/>
      <c r="CI300" s="103"/>
      <c r="DN300" s="356"/>
      <c r="DO300" s="356"/>
      <c r="DP300" s="38"/>
      <c r="DQ300" s="38"/>
      <c r="DR300" s="38"/>
      <c r="DS300" s="38"/>
      <c r="DT300" s="38"/>
      <c r="DU300" s="38"/>
      <c r="DV300" s="38"/>
      <c r="DW300" s="38"/>
      <c r="DX300" s="38"/>
      <c r="DY300" s="38"/>
      <c r="DZ300" s="38"/>
      <c r="EA300" s="38"/>
      <c r="EE300" s="238"/>
      <c r="EF300" s="238"/>
      <c r="EG300" s="238"/>
      <c r="EH300" s="30"/>
      <c r="EI300" s="30"/>
      <c r="EJ300" s="30"/>
      <c r="EK300" s="30"/>
      <c r="EL300" s="30"/>
      <c r="EM300" s="30"/>
      <c r="EN300" s="30"/>
      <c r="EO300" s="30"/>
      <c r="EP300" s="30"/>
      <c r="EQ300" s="30"/>
      <c r="ER300" s="30"/>
      <c r="ES300" s="30"/>
      <c r="ET300" s="30"/>
      <c r="EU300" s="30"/>
      <c r="EW300" s="30"/>
      <c r="EX300" s="30"/>
      <c r="EY300" s="30"/>
      <c r="EZ300" s="30"/>
      <c r="FA300" s="30"/>
      <c r="FB300" s="30"/>
    </row>
    <row r="301" spans="1:158" s="7" customFormat="1" ht="15.75" hidden="1" customHeight="1" outlineLevel="1">
      <c r="A301" s="2"/>
      <c r="C301" s="105"/>
      <c r="D301" s="112"/>
      <c r="N301" s="36"/>
      <c r="O301" s="36"/>
      <c r="P301" s="458"/>
      <c r="Q301" s="458"/>
      <c r="CI301" s="103"/>
      <c r="DN301" s="356"/>
      <c r="DO301" s="356"/>
      <c r="DP301" s="38"/>
      <c r="DQ301" s="38"/>
      <c r="DR301" s="38"/>
      <c r="DS301" s="38"/>
      <c r="DT301" s="38"/>
      <c r="DU301" s="38"/>
      <c r="DV301" s="38"/>
      <c r="DW301" s="38"/>
      <c r="DX301" s="38"/>
      <c r="DY301" s="38"/>
      <c r="DZ301" s="38"/>
      <c r="EA301" s="38"/>
      <c r="EE301" s="238"/>
      <c r="EF301" s="238"/>
      <c r="EG301" s="238"/>
      <c r="EH301" s="30"/>
      <c r="EI301" s="30"/>
      <c r="EJ301" s="30"/>
      <c r="EK301" s="30"/>
      <c r="EL301" s="30"/>
      <c r="EM301" s="30"/>
      <c r="EN301" s="30"/>
      <c r="EO301" s="30"/>
      <c r="EP301" s="30"/>
      <c r="EQ301" s="30"/>
      <c r="ER301" s="30"/>
      <c r="ES301" s="30"/>
      <c r="ET301" s="30"/>
      <c r="EU301" s="30"/>
      <c r="EW301" s="30"/>
      <c r="EX301" s="30"/>
      <c r="EY301" s="30"/>
      <c r="EZ301" s="30"/>
      <c r="FA301" s="30"/>
      <c r="FB301" s="30"/>
    </row>
    <row r="302" spans="1:158" s="7" customFormat="1" ht="15.75" hidden="1" customHeight="1" outlineLevel="1">
      <c r="A302" s="2"/>
      <c r="C302" s="105"/>
      <c r="D302" s="112">
        <f>IF(D300&gt;SQRT(4/27),(1/3*((27*D300+SQRT(729*D300^2-108))/2)^(1/3)+(2/(27*D300+SQRT(729*D300^2-108)))^(1/3)),1)*D299</f>
        <v>20.984206651130979</v>
      </c>
      <c r="F302" s="25" t="s">
        <v>851</v>
      </c>
      <c r="N302" s="36"/>
      <c r="O302" s="36"/>
      <c r="P302" s="458"/>
      <c r="Q302" s="458"/>
      <c r="CI302" s="103"/>
      <c r="DN302" s="356"/>
      <c r="DO302" s="356"/>
      <c r="DP302" s="38"/>
      <c r="DQ302" s="38"/>
      <c r="DR302" s="38"/>
      <c r="DS302" s="38"/>
      <c r="DT302" s="38"/>
      <c r="DU302" s="38"/>
      <c r="DV302" s="38"/>
      <c r="DW302" s="38"/>
      <c r="DX302" s="38"/>
      <c r="DY302" s="38"/>
      <c r="DZ302" s="38"/>
      <c r="EA302" s="38"/>
      <c r="EE302" s="238"/>
      <c r="EF302" s="238"/>
      <c r="EG302" s="238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W302" s="30"/>
      <c r="EX302" s="30"/>
      <c r="EY302" s="30"/>
      <c r="EZ302" s="30"/>
      <c r="FA302" s="30"/>
      <c r="FB302" s="30"/>
    </row>
    <row r="303" spans="1:158" s="7" customFormat="1" ht="15.75" hidden="1" customHeight="1" outlineLevel="1">
      <c r="A303" s="2"/>
      <c r="C303" s="105"/>
      <c r="D303" s="112">
        <f>SQRT(2*PI())*E235^2*T_Energy*1000000000/D155*(1/D298*SQRT(1+D297/D298))*(D299/D159*2*PI()/1000)^3*1000</f>
        <v>3.9357238559079706</v>
      </c>
      <c r="E303" s="30"/>
      <c r="F303" s="25" t="s">
        <v>12</v>
      </c>
      <c r="N303" s="36"/>
      <c r="O303" s="36"/>
      <c r="P303" s="458"/>
      <c r="Q303" s="458"/>
      <c r="CI303" s="103"/>
      <c r="DN303" s="356"/>
      <c r="DO303" s="356"/>
      <c r="DP303" s="38"/>
      <c r="DQ303" s="38"/>
      <c r="DR303" s="38"/>
      <c r="DS303" s="38"/>
      <c r="DT303" s="38"/>
      <c r="DU303" s="38"/>
      <c r="DV303" s="38"/>
      <c r="DW303" s="38"/>
      <c r="DX303" s="38"/>
      <c r="DY303" s="38"/>
      <c r="DZ303" s="38"/>
      <c r="EA303" s="38"/>
      <c r="EE303" s="238"/>
      <c r="EF303" s="238"/>
      <c r="EG303" s="238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W303" s="30"/>
      <c r="EX303" s="30"/>
      <c r="EY303" s="30"/>
      <c r="EZ303" s="30"/>
      <c r="FA303" s="30"/>
      <c r="FB303" s="30"/>
    </row>
    <row r="304" spans="1:158" s="7" customFormat="1" ht="15.75" hidden="1" customHeight="1" outlineLevel="1">
      <c r="A304" s="2"/>
      <c r="C304" s="105"/>
      <c r="D304" s="238">
        <f>IF(D295/D296&lt;D303,1,D320/D299/SQRT(1+D297/D298))*D167</f>
        <v>1.4719509213495421E-3</v>
      </c>
      <c r="E304" s="30"/>
      <c r="F304" s="25" t="s">
        <v>753</v>
      </c>
      <c r="N304" s="36"/>
      <c r="O304" s="36"/>
      <c r="P304" s="458"/>
      <c r="Q304" s="458"/>
      <c r="CI304" s="103"/>
      <c r="DN304" s="356"/>
      <c r="DO304" s="356"/>
      <c r="DP304" s="38"/>
      <c r="DQ304" s="38"/>
      <c r="DR304" s="38"/>
      <c r="DS304" s="38"/>
      <c r="DT304" s="38"/>
      <c r="DU304" s="38"/>
      <c r="DV304" s="38"/>
      <c r="DW304" s="38"/>
      <c r="DX304" s="38"/>
      <c r="DY304" s="38"/>
      <c r="DZ304" s="38"/>
      <c r="EA304" s="38"/>
      <c r="EE304" s="238"/>
      <c r="EF304" s="238"/>
      <c r="EG304" s="238"/>
      <c r="EH304" s="30"/>
      <c r="EI304" s="30"/>
      <c r="EJ304" s="30"/>
      <c r="EK304" s="30"/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W304" s="30"/>
      <c r="EX304" s="30"/>
      <c r="EY304" s="30"/>
      <c r="EZ304" s="30"/>
      <c r="FA304" s="30"/>
      <c r="FB304" s="30"/>
    </row>
    <row r="305" spans="1:158" s="7" customFormat="1" ht="15.75" hidden="1" customHeight="1" outlineLevel="1">
      <c r="A305" s="2"/>
      <c r="D305" s="112"/>
      <c r="E305" s="30"/>
      <c r="F305" s="25"/>
      <c r="N305" s="36"/>
      <c r="O305" s="36"/>
      <c r="P305" s="458"/>
      <c r="Q305" s="458"/>
      <c r="CI305" s="103"/>
      <c r="DN305" s="356"/>
      <c r="DO305" s="356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E305" s="238"/>
      <c r="EF305" s="238"/>
      <c r="EG305" s="238"/>
      <c r="EH305" s="30"/>
      <c r="EI305" s="30"/>
      <c r="EJ305" s="30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W305" s="30"/>
      <c r="EX305" s="30"/>
      <c r="EY305" s="30"/>
      <c r="EZ305" s="30"/>
      <c r="FA305" s="30"/>
      <c r="FB305" s="30"/>
    </row>
    <row r="306" spans="1:158" s="7" customFormat="1" ht="15.75" hidden="1" customHeight="1" outlineLevel="1">
      <c r="A306" s="2"/>
      <c r="C306" s="325" t="s">
        <v>1112</v>
      </c>
      <c r="D306" s="112"/>
      <c r="E306" s="30"/>
      <c r="F306" s="25"/>
      <c r="N306" s="36"/>
      <c r="O306" s="36"/>
      <c r="P306" s="458"/>
      <c r="Q306" s="458"/>
      <c r="CI306" s="103"/>
      <c r="DN306" s="356"/>
      <c r="DO306" s="356"/>
      <c r="DP306" s="38"/>
      <c r="DQ306" s="38"/>
      <c r="DR306" s="38"/>
      <c r="DS306" s="38"/>
      <c r="DT306" s="38"/>
      <c r="DU306" s="38"/>
      <c r="DV306" s="38"/>
      <c r="DW306" s="38"/>
      <c r="DX306" s="38"/>
      <c r="DY306" s="38"/>
      <c r="DZ306" s="38"/>
      <c r="EA306" s="38"/>
      <c r="EE306" s="238"/>
      <c r="EF306" s="238"/>
      <c r="EG306" s="238"/>
      <c r="EH306" s="30"/>
      <c r="EI306" s="30"/>
      <c r="EJ306" s="30"/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W306" s="30"/>
      <c r="EX306" s="30"/>
      <c r="EY306" s="30"/>
      <c r="EZ306" s="30"/>
      <c r="FA306" s="30"/>
      <c r="FB306" s="30"/>
    </row>
    <row r="307" spans="1:158" s="7" customFormat="1" ht="15.75" hidden="1" customHeight="1" outlineLevel="1" collapsed="1">
      <c r="A307" s="2"/>
      <c r="C307" s="325"/>
      <c r="D307" s="112"/>
      <c r="E307" s="30"/>
      <c r="F307" s="7" t="s">
        <v>271</v>
      </c>
      <c r="N307" s="36"/>
      <c r="O307" s="36"/>
      <c r="P307" s="458"/>
      <c r="Q307" s="458"/>
      <c r="CI307" s="103"/>
      <c r="DN307" s="356"/>
      <c r="DO307" s="356"/>
      <c r="DP307" s="38"/>
      <c r="DQ307" s="38"/>
      <c r="DR307" s="38"/>
      <c r="DS307" s="38"/>
      <c r="DT307" s="38"/>
      <c r="DU307" s="38"/>
      <c r="DV307" s="38"/>
      <c r="DW307" s="38"/>
      <c r="DX307" s="38"/>
      <c r="DY307" s="38"/>
      <c r="DZ307" s="38"/>
      <c r="EA307" s="38"/>
      <c r="EE307" s="238"/>
      <c r="EF307" s="238"/>
      <c r="EG307" s="238"/>
      <c r="EH307" s="30"/>
      <c r="EI307" s="30"/>
      <c r="EJ307" s="30"/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W307" s="30"/>
      <c r="EX307" s="30"/>
      <c r="EY307" s="30"/>
      <c r="EZ307" s="30"/>
      <c r="FA307" s="30"/>
      <c r="FB307" s="30"/>
    </row>
    <row r="308" spans="1:158" s="7" customFormat="1" ht="15.75" hidden="1" customHeight="1" outlineLevel="2">
      <c r="A308" s="2"/>
      <c r="C308" s="325"/>
      <c r="D308" s="112"/>
      <c r="E308" s="30"/>
      <c r="F308" s="7" t="s">
        <v>489</v>
      </c>
      <c r="N308" s="36"/>
      <c r="O308" s="36"/>
      <c r="P308" s="458"/>
      <c r="Q308" s="458"/>
      <c r="CI308" s="103"/>
      <c r="DN308" s="356"/>
      <c r="DO308" s="356"/>
      <c r="DP308" s="38"/>
      <c r="DQ308" s="38"/>
      <c r="DR308" s="38"/>
      <c r="DS308" s="38"/>
      <c r="DT308" s="38"/>
      <c r="DU308" s="38"/>
      <c r="DV308" s="38"/>
      <c r="DW308" s="38"/>
      <c r="DX308" s="38"/>
      <c r="DY308" s="38"/>
      <c r="DZ308" s="38"/>
      <c r="EA308" s="38"/>
      <c r="EE308" s="238"/>
      <c r="EF308" s="238"/>
      <c r="EG308" s="238"/>
      <c r="EH308" s="30"/>
      <c r="EI308" s="30"/>
      <c r="EJ308" s="30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W308" s="30"/>
      <c r="EX308" s="30"/>
      <c r="EY308" s="30"/>
      <c r="EZ308" s="30"/>
      <c r="FA308" s="30"/>
      <c r="FB308" s="30"/>
    </row>
    <row r="309" spans="1:158" s="7" customFormat="1" ht="15.75" hidden="1" customHeight="1" outlineLevel="2">
      <c r="A309" s="2"/>
      <c r="C309" s="325"/>
      <c r="D309" s="112"/>
      <c r="E309" s="30"/>
      <c r="F309" s="7" t="s">
        <v>583</v>
      </c>
      <c r="N309" s="36"/>
      <c r="O309" s="36"/>
      <c r="P309" s="458"/>
      <c r="Q309" s="458"/>
      <c r="CI309" s="103"/>
      <c r="DN309" s="356"/>
      <c r="DO309" s="356"/>
      <c r="DP309" s="38"/>
      <c r="DQ309" s="38"/>
      <c r="DR309" s="38"/>
      <c r="DS309" s="38"/>
      <c r="DT309" s="38"/>
      <c r="DU309" s="38"/>
      <c r="DV309" s="38"/>
      <c r="DW309" s="38"/>
      <c r="DX309" s="38"/>
      <c r="DY309" s="38"/>
      <c r="DZ309" s="38"/>
      <c r="EA309" s="38"/>
      <c r="EE309" s="238"/>
      <c r="EF309" s="238"/>
      <c r="EG309" s="238"/>
      <c r="EH309" s="30"/>
      <c r="EI309" s="30"/>
      <c r="EJ309" s="30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W309" s="30"/>
      <c r="EX309" s="30"/>
      <c r="EY309" s="30"/>
      <c r="EZ309" s="30"/>
      <c r="FA309" s="30"/>
      <c r="FB309" s="30"/>
    </row>
    <row r="310" spans="1:158" s="7" customFormat="1" ht="15.75" hidden="1" customHeight="1" outlineLevel="2">
      <c r="A310" s="2"/>
      <c r="C310" s="325"/>
      <c r="D310" s="112"/>
      <c r="E310" s="30"/>
      <c r="F310" s="7" t="s">
        <v>189</v>
      </c>
      <c r="N310" s="36"/>
      <c r="O310" s="36"/>
      <c r="P310" s="458"/>
      <c r="Q310" s="458"/>
      <c r="CI310" s="103"/>
      <c r="DN310" s="356"/>
      <c r="DO310" s="356"/>
      <c r="DP310" s="38"/>
      <c r="DQ310" s="38"/>
      <c r="DR310" s="38"/>
      <c r="DS310" s="38"/>
      <c r="DT310" s="38"/>
      <c r="DU310" s="38"/>
      <c r="DV310" s="38"/>
      <c r="DW310" s="38"/>
      <c r="DX310" s="38"/>
      <c r="DY310" s="38"/>
      <c r="DZ310" s="38"/>
      <c r="EA310" s="38"/>
      <c r="EE310" s="238"/>
      <c r="EF310" s="238"/>
      <c r="EG310" s="238"/>
      <c r="EH310" s="30"/>
      <c r="EI310" s="30"/>
      <c r="EJ310" s="30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W310" s="30"/>
      <c r="EX310" s="30"/>
      <c r="EY310" s="30"/>
      <c r="EZ310" s="30"/>
      <c r="FA310" s="30"/>
      <c r="FB310" s="30"/>
    </row>
    <row r="311" spans="1:158" s="7" customFormat="1" ht="15.75" hidden="1" customHeight="1" outlineLevel="2">
      <c r="A311" s="2"/>
      <c r="C311" s="325"/>
      <c r="D311" s="112"/>
      <c r="E311" s="30"/>
      <c r="F311" s="7" t="s">
        <v>823</v>
      </c>
      <c r="N311" s="36"/>
      <c r="O311" s="36"/>
      <c r="P311" s="458"/>
      <c r="Q311" s="458"/>
      <c r="CI311" s="103"/>
      <c r="DN311" s="356"/>
      <c r="DO311" s="356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E311" s="238"/>
      <c r="EF311" s="238"/>
      <c r="EG311" s="238"/>
      <c r="EH311" s="30"/>
      <c r="EI311" s="30"/>
      <c r="EJ311" s="30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W311" s="30"/>
      <c r="EX311" s="30"/>
      <c r="EY311" s="30"/>
      <c r="EZ311" s="30"/>
      <c r="FA311" s="30"/>
      <c r="FB311" s="30"/>
    </row>
    <row r="312" spans="1:158" s="7" customFormat="1" ht="15.75" hidden="1" customHeight="1" outlineLevel="2">
      <c r="A312" s="2"/>
      <c r="C312" s="105"/>
      <c r="D312" s="112"/>
      <c r="E312" s="30"/>
      <c r="F312" s="25"/>
      <c r="N312" s="36"/>
      <c r="O312" s="36"/>
      <c r="P312" s="458"/>
      <c r="Q312" s="458"/>
      <c r="CI312" s="103"/>
      <c r="DN312" s="356"/>
      <c r="DO312" s="356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E312" s="238"/>
      <c r="EF312" s="238"/>
      <c r="EG312" s="238"/>
      <c r="EH312" s="30"/>
      <c r="EI312" s="30"/>
      <c r="EJ312" s="30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W312" s="30"/>
      <c r="EX312" s="30"/>
      <c r="EY312" s="30"/>
      <c r="EZ312" s="30"/>
      <c r="FA312" s="30"/>
      <c r="FB312" s="30"/>
    </row>
    <row r="313" spans="1:158" s="7" customFormat="1" ht="15.75" hidden="1" customHeight="1" outlineLevel="1">
      <c r="A313" s="2"/>
      <c r="C313" s="105"/>
      <c r="D313" s="109">
        <v>0.6</v>
      </c>
      <c r="F313" s="7" t="s">
        <v>0</v>
      </c>
      <c r="N313" s="36"/>
      <c r="O313" s="36"/>
      <c r="P313" s="458"/>
      <c r="Q313" s="458"/>
      <c r="CI313" s="103"/>
      <c r="DN313" s="356"/>
      <c r="DO313" s="356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E313" s="238"/>
      <c r="EF313" s="238"/>
      <c r="EG313" s="238"/>
      <c r="EH313" s="30"/>
      <c r="EI313" s="30"/>
      <c r="EJ313" s="30"/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W313" s="30"/>
      <c r="EX313" s="30"/>
      <c r="EY313" s="30"/>
      <c r="EZ313" s="30"/>
      <c r="FA313" s="30"/>
      <c r="FB313" s="30"/>
    </row>
    <row r="314" spans="1:158" s="7" customFormat="1" ht="15.75" hidden="1" customHeight="1" outlineLevel="1">
      <c r="A314" s="2"/>
      <c r="C314" s="105"/>
      <c r="D314" s="109">
        <v>0.8</v>
      </c>
      <c r="E314" s="30"/>
      <c r="F314" s="25" t="s">
        <v>1136</v>
      </c>
      <c r="N314" s="36"/>
      <c r="O314" s="36"/>
      <c r="P314" s="458"/>
      <c r="Q314" s="458"/>
      <c r="CI314" s="103"/>
      <c r="DN314" s="356"/>
      <c r="DO314" s="356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E314" s="238"/>
      <c r="EF314" s="238"/>
      <c r="EG314" s="238"/>
      <c r="EH314" s="30"/>
      <c r="EI314" s="30"/>
      <c r="EJ314" s="30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W314" s="30"/>
      <c r="EX314" s="30"/>
      <c r="EY314" s="30"/>
      <c r="EZ314" s="30"/>
      <c r="FA314" s="30"/>
      <c r="FB314" s="30"/>
    </row>
    <row r="315" spans="1:158" s="7" customFormat="1" ht="15.75" hidden="1" customHeight="1" outlineLevel="1">
      <c r="A315" s="2"/>
      <c r="C315" s="105"/>
      <c r="D315" s="109">
        <v>0.95</v>
      </c>
      <c r="E315" s="30"/>
      <c r="F315" s="25" t="s">
        <v>819</v>
      </c>
      <c r="N315" s="36"/>
      <c r="O315" s="36"/>
      <c r="P315" s="458"/>
      <c r="Q315" s="458"/>
      <c r="CI315" s="103"/>
      <c r="DN315" s="356"/>
      <c r="DO315" s="356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E315" s="238"/>
      <c r="EF315" s="238"/>
      <c r="EG315" s="238"/>
      <c r="EH315" s="30"/>
      <c r="EI315" s="30"/>
      <c r="EJ315" s="30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W315" s="30"/>
      <c r="EX315" s="30"/>
      <c r="EY315" s="30"/>
      <c r="EZ315" s="30"/>
      <c r="FA315" s="30"/>
      <c r="FB315" s="30"/>
    </row>
    <row r="316" spans="1:158" s="7" customFormat="1" ht="15.75" hidden="1" customHeight="1" outlineLevel="1">
      <c r="A316" s="2"/>
      <c r="C316" s="105"/>
      <c r="N316" s="36"/>
      <c r="O316" s="36"/>
      <c r="P316" s="458"/>
      <c r="Q316" s="458"/>
      <c r="CI316" s="103"/>
      <c r="DN316" s="356"/>
      <c r="DO316" s="356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E316" s="238"/>
      <c r="EF316" s="238"/>
      <c r="EG316" s="238"/>
      <c r="EH316" s="30"/>
      <c r="EI316" s="30"/>
      <c r="EJ316" s="30"/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W316" s="30"/>
      <c r="EX316" s="30"/>
      <c r="EY316" s="30"/>
      <c r="EZ316" s="30"/>
      <c r="FA316" s="30"/>
      <c r="FB316" s="30"/>
    </row>
    <row r="317" spans="1:158" s="7" customFormat="1" ht="15.75" hidden="1" customHeight="1" outlineLevel="2">
      <c r="A317" s="2"/>
      <c r="C317" s="105"/>
      <c r="F317" s="25" t="s">
        <v>932</v>
      </c>
      <c r="N317" s="36"/>
      <c r="O317" s="36"/>
      <c r="P317" s="458"/>
      <c r="Q317" s="458"/>
      <c r="CI317" s="103"/>
      <c r="DN317" s="356"/>
      <c r="DO317" s="356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E317" s="238"/>
      <c r="EF317" s="238"/>
      <c r="EG317" s="238"/>
      <c r="EH317" s="30"/>
      <c r="EI317" s="30"/>
      <c r="EJ317" s="30"/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W317" s="30"/>
      <c r="EX317" s="30"/>
      <c r="EY317" s="30"/>
      <c r="EZ317" s="30"/>
      <c r="FA317" s="30"/>
      <c r="FB317" s="30"/>
    </row>
    <row r="318" spans="1:158" s="7" customFormat="1" ht="15.75" hidden="1" customHeight="1" outlineLevel="2">
      <c r="A318" s="2"/>
      <c r="C318" s="105"/>
      <c r="D318" s="112">
        <f>LN(EH328/1000000000*SQRT(10*EH328/1000000000*T_Coupling)/0.000000000000002818/10*(1957*T_Energy)^2)*D313</f>
        <v>11.809266577005392</v>
      </c>
      <c r="F318" s="25" t="s">
        <v>976</v>
      </c>
      <c r="N318" s="36"/>
      <c r="O318" s="36"/>
      <c r="P318" s="458"/>
      <c r="Q318" s="458"/>
      <c r="CI318" s="103"/>
      <c r="DN318" s="356"/>
      <c r="DO318" s="356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E318" s="238"/>
      <c r="EF318" s="238"/>
      <c r="EG318" s="238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W318" s="30"/>
      <c r="EX318" s="30"/>
      <c r="EY318" s="30"/>
      <c r="EZ318" s="30"/>
      <c r="FA318" s="30"/>
      <c r="FB318" s="30"/>
    </row>
    <row r="319" spans="1:158" s="7" customFormat="1" ht="15.75" hidden="1" customHeight="1" outlineLevel="2">
      <c r="A319" s="2"/>
      <c r="C319" s="105"/>
      <c r="D319" s="238">
        <f>D159*D295/D296/1000/300000000/1.61E-19</f>
        <v>174821559885.46655</v>
      </c>
      <c r="F319" s="25" t="s">
        <v>142</v>
      </c>
      <c r="N319" s="36"/>
      <c r="O319" s="36"/>
      <c r="P319" s="458"/>
      <c r="Q319" s="458"/>
      <c r="CI319" s="103"/>
      <c r="DN319" s="356"/>
      <c r="DO319" s="356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E319" s="238"/>
      <c r="EF319" s="238"/>
      <c r="EG319" s="238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W319" s="30"/>
      <c r="EX319" s="30"/>
      <c r="EY319" s="30"/>
      <c r="EZ319" s="30"/>
      <c r="FA319" s="30"/>
      <c r="FB319" s="30"/>
    </row>
    <row r="320" spans="1:158" s="7" customFormat="1" ht="15.75" hidden="1" customHeight="1" outlineLevel="2">
      <c r="A320" s="2"/>
      <c r="C320" s="105"/>
      <c r="D320" s="112">
        <f>D302</f>
        <v>20.984206651130979</v>
      </c>
      <c r="E320" s="30"/>
      <c r="F320" s="25" t="s">
        <v>1071</v>
      </c>
      <c r="N320" s="36"/>
      <c r="O320" s="36"/>
      <c r="P320" s="458"/>
      <c r="Q320" s="458"/>
      <c r="CI320" s="103"/>
      <c r="DN320" s="356"/>
      <c r="DO320" s="356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E320" s="238"/>
      <c r="EF320" s="238"/>
      <c r="EG320" s="238"/>
      <c r="EH320" s="30"/>
      <c r="EI320" s="30"/>
      <c r="EJ320" s="30"/>
      <c r="EK320" s="30"/>
      <c r="EL320" s="30"/>
      <c r="EM320" s="30"/>
      <c r="EN320" s="30"/>
      <c r="EO320" s="30"/>
      <c r="EP320" s="30"/>
      <c r="EQ320" s="30"/>
      <c r="ER320" s="30"/>
      <c r="ES320" s="30"/>
      <c r="ET320" s="30"/>
      <c r="EU320" s="30"/>
      <c r="EW320" s="30"/>
      <c r="EX320" s="30"/>
      <c r="EY320" s="30"/>
      <c r="EZ320" s="30"/>
      <c r="FA320" s="30"/>
      <c r="FB320" s="30"/>
    </row>
    <row r="321" spans="1:158" s="7" customFormat="1" ht="15.75" hidden="1" customHeight="1" outlineLevel="2">
      <c r="A321" s="2"/>
      <c r="C321" s="105"/>
      <c r="D321" s="238">
        <f>D304</f>
        <v>1.4719509213495421E-3</v>
      </c>
      <c r="F321" s="25" t="s">
        <v>753</v>
      </c>
      <c r="N321" s="36"/>
      <c r="O321" s="36"/>
      <c r="P321" s="458"/>
      <c r="Q321" s="458"/>
      <c r="CI321" s="103"/>
      <c r="DN321" s="356"/>
      <c r="DO321" s="356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E321" s="238"/>
      <c r="EF321" s="238"/>
      <c r="EG321" s="238"/>
      <c r="EH321" s="30"/>
      <c r="EI321" s="30"/>
      <c r="EJ321" s="30"/>
      <c r="EK321" s="30"/>
      <c r="EL321" s="30"/>
      <c r="EM321" s="30"/>
      <c r="EN321" s="30"/>
      <c r="EO321" s="30"/>
      <c r="EP321" s="30"/>
      <c r="EQ321" s="30"/>
      <c r="ER321" s="30"/>
      <c r="ES321" s="30"/>
      <c r="ET321" s="30"/>
      <c r="EU321" s="30"/>
      <c r="EW321" s="30"/>
      <c r="EX321" s="30"/>
      <c r="EY321" s="30"/>
      <c r="EZ321" s="30"/>
      <c r="FA321" s="30"/>
      <c r="FB321" s="30"/>
    </row>
    <row r="322" spans="1:158" s="7" customFormat="1" ht="15.75" hidden="1" customHeight="1" outlineLevel="2">
      <c r="A322" s="2"/>
      <c r="C322" s="105"/>
      <c r="D322" s="112">
        <f>D168</f>
        <v>3.7012216628845733</v>
      </c>
      <c r="F322" s="25" t="s">
        <v>850</v>
      </c>
      <c r="N322" s="36"/>
      <c r="O322" s="36"/>
      <c r="P322" s="458"/>
      <c r="Q322" s="458"/>
      <c r="CI322" s="103"/>
      <c r="DN322" s="356"/>
      <c r="DO322" s="356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E322" s="238"/>
      <c r="EF322" s="238"/>
      <c r="EG322" s="238"/>
      <c r="EH322" s="30"/>
      <c r="EI322" s="30"/>
      <c r="EJ322" s="30"/>
      <c r="EK322" s="30"/>
      <c r="EL322" s="30"/>
      <c r="EM322" s="30"/>
      <c r="EN322" s="30"/>
      <c r="EO322" s="30"/>
      <c r="EP322" s="30"/>
      <c r="EQ322" s="30"/>
      <c r="ER322" s="30"/>
      <c r="ES322" s="30"/>
      <c r="ET322" s="30"/>
      <c r="EU322" s="30"/>
      <c r="EW322" s="30"/>
      <c r="EX322" s="30"/>
      <c r="EY322" s="30"/>
      <c r="EZ322" s="30"/>
      <c r="FA322" s="30"/>
      <c r="FB322" s="30"/>
    </row>
    <row r="323" spans="1:158" s="7" customFormat="1" ht="15.75" hidden="1" customHeight="1" outlineLevel="2">
      <c r="A323" s="2"/>
      <c r="C323" s="105"/>
      <c r="D323" s="112">
        <f>D166</f>
        <v>3.4815324862600199</v>
      </c>
      <c r="F323" s="25" t="s">
        <v>1175</v>
      </c>
      <c r="N323" s="36"/>
      <c r="O323" s="36"/>
      <c r="P323" s="458"/>
      <c r="Q323" s="458"/>
      <c r="CI323" s="103"/>
      <c r="DN323" s="356"/>
      <c r="DO323" s="356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E323" s="238"/>
      <c r="EF323" s="238"/>
      <c r="EG323" s="238"/>
      <c r="EH323" s="30"/>
      <c r="EI323" s="30"/>
      <c r="EJ323" s="30"/>
      <c r="EK323" s="30"/>
      <c r="EL323" s="30"/>
      <c r="EM323" s="30"/>
      <c r="EN323" s="30"/>
      <c r="EO323" s="30"/>
      <c r="EP323" s="30"/>
      <c r="EQ323" s="30"/>
      <c r="ER323" s="30"/>
      <c r="ES323" s="30"/>
      <c r="ET323" s="30"/>
      <c r="EU323" s="30"/>
      <c r="EW323" s="30"/>
      <c r="EX323" s="30"/>
      <c r="EY323" s="30"/>
      <c r="EZ323" s="30"/>
      <c r="FA323" s="30"/>
      <c r="FB323" s="30"/>
    </row>
    <row r="324" spans="1:158" s="7" customFormat="1" ht="15.75" hidden="1" customHeight="1" outlineLevel="2">
      <c r="A324" s="2"/>
      <c r="C324" s="105"/>
      <c r="D324" s="112">
        <f>D164</f>
        <v>6.9728635921302153</v>
      </c>
      <c r="F324" s="25" t="s">
        <v>1187</v>
      </c>
      <c r="N324" s="36"/>
      <c r="O324" s="36"/>
      <c r="P324" s="458"/>
      <c r="Q324" s="458"/>
      <c r="CI324" s="103"/>
      <c r="DN324" s="356"/>
      <c r="DO324" s="356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E324" s="238"/>
      <c r="EF324" s="238"/>
      <c r="EG324" s="238"/>
      <c r="EH324" s="30"/>
      <c r="EI324" s="30"/>
      <c r="EJ324" s="30"/>
      <c r="EK324" s="30"/>
      <c r="EL324" s="30"/>
      <c r="EM324" s="30"/>
      <c r="EN324" s="30"/>
      <c r="EO324" s="30"/>
      <c r="EP324" s="30"/>
      <c r="EQ324" s="30"/>
      <c r="ER324" s="30"/>
      <c r="ES324" s="30"/>
      <c r="ET324" s="30"/>
      <c r="EU324" s="30"/>
      <c r="EW324" s="30"/>
      <c r="EX324" s="30"/>
      <c r="EY324" s="30"/>
      <c r="EZ324" s="30"/>
      <c r="FA324" s="30"/>
      <c r="FB324" s="30"/>
    </row>
    <row r="325" spans="1:158" s="7" customFormat="1" ht="15.75" hidden="1" customHeight="1" outlineLevel="2">
      <c r="A325" s="2"/>
      <c r="C325" s="105"/>
      <c r="N325" s="36"/>
      <c r="O325" s="36"/>
      <c r="P325" s="458"/>
      <c r="Q325" s="458"/>
      <c r="CI325" s="103"/>
      <c r="DN325" s="356"/>
      <c r="DO325" s="356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E325" s="238"/>
      <c r="EF325" s="238"/>
      <c r="EG325" s="238"/>
      <c r="EH325" s="30"/>
      <c r="EI325" s="30"/>
      <c r="EJ325" s="30"/>
      <c r="EK325" s="30"/>
      <c r="EL325" s="30"/>
      <c r="EM325" s="30"/>
      <c r="EN325" s="30"/>
      <c r="EO325" s="30"/>
      <c r="EP325" s="30"/>
      <c r="EQ325" s="30"/>
      <c r="ER325" s="30"/>
      <c r="ES325" s="30"/>
      <c r="ET325" s="30"/>
      <c r="EU325" s="30"/>
      <c r="EW325" s="30"/>
      <c r="EX325" s="30"/>
      <c r="EY325" s="30"/>
      <c r="EZ325" s="30"/>
      <c r="FA325" s="30"/>
      <c r="FB325" s="30"/>
    </row>
    <row r="326" spans="1:158" s="7" customFormat="1" ht="15.75" hidden="1" customHeight="1" outlineLevel="1">
      <c r="A326" s="2"/>
      <c r="C326" s="344">
        <v>0</v>
      </c>
      <c r="D326" s="344">
        <f>ET326</f>
        <v>12</v>
      </c>
      <c r="F326" s="25" t="s">
        <v>1137</v>
      </c>
      <c r="N326" s="36"/>
      <c r="O326" s="36"/>
      <c r="P326" s="458"/>
      <c r="Q326" s="458"/>
      <c r="CI326" s="103"/>
      <c r="DN326" s="356"/>
      <c r="DO326" s="356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E326" s="238"/>
      <c r="EG326" s="105"/>
      <c r="EH326" s="341">
        <v>0</v>
      </c>
      <c r="EI326" s="341">
        <f>EH326+1</f>
        <v>1</v>
      </c>
      <c r="EJ326" s="341">
        <f>EI326+1</f>
        <v>2</v>
      </c>
      <c r="EK326" s="341">
        <f>EJ326+1</f>
        <v>3</v>
      </c>
      <c r="EL326" s="341">
        <f>EK326+1</f>
        <v>4</v>
      </c>
      <c r="EM326" s="341">
        <f>EL326+1</f>
        <v>5</v>
      </c>
      <c r="EN326" s="341">
        <f t="shared" ref="EN326:ES326" si="221">EM326+1</f>
        <v>6</v>
      </c>
      <c r="EO326" s="341">
        <f t="shared" si="221"/>
        <v>7</v>
      </c>
      <c r="EP326" s="341">
        <f t="shared" si="221"/>
        <v>8</v>
      </c>
      <c r="EQ326" s="341">
        <f t="shared" si="221"/>
        <v>9</v>
      </c>
      <c r="ER326" s="341">
        <f t="shared" si="221"/>
        <v>10</v>
      </c>
      <c r="ES326" s="341">
        <f t="shared" si="221"/>
        <v>11</v>
      </c>
      <c r="ET326" s="341">
        <f>ES326+1</f>
        <v>12</v>
      </c>
      <c r="EU326" s="30"/>
      <c r="EW326" s="30"/>
      <c r="EX326" s="30"/>
      <c r="EY326" s="30"/>
      <c r="EZ326" s="30"/>
      <c r="FA326" s="30"/>
      <c r="FB326" s="30"/>
    </row>
    <row r="327" spans="1:158" s="7" customFormat="1" ht="15.75" hidden="1" customHeight="1" outlineLevel="1">
      <c r="A327" s="2"/>
      <c r="C327" s="238">
        <f>EH327</f>
        <v>1.4719509213495421E-3</v>
      </c>
      <c r="D327" s="238" t="e">
        <f>ET327</f>
        <v>#DIV/0!</v>
      </c>
      <c r="F327" s="7" t="s">
        <v>706</v>
      </c>
      <c r="N327" s="36"/>
      <c r="O327" s="36"/>
      <c r="P327" s="458"/>
      <c r="Q327" s="458"/>
      <c r="CI327" s="103"/>
      <c r="DN327" s="356"/>
      <c r="DO327" s="356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E327" s="238"/>
      <c r="EF327" s="7" t="s">
        <v>390</v>
      </c>
      <c r="EG327" s="105"/>
      <c r="EH327" s="238">
        <f>D321</f>
        <v>1.4719509213495421E-3</v>
      </c>
      <c r="EI327" s="238" t="e">
        <f t="shared" ref="EI327:ET327" si="222">$EH327/(1-IF(EH329&lt;$D$315,EH329,$D$315))*(1-$D$314)+$D$314*EH327</f>
        <v>#DIV/0!</v>
      </c>
      <c r="EJ327" s="238" t="e">
        <f t="shared" si="222"/>
        <v>#DIV/0!</v>
      </c>
      <c r="EK327" s="238" t="e">
        <f t="shared" si="222"/>
        <v>#DIV/0!</v>
      </c>
      <c r="EL327" s="238" t="e">
        <f t="shared" si="222"/>
        <v>#DIV/0!</v>
      </c>
      <c r="EM327" s="238" t="e">
        <f t="shared" si="222"/>
        <v>#DIV/0!</v>
      </c>
      <c r="EN327" s="238" t="e">
        <f t="shared" si="222"/>
        <v>#DIV/0!</v>
      </c>
      <c r="EO327" s="238" t="e">
        <f t="shared" si="222"/>
        <v>#DIV/0!</v>
      </c>
      <c r="EP327" s="238" t="e">
        <f t="shared" si="222"/>
        <v>#DIV/0!</v>
      </c>
      <c r="EQ327" s="238" t="e">
        <f t="shared" si="222"/>
        <v>#DIV/0!</v>
      </c>
      <c r="ER327" s="238" t="e">
        <f t="shared" si="222"/>
        <v>#DIV/0!</v>
      </c>
      <c r="ES327" s="238" t="e">
        <f t="shared" si="222"/>
        <v>#DIV/0!</v>
      </c>
      <c r="ET327" s="238" t="e">
        <f t="shared" si="222"/>
        <v>#DIV/0!</v>
      </c>
      <c r="EU327" s="30"/>
      <c r="EW327" s="30"/>
      <c r="EX327" s="30"/>
      <c r="EY327" s="30"/>
      <c r="EZ327" s="30"/>
      <c r="FA327" s="30"/>
      <c r="FB327" s="30"/>
    </row>
    <row r="328" spans="1:158" s="7" customFormat="1" ht="15.75" hidden="1" customHeight="1" outlineLevel="1">
      <c r="A328" s="2"/>
      <c r="C328" s="112">
        <f>EH328</f>
        <v>3.7012216628845733</v>
      </c>
      <c r="D328" s="112" t="e">
        <f>ET328</f>
        <v>#DIV/0!</v>
      </c>
      <c r="F328" s="7" t="s">
        <v>393</v>
      </c>
      <c r="N328" s="36"/>
      <c r="O328" s="36"/>
      <c r="P328" s="458"/>
      <c r="Q328" s="458"/>
      <c r="CI328" s="103"/>
      <c r="DN328" s="356"/>
      <c r="DO328" s="356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E328" s="238"/>
      <c r="EF328" s="7" t="s">
        <v>416</v>
      </c>
      <c r="EG328" s="105"/>
      <c r="EH328" s="112">
        <f>D322</f>
        <v>3.7012216628845733</v>
      </c>
      <c r="EI328" s="112" t="e">
        <f t="shared" ref="EI328:ET328" si="223">$EH328/(1-IF(EH330&lt;$D$315,EH330,$D$315))*(1-$D$314)+$D$314*EH328</f>
        <v>#DIV/0!</v>
      </c>
      <c r="EJ328" s="112" t="e">
        <f t="shared" si="223"/>
        <v>#DIV/0!</v>
      </c>
      <c r="EK328" s="112" t="e">
        <f t="shared" si="223"/>
        <v>#DIV/0!</v>
      </c>
      <c r="EL328" s="112" t="e">
        <f t="shared" si="223"/>
        <v>#DIV/0!</v>
      </c>
      <c r="EM328" s="112" t="e">
        <f t="shared" si="223"/>
        <v>#DIV/0!</v>
      </c>
      <c r="EN328" s="112" t="e">
        <f t="shared" si="223"/>
        <v>#DIV/0!</v>
      </c>
      <c r="EO328" s="112" t="e">
        <f t="shared" si="223"/>
        <v>#DIV/0!</v>
      </c>
      <c r="EP328" s="112" t="e">
        <f t="shared" si="223"/>
        <v>#DIV/0!</v>
      </c>
      <c r="EQ328" s="112" t="e">
        <f t="shared" si="223"/>
        <v>#DIV/0!</v>
      </c>
      <c r="ER328" s="112" t="e">
        <f t="shared" si="223"/>
        <v>#DIV/0!</v>
      </c>
      <c r="ES328" s="112" t="e">
        <f t="shared" si="223"/>
        <v>#DIV/0!</v>
      </c>
      <c r="ET328" s="112" t="e">
        <f t="shared" si="223"/>
        <v>#DIV/0!</v>
      </c>
      <c r="EU328" s="30"/>
      <c r="EW328" s="30"/>
      <c r="EX328" s="30"/>
      <c r="EY328" s="30"/>
      <c r="EZ328" s="30"/>
      <c r="FA328" s="30"/>
      <c r="FB328" s="30"/>
    </row>
    <row r="329" spans="1:158" s="7" customFormat="1" ht="15.75" hidden="1" customHeight="1" outlineLevel="1">
      <c r="A329" s="2"/>
      <c r="C329" s="238" t="e">
        <f>EH329</f>
        <v>#DIV/0!</v>
      </c>
      <c r="D329" s="238" t="e">
        <f>ET329</f>
        <v>#DIV/0!</v>
      </c>
      <c r="F329" s="105" t="s">
        <v>1180</v>
      </c>
      <c r="N329" s="36"/>
      <c r="O329" s="36"/>
      <c r="P329" s="458"/>
      <c r="Q329" s="458"/>
      <c r="CI329" s="103"/>
      <c r="DN329" s="356"/>
      <c r="DO329" s="356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E329" s="238"/>
      <c r="EF329" s="105" t="s">
        <v>196</v>
      </c>
      <c r="EH329" s="101" t="e">
        <f t="shared" ref="EH329:ET329" si="224">(EH94/$R94*0.000000000000002818^2*300000000*$D$319*$D$318/(($D$320/1000)*EH327^2*16*(EH328/1000000000)^(3/2)*T_Coupling^(3/4)*(1957*T_Energy)^3))*$D$323/1000</f>
        <v>#DIV/0!</v>
      </c>
      <c r="EI329" s="101" t="e">
        <f t="shared" si="224"/>
        <v>#DIV/0!</v>
      </c>
      <c r="EJ329" s="101" t="e">
        <f t="shared" si="224"/>
        <v>#DIV/0!</v>
      </c>
      <c r="EK329" s="101" t="e">
        <f t="shared" si="224"/>
        <v>#DIV/0!</v>
      </c>
      <c r="EL329" s="101" t="e">
        <f t="shared" si="224"/>
        <v>#DIV/0!</v>
      </c>
      <c r="EM329" s="101" t="e">
        <f t="shared" si="224"/>
        <v>#DIV/0!</v>
      </c>
      <c r="EN329" s="101" t="e">
        <f t="shared" si="224"/>
        <v>#DIV/0!</v>
      </c>
      <c r="EO329" s="101" t="e">
        <f t="shared" si="224"/>
        <v>#DIV/0!</v>
      </c>
      <c r="EP329" s="101" t="e">
        <f t="shared" si="224"/>
        <v>#DIV/0!</v>
      </c>
      <c r="EQ329" s="101" t="e">
        <f t="shared" si="224"/>
        <v>#DIV/0!</v>
      </c>
      <c r="ER329" s="101" t="e">
        <f t="shared" si="224"/>
        <v>#DIV/0!</v>
      </c>
      <c r="ES329" s="101" t="e">
        <f t="shared" si="224"/>
        <v>#DIV/0!</v>
      </c>
      <c r="ET329" s="101" t="e">
        <f t="shared" si="224"/>
        <v>#DIV/0!</v>
      </c>
      <c r="EU329" s="30"/>
      <c r="EW329" s="30"/>
      <c r="EX329" s="30"/>
      <c r="EY329" s="30"/>
      <c r="EZ329" s="30"/>
      <c r="FA329" s="30"/>
      <c r="FB329" s="30"/>
    </row>
    <row r="330" spans="1:158" s="7" customFormat="1" ht="15.75" hidden="1" customHeight="1" outlineLevel="1">
      <c r="A330" s="2"/>
      <c r="C330" s="238" t="e">
        <f>EH330</f>
        <v>#DIV/0!</v>
      </c>
      <c r="D330" s="238" t="e">
        <f>ET330</f>
        <v>#DIV/0!</v>
      </c>
      <c r="F330" s="105" t="s">
        <v>682</v>
      </c>
      <c r="N330" s="36"/>
      <c r="O330" s="36"/>
      <c r="P330" s="458"/>
      <c r="Q330" s="458"/>
      <c r="CI330" s="103"/>
      <c r="DN330" s="356"/>
      <c r="DO330" s="356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E330" s="238"/>
      <c r="EF330" s="105" t="s">
        <v>197</v>
      </c>
      <c r="EG330" s="105"/>
      <c r="EH330" s="101" t="e">
        <f t="shared" ref="EH330:ET330" si="225">EH329/(EH328/1000000000)*EH327^2/$R94*$EE94*$D$324/$D$323</f>
        <v>#DIV/0!</v>
      </c>
      <c r="EI330" s="101" t="e">
        <f t="shared" si="225"/>
        <v>#DIV/0!</v>
      </c>
      <c r="EJ330" s="101" t="e">
        <f t="shared" si="225"/>
        <v>#DIV/0!</v>
      </c>
      <c r="EK330" s="101" t="e">
        <f t="shared" si="225"/>
        <v>#DIV/0!</v>
      </c>
      <c r="EL330" s="101" t="e">
        <f t="shared" si="225"/>
        <v>#DIV/0!</v>
      </c>
      <c r="EM330" s="101" t="e">
        <f t="shared" si="225"/>
        <v>#DIV/0!</v>
      </c>
      <c r="EN330" s="101" t="e">
        <f t="shared" si="225"/>
        <v>#DIV/0!</v>
      </c>
      <c r="EO330" s="101" t="e">
        <f t="shared" si="225"/>
        <v>#DIV/0!</v>
      </c>
      <c r="EP330" s="101" t="e">
        <f t="shared" si="225"/>
        <v>#DIV/0!</v>
      </c>
      <c r="EQ330" s="101" t="e">
        <f t="shared" si="225"/>
        <v>#DIV/0!</v>
      </c>
      <c r="ER330" s="101" t="e">
        <f t="shared" si="225"/>
        <v>#DIV/0!</v>
      </c>
      <c r="ES330" s="101" t="e">
        <f t="shared" si="225"/>
        <v>#DIV/0!</v>
      </c>
      <c r="ET330" s="101" t="e">
        <f t="shared" si="225"/>
        <v>#DIV/0!</v>
      </c>
      <c r="EU330" s="30"/>
      <c r="EW330" s="30"/>
      <c r="EX330" s="30"/>
      <c r="EY330" s="30"/>
      <c r="EZ330" s="30"/>
      <c r="FA330" s="30"/>
      <c r="FB330" s="30"/>
    </row>
    <row r="331" spans="1:158" s="7" customFormat="1" ht="15.75" hidden="1" customHeight="1" outlineLevel="1">
      <c r="A331" s="2"/>
      <c r="D331" s="238"/>
      <c r="E331" s="238"/>
      <c r="F331" s="105"/>
      <c r="N331" s="36"/>
      <c r="O331" s="36"/>
      <c r="P331" s="458"/>
      <c r="Q331" s="458"/>
      <c r="CI331" s="103"/>
      <c r="DN331" s="356"/>
      <c r="DO331" s="356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E331" s="238"/>
      <c r="EF331" s="105"/>
      <c r="EG331" s="105"/>
      <c r="EH331" s="101"/>
      <c r="EI331" s="101"/>
      <c r="EJ331" s="101"/>
      <c r="EK331" s="101"/>
      <c r="EL331" s="101"/>
      <c r="EM331" s="101"/>
      <c r="EN331" s="101"/>
      <c r="EO331" s="101"/>
      <c r="EP331" s="101"/>
      <c r="EQ331" s="101"/>
      <c r="ER331" s="101"/>
      <c r="ES331" s="101"/>
      <c r="ET331" s="101"/>
      <c r="EU331" s="30"/>
      <c r="EW331" s="30"/>
      <c r="EX331" s="30"/>
      <c r="EY331" s="30"/>
      <c r="EZ331" s="30"/>
      <c r="FA331" s="30"/>
      <c r="FB331" s="30"/>
    </row>
    <row r="332" spans="1:158" s="7" customFormat="1" ht="15.75" hidden="1" customHeight="1" outlineLevel="1">
      <c r="A332" s="2"/>
      <c r="D332" s="342" t="s">
        <v>922</v>
      </c>
      <c r="E332" s="238"/>
      <c r="F332" s="105"/>
      <c r="N332" s="36"/>
      <c r="O332" s="36"/>
      <c r="P332" s="458"/>
      <c r="Q332" s="458"/>
      <c r="CI332" s="103"/>
      <c r="DN332" s="356"/>
      <c r="DO332" s="356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E332" s="238"/>
      <c r="EF332" s="105"/>
      <c r="EG332" s="105"/>
      <c r="EH332" s="101"/>
      <c r="EI332" s="101"/>
      <c r="EJ332" s="101"/>
      <c r="EK332" s="101"/>
      <c r="EL332" s="101"/>
      <c r="EM332" s="101"/>
      <c r="EN332" s="101"/>
      <c r="EO332" s="101"/>
      <c r="EP332" s="101"/>
      <c r="EQ332" s="101"/>
      <c r="ER332" s="101"/>
      <c r="ES332" s="101"/>
      <c r="ET332" s="101"/>
      <c r="EU332" s="30"/>
      <c r="EW332" s="30"/>
      <c r="EX332" s="30"/>
      <c r="EY332" s="30"/>
      <c r="EZ332" s="30"/>
      <c r="FA332" s="30"/>
      <c r="FB332" s="30"/>
    </row>
    <row r="333" spans="1:158" s="7" customFormat="1" ht="15.75" hidden="1" customHeight="1" outlineLevel="1">
      <c r="A333" s="2"/>
      <c r="D333" s="343" t="s">
        <v>674</v>
      </c>
      <c r="E333" s="112"/>
      <c r="F333" s="105"/>
      <c r="N333" s="36"/>
      <c r="O333" s="36"/>
      <c r="P333" s="458"/>
      <c r="Q333" s="458"/>
      <c r="CI333" s="103"/>
      <c r="DN333" s="356"/>
      <c r="DO333" s="356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E333" s="238"/>
      <c r="EF333" s="105"/>
      <c r="EG333" s="105"/>
      <c r="EH333" s="101"/>
      <c r="EI333" s="101"/>
      <c r="EJ333" s="101"/>
      <c r="EK333" s="101"/>
      <c r="EL333" s="101"/>
      <c r="EM333" s="101"/>
      <c r="EN333" s="101"/>
      <c r="EO333" s="101"/>
      <c r="EP333" s="101"/>
      <c r="EQ333" s="101"/>
      <c r="ER333" s="101"/>
      <c r="ES333" s="101"/>
      <c r="ET333" s="101"/>
      <c r="EU333" s="30"/>
      <c r="EW333" s="30"/>
      <c r="EX333" s="30"/>
      <c r="EY333" s="30"/>
      <c r="EZ333" s="30"/>
      <c r="FA333" s="30"/>
      <c r="FB333" s="30"/>
    </row>
    <row r="334" spans="1:158" s="7" customFormat="1" ht="15.75" hidden="1" customHeight="1" outlineLevel="1">
      <c r="A334" s="2"/>
      <c r="D334" s="343" t="s">
        <v>852</v>
      </c>
      <c r="E334" s="112"/>
      <c r="F334" s="105"/>
      <c r="N334" s="36"/>
      <c r="O334" s="36"/>
      <c r="P334" s="458"/>
      <c r="Q334" s="458"/>
      <c r="CI334" s="103"/>
      <c r="DN334" s="356"/>
      <c r="DO334" s="356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E334" s="238"/>
      <c r="EF334" s="105"/>
      <c r="EG334" s="105"/>
      <c r="EH334" s="101"/>
      <c r="EI334" s="101"/>
      <c r="EJ334" s="101"/>
      <c r="EK334" s="101"/>
      <c r="EL334" s="101"/>
      <c r="EM334" s="101"/>
      <c r="EN334" s="101"/>
      <c r="EO334" s="101"/>
      <c r="EP334" s="101"/>
      <c r="EQ334" s="101"/>
      <c r="ER334" s="101"/>
      <c r="ES334" s="101"/>
      <c r="ET334" s="101"/>
      <c r="EU334" s="30"/>
      <c r="EW334" s="30"/>
      <c r="EX334" s="30"/>
      <c r="EY334" s="30"/>
      <c r="EZ334" s="30"/>
      <c r="FA334" s="30"/>
      <c r="FB334" s="30"/>
    </row>
    <row r="335" spans="1:158" s="7" customFormat="1" ht="15.75" hidden="1" customHeight="1" outlineLevel="1">
      <c r="A335" s="2"/>
      <c r="D335" s="343"/>
      <c r="E335" s="112"/>
      <c r="F335" s="105"/>
      <c r="N335" s="36"/>
      <c r="O335" s="36"/>
      <c r="P335" s="458"/>
      <c r="Q335" s="458"/>
      <c r="CI335" s="103"/>
      <c r="DN335" s="356"/>
      <c r="DO335" s="356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E335" s="238"/>
      <c r="EF335" s="105"/>
      <c r="EG335" s="105"/>
      <c r="EH335" s="101"/>
      <c r="EI335" s="101"/>
      <c r="EJ335" s="101"/>
      <c r="EK335" s="101"/>
      <c r="EL335" s="101"/>
      <c r="EM335" s="101"/>
      <c r="EN335" s="101"/>
      <c r="EO335" s="101"/>
      <c r="EP335" s="101"/>
      <c r="EQ335" s="101"/>
      <c r="ER335" s="101"/>
      <c r="ES335" s="101"/>
      <c r="ET335" s="101"/>
      <c r="EU335" s="30"/>
      <c r="EW335" s="30"/>
      <c r="EX335" s="30"/>
      <c r="EY335" s="30"/>
      <c r="EZ335" s="30"/>
      <c r="FA335" s="30"/>
      <c r="FB335" s="30"/>
    </row>
    <row r="336" spans="1:158" s="7" customFormat="1" ht="15.75" hidden="1" customHeight="1" outlineLevel="1">
      <c r="A336" s="2"/>
      <c r="C336" s="325" t="s">
        <v>618</v>
      </c>
      <c r="D336" s="112"/>
      <c r="E336" s="112"/>
      <c r="F336" s="105"/>
      <c r="N336" s="36"/>
      <c r="O336" s="36"/>
      <c r="P336" s="458"/>
      <c r="Q336" s="458"/>
      <c r="CI336" s="103"/>
      <c r="DN336" s="356"/>
      <c r="DO336" s="356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E336" s="238"/>
      <c r="EF336" s="105"/>
      <c r="EG336" s="105"/>
      <c r="EH336" s="101"/>
      <c r="EI336" s="101"/>
      <c r="EJ336" s="101"/>
      <c r="EK336" s="101"/>
      <c r="EL336" s="101"/>
      <c r="EM336" s="101"/>
      <c r="EN336" s="101"/>
      <c r="EO336" s="101"/>
      <c r="EP336" s="101"/>
      <c r="EQ336" s="101"/>
      <c r="ER336" s="101"/>
      <c r="ES336" s="101"/>
      <c r="ET336" s="101"/>
      <c r="EU336" s="30"/>
      <c r="EW336" s="30"/>
      <c r="EX336" s="30"/>
      <c r="EY336" s="30"/>
      <c r="EZ336" s="30"/>
      <c r="FA336" s="30"/>
      <c r="FB336" s="30"/>
    </row>
    <row r="337" spans="1:158" s="7" customFormat="1" ht="15.75" hidden="1" customHeight="1" outlineLevel="1">
      <c r="A337" s="2"/>
      <c r="F337" s="25" t="s">
        <v>1142</v>
      </c>
      <c r="N337" s="36"/>
      <c r="O337" s="36"/>
      <c r="P337" s="458"/>
      <c r="Q337" s="458"/>
      <c r="CI337" s="103"/>
      <c r="DN337" s="356"/>
      <c r="DO337" s="356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E337" s="238"/>
      <c r="EF337" s="105"/>
      <c r="EG337" s="105"/>
      <c r="EH337" s="101"/>
      <c r="EI337" s="101"/>
      <c r="EJ337" s="101"/>
      <c r="EK337" s="101"/>
      <c r="EL337" s="101"/>
      <c r="EM337" s="101"/>
      <c r="EN337" s="101"/>
      <c r="EO337" s="101"/>
      <c r="EP337" s="101"/>
      <c r="EQ337" s="101"/>
      <c r="ER337" s="101"/>
      <c r="ES337" s="101"/>
      <c r="ET337" s="101"/>
      <c r="EU337" s="30"/>
      <c r="EW337" s="30"/>
      <c r="EX337" s="30"/>
      <c r="EY337" s="30"/>
      <c r="EZ337" s="30"/>
      <c r="FA337" s="30"/>
      <c r="FB337" s="30"/>
    </row>
    <row r="338" spans="1:158" s="7" customFormat="1" ht="15.75" hidden="1" customHeight="1" outlineLevel="1">
      <c r="A338" s="2"/>
      <c r="D338" s="109">
        <v>1.8</v>
      </c>
      <c r="F338" s="38" t="s">
        <v>1073</v>
      </c>
      <c r="N338" s="36"/>
      <c r="O338" s="36"/>
      <c r="P338" s="458"/>
      <c r="Q338" s="458"/>
      <c r="CI338" s="103"/>
      <c r="DN338" s="356"/>
      <c r="DO338" s="356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E338" s="238"/>
      <c r="EF338" s="105"/>
      <c r="EG338" s="105"/>
      <c r="EH338" s="101"/>
      <c r="EI338" s="101"/>
      <c r="EJ338" s="101"/>
      <c r="EK338" s="101"/>
      <c r="EL338" s="101"/>
      <c r="EM338" s="101"/>
      <c r="EN338" s="101"/>
      <c r="EO338" s="101"/>
      <c r="EP338" s="101"/>
      <c r="EQ338" s="101"/>
      <c r="ER338" s="101"/>
      <c r="ES338" s="101"/>
      <c r="ET338" s="101"/>
      <c r="EU338" s="30"/>
      <c r="EW338" s="30"/>
      <c r="EX338" s="30"/>
      <c r="EY338" s="30"/>
      <c r="EZ338" s="30"/>
      <c r="FA338" s="30"/>
      <c r="FB338" s="30"/>
    </row>
    <row r="339" spans="1:158" s="7" customFormat="1" ht="15.75" hidden="1" customHeight="1" outlineLevel="1">
      <c r="A339" s="2"/>
      <c r="N339" s="36"/>
      <c r="O339" s="36"/>
      <c r="P339" s="458"/>
      <c r="Q339" s="458"/>
      <c r="CI339" s="103"/>
      <c r="DN339" s="356"/>
      <c r="DO339" s="356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E339" s="238"/>
      <c r="EF339" s="105"/>
      <c r="EG339" s="105"/>
      <c r="EH339" s="101"/>
      <c r="EI339" s="101"/>
      <c r="EJ339" s="101"/>
      <c r="EK339" s="101"/>
      <c r="EL339" s="101"/>
      <c r="EM339" s="101"/>
      <c r="EN339" s="101"/>
      <c r="EO339" s="101"/>
      <c r="EP339" s="101"/>
      <c r="EQ339" s="101"/>
      <c r="ER339" s="101"/>
      <c r="ES339" s="101"/>
      <c r="ET339" s="101"/>
      <c r="EU339" s="30"/>
      <c r="EW339" s="30"/>
      <c r="EX339" s="30"/>
      <c r="EY339" s="30"/>
      <c r="EZ339" s="30"/>
      <c r="FA339" s="30"/>
      <c r="FB339" s="30"/>
    </row>
    <row r="340" spans="1:158" s="7" customFormat="1" ht="15.75" hidden="1" customHeight="1" outlineLevel="1">
      <c r="A340" s="2"/>
      <c r="D340" s="113">
        <f>(D338/100/1957/$E$4/$ED$94*$R$94*1000)^2</f>
        <v>2.7981195963244939E-4</v>
      </c>
      <c r="F340" s="105" t="s">
        <v>486</v>
      </c>
      <c r="N340" s="36"/>
      <c r="O340" s="36"/>
      <c r="P340" s="458"/>
      <c r="Q340" s="458"/>
      <c r="CI340" s="103"/>
      <c r="DN340" s="356"/>
      <c r="DO340" s="356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E340" s="238"/>
      <c r="EF340" s="105"/>
      <c r="EG340" s="105"/>
      <c r="EH340" s="101"/>
      <c r="EI340" s="101"/>
      <c r="EJ340" s="101"/>
      <c r="EK340" s="101"/>
      <c r="EL340" s="101"/>
      <c r="EM340" s="101"/>
      <c r="EN340" s="101"/>
      <c r="EO340" s="101"/>
      <c r="EP340" s="101"/>
      <c r="EQ340" s="101"/>
      <c r="ER340" s="101"/>
      <c r="ES340" s="101"/>
      <c r="ET340" s="101"/>
      <c r="EU340" s="30"/>
      <c r="EW340" s="30"/>
      <c r="EX340" s="30"/>
      <c r="EY340" s="30"/>
      <c r="EZ340" s="30"/>
      <c r="FA340" s="30"/>
      <c r="FB340" s="30"/>
    </row>
    <row r="341" spans="1:158" s="7" customFormat="1" ht="15.75" hidden="1" customHeight="1" outlineLevel="1">
      <c r="A341" s="2"/>
      <c r="D341" s="29">
        <f>0.543607+0.14136*LOG10(D340)-0.00208713*LOG10(D340)^2-0.00197498*LOG10(D340)^3</f>
        <v>0.10357908491406792</v>
      </c>
      <c r="F341" s="105" t="s">
        <v>487</v>
      </c>
      <c r="N341" s="36"/>
      <c r="O341" s="36"/>
      <c r="P341" s="458"/>
      <c r="Q341" s="458"/>
      <c r="CI341" s="103"/>
      <c r="DN341" s="356"/>
      <c r="DO341" s="356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E341" s="238"/>
      <c r="EF341" s="105"/>
      <c r="EG341" s="105"/>
      <c r="EH341" s="101"/>
      <c r="EI341" s="101"/>
      <c r="EJ341" s="101"/>
      <c r="EK341" s="101"/>
      <c r="EL341" s="101"/>
      <c r="EM341" s="101"/>
      <c r="EN341" s="101"/>
      <c r="EO341" s="101"/>
      <c r="EP341" s="101"/>
      <c r="EQ341" s="101"/>
      <c r="ER341" s="101"/>
      <c r="ES341" s="101"/>
      <c r="ET341" s="101"/>
      <c r="EU341" s="30"/>
      <c r="EW341" s="30"/>
      <c r="EX341" s="30"/>
      <c r="EY341" s="30"/>
      <c r="EZ341" s="30"/>
      <c r="FA341" s="30"/>
      <c r="FB341" s="30"/>
    </row>
    <row r="342" spans="1:158" s="7" customFormat="1" ht="15.75" hidden="1" customHeight="1" outlineLevel="1">
      <c r="A342" s="2"/>
      <c r="D342" s="29">
        <f>8*(1957*$E$4)^2*PI()/($EB$94/$R$94)/($EC$94/$R$94)*D320/D319*0.000000001/300000000/0.00000000000000282^2*(MIN(D338,$E$237)/100)^3/3600/D341</f>
        <v>9.7334643165524835</v>
      </c>
      <c r="F342" s="105" t="s">
        <v>664</v>
      </c>
      <c r="N342" s="36"/>
      <c r="O342" s="36"/>
      <c r="P342" s="458"/>
      <c r="Q342" s="458"/>
      <c r="CI342" s="103"/>
      <c r="DN342" s="356"/>
      <c r="DO342" s="356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E342" s="238"/>
      <c r="EF342" s="105"/>
      <c r="EG342" s="105"/>
      <c r="EH342" s="101"/>
      <c r="EI342" s="101"/>
      <c r="EJ342" s="101"/>
      <c r="EK342" s="101"/>
      <c r="EL342" s="101"/>
      <c r="EM342" s="101"/>
      <c r="EN342" s="101"/>
      <c r="EO342" s="101"/>
      <c r="EP342" s="101"/>
      <c r="EQ342" s="101"/>
      <c r="ER342" s="101"/>
      <c r="ES342" s="101"/>
      <c r="ET342" s="101"/>
      <c r="EU342" s="30"/>
      <c r="EW342" s="30"/>
      <c r="EX342" s="30"/>
      <c r="EY342" s="30"/>
      <c r="EZ342" s="30"/>
      <c r="FA342" s="30"/>
      <c r="FB342" s="30"/>
    </row>
    <row r="343" spans="1:158" s="7" customFormat="1" ht="15.75" hidden="1" customHeight="1" outlineLevel="1">
      <c r="A343" s="2"/>
      <c r="D343" s="32" t="e">
        <f>D342*(D328/C328)^2</f>
        <v>#DIV/0!</v>
      </c>
      <c r="F343" s="105" t="s">
        <v>1090</v>
      </c>
      <c r="N343" s="36"/>
      <c r="O343" s="36"/>
      <c r="P343" s="458"/>
      <c r="Q343" s="458"/>
      <c r="CI343" s="103"/>
      <c r="DN343" s="356"/>
      <c r="DO343" s="356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E343" s="238"/>
      <c r="EF343" s="105"/>
      <c r="EG343" s="105"/>
      <c r="EH343" s="101"/>
      <c r="EI343" s="101"/>
      <c r="EJ343" s="101"/>
      <c r="EK343" s="101"/>
      <c r="EL343" s="101"/>
      <c r="EM343" s="101"/>
      <c r="EN343" s="101"/>
      <c r="EO343" s="101"/>
      <c r="EP343" s="101"/>
      <c r="EQ343" s="101"/>
      <c r="ER343" s="101"/>
      <c r="ES343" s="101"/>
      <c r="ET343" s="101"/>
      <c r="EU343" s="30"/>
      <c r="EW343" s="30"/>
      <c r="EX343" s="30"/>
      <c r="EY343" s="30"/>
      <c r="EZ343" s="30"/>
      <c r="FA343" s="30"/>
      <c r="FB343" s="30"/>
    </row>
    <row r="344" spans="1:158" s="7" customFormat="1" ht="15.75" hidden="1" customHeight="1" outlineLevel="1">
      <c r="A344" s="2"/>
      <c r="D344" s="32"/>
      <c r="F344" s="105"/>
      <c r="N344" s="36"/>
      <c r="O344" s="36"/>
      <c r="P344" s="458"/>
      <c r="Q344" s="458"/>
      <c r="CI344" s="103"/>
      <c r="DN344" s="356"/>
      <c r="DO344" s="356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E344" s="238"/>
      <c r="EF344" s="105"/>
      <c r="EG344" s="105"/>
      <c r="EH344" s="101"/>
      <c r="EI344" s="101"/>
      <c r="EJ344" s="101"/>
      <c r="EK344" s="101"/>
      <c r="EL344" s="101"/>
      <c r="EM344" s="101"/>
      <c r="EN344" s="101"/>
      <c r="EO344" s="101"/>
      <c r="EP344" s="101"/>
      <c r="EQ344" s="101"/>
      <c r="ER344" s="101"/>
      <c r="ES344" s="101"/>
      <c r="ET344" s="101"/>
      <c r="EU344" s="30"/>
      <c r="EW344" s="30"/>
      <c r="EX344" s="30"/>
      <c r="EY344" s="30"/>
      <c r="EZ344" s="30"/>
      <c r="FA344" s="30"/>
      <c r="FB344" s="30"/>
    </row>
    <row r="345" spans="1:158" s="7" customFormat="1" ht="15.75" hidden="1" customHeight="1" outlineLevel="1">
      <c r="A345" s="2"/>
      <c r="B345" s="105"/>
      <c r="C345" s="325" t="s">
        <v>1189</v>
      </c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378"/>
      <c r="Q345" s="378"/>
      <c r="R345" s="105"/>
      <c r="CI345" s="103"/>
      <c r="DN345" s="356"/>
      <c r="DO345" s="356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E345" s="238"/>
      <c r="EF345" s="105"/>
      <c r="EG345" s="105"/>
      <c r="EH345" s="101"/>
      <c r="EI345" s="101"/>
      <c r="EJ345" s="101"/>
      <c r="EK345" s="101"/>
      <c r="EL345" s="101"/>
      <c r="EM345" s="101"/>
      <c r="EN345" s="101"/>
      <c r="EO345" s="101"/>
      <c r="EP345" s="101"/>
      <c r="EQ345" s="101"/>
      <c r="ER345" s="101"/>
      <c r="ES345" s="101"/>
      <c r="ET345" s="101"/>
      <c r="EU345" s="30"/>
      <c r="EW345" s="30"/>
      <c r="EX345" s="30"/>
      <c r="EY345" s="30"/>
      <c r="EZ345" s="30"/>
      <c r="FA345" s="30"/>
      <c r="FB345" s="30"/>
    </row>
    <row r="346" spans="1:158" s="7" customFormat="1" ht="15.75" hidden="1" customHeight="1" outlineLevel="1">
      <c r="A346" s="2"/>
      <c r="N346" s="36"/>
      <c r="O346" s="36"/>
      <c r="P346" s="458"/>
      <c r="Q346" s="458"/>
      <c r="CI346" s="103"/>
      <c r="DN346" s="356"/>
      <c r="DO346" s="356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E346" s="238"/>
      <c r="EF346" s="105"/>
      <c r="EG346" s="105"/>
      <c r="EH346" s="101"/>
      <c r="EI346" s="101"/>
      <c r="EJ346" s="101"/>
      <c r="EK346" s="101"/>
      <c r="EL346" s="101"/>
      <c r="EM346" s="101"/>
      <c r="EN346" s="101"/>
      <c r="EO346" s="101"/>
      <c r="EP346" s="101"/>
      <c r="EQ346" s="101"/>
      <c r="ER346" s="101"/>
      <c r="ES346" s="101"/>
      <c r="ET346" s="101"/>
      <c r="EU346" s="30"/>
      <c r="EW346" s="30"/>
      <c r="EX346" s="30"/>
      <c r="EY346" s="30"/>
      <c r="EZ346" s="30"/>
      <c r="FA346" s="30"/>
      <c r="FB346" s="30"/>
    </row>
    <row r="347" spans="1:158" s="7" customFormat="1" ht="15.75" hidden="1" customHeight="1" outlineLevel="1">
      <c r="A347" s="2"/>
      <c r="C347" s="105"/>
      <c r="F347" s="7" t="s">
        <v>227</v>
      </c>
      <c r="N347" s="36"/>
      <c r="O347" s="36"/>
      <c r="P347" s="458"/>
      <c r="Q347" s="458"/>
      <c r="CI347" s="103"/>
      <c r="DN347" s="356"/>
      <c r="DO347" s="356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E347" s="238"/>
      <c r="EF347" s="105"/>
      <c r="EG347" s="105"/>
      <c r="EH347" s="101"/>
      <c r="EI347" s="101"/>
      <c r="EJ347" s="101"/>
      <c r="EK347" s="101"/>
      <c r="EL347" s="101"/>
      <c r="EM347" s="101"/>
      <c r="EN347" s="101"/>
      <c r="EO347" s="101"/>
      <c r="EP347" s="101"/>
      <c r="EQ347" s="101"/>
      <c r="ER347" s="101"/>
      <c r="ES347" s="101"/>
      <c r="ET347" s="101"/>
      <c r="EU347" s="30"/>
      <c r="EW347" s="30"/>
      <c r="EX347" s="30"/>
      <c r="EY347" s="30"/>
      <c r="EZ347" s="30"/>
      <c r="FA347" s="30"/>
      <c r="FB347" s="30"/>
    </row>
    <row r="348" spans="1:158" s="7" customFormat="1" ht="15.75" hidden="1" customHeight="1" outlineLevel="1">
      <c r="A348" s="2"/>
      <c r="C348" s="105"/>
      <c r="D348" s="109">
        <v>7</v>
      </c>
      <c r="F348" s="7" t="s">
        <v>262</v>
      </c>
      <c r="N348" s="36"/>
      <c r="O348" s="36"/>
      <c r="P348" s="458"/>
      <c r="Q348" s="458"/>
      <c r="CI348" s="103"/>
      <c r="DN348" s="356"/>
      <c r="DO348" s="356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E348" s="238"/>
      <c r="EF348" s="105"/>
      <c r="EG348" s="105"/>
      <c r="EH348" s="101"/>
      <c r="EI348" s="101"/>
      <c r="EJ348" s="101"/>
      <c r="EK348" s="101"/>
      <c r="EL348" s="101"/>
      <c r="EM348" s="101"/>
      <c r="EN348" s="101"/>
      <c r="EO348" s="101"/>
      <c r="EP348" s="101"/>
      <c r="EQ348" s="101"/>
      <c r="ER348" s="101"/>
      <c r="ES348" s="101"/>
      <c r="ET348" s="101"/>
      <c r="EU348" s="30"/>
      <c r="EW348" s="30"/>
      <c r="EX348" s="30"/>
      <c r="EY348" s="30"/>
      <c r="EZ348" s="30"/>
      <c r="FA348" s="30"/>
      <c r="FB348" s="30"/>
    </row>
    <row r="349" spans="1:158" s="7" customFormat="1" ht="15.75" hidden="1" customHeight="1" outlineLevel="1">
      <c r="A349" s="2"/>
      <c r="C349" s="105"/>
      <c r="D349" s="30"/>
      <c r="N349" s="36"/>
      <c r="O349" s="36"/>
      <c r="P349" s="458"/>
      <c r="Q349" s="458"/>
      <c r="CI349" s="103"/>
      <c r="DN349" s="356"/>
      <c r="DO349" s="356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E349" s="238"/>
      <c r="EF349" s="105"/>
      <c r="EG349" s="105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30"/>
      <c r="EW349" s="30"/>
      <c r="EX349" s="30"/>
      <c r="EY349" s="30"/>
      <c r="EZ349" s="30"/>
      <c r="FA349" s="30"/>
      <c r="FB349" s="30"/>
    </row>
    <row r="350" spans="1:158" s="7" customFormat="1" ht="15.75" hidden="1" customHeight="1" outlineLevel="1">
      <c r="A350" s="2"/>
      <c r="C350" s="105"/>
      <c r="D350" s="112">
        <f>2*PI()*T_Energy*1000000000*E235/D348/1000/(2*PI()*300000000/D159*D302/1000)</f>
        <v>0.69723677101887827</v>
      </c>
      <c r="F350" s="7" t="s">
        <v>41</v>
      </c>
      <c r="N350" s="36"/>
      <c r="O350" s="36"/>
      <c r="P350" s="458"/>
      <c r="Q350" s="458"/>
      <c r="CI350" s="103"/>
      <c r="DN350" s="356"/>
      <c r="DO350" s="356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E350" s="238"/>
      <c r="EF350" s="105"/>
      <c r="EG350" s="105"/>
      <c r="EH350" s="101"/>
      <c r="EI350" s="101"/>
      <c r="EJ350" s="101"/>
      <c r="EK350" s="101"/>
      <c r="EL350" s="101"/>
      <c r="EM350" s="101"/>
      <c r="EN350" s="101"/>
      <c r="EO350" s="101"/>
      <c r="EP350" s="101"/>
      <c r="EQ350" s="101"/>
      <c r="ER350" s="101"/>
      <c r="ES350" s="101"/>
      <c r="ET350" s="101"/>
      <c r="EU350" s="30"/>
      <c r="EW350" s="30"/>
      <c r="EX350" s="30"/>
      <c r="EY350" s="30"/>
      <c r="EZ350" s="30"/>
      <c r="FA350" s="30"/>
      <c r="FB350" s="30"/>
    </row>
    <row r="351" spans="1:158" s="7" customFormat="1" ht="15.75" hidden="1" customHeight="1" outlineLevel="1">
      <c r="A351" s="2"/>
      <c r="C351" s="105"/>
      <c r="D351" s="112"/>
      <c r="N351" s="36"/>
      <c r="O351" s="36"/>
      <c r="P351" s="458"/>
      <c r="Q351" s="458"/>
      <c r="CI351" s="103"/>
      <c r="DN351" s="356"/>
      <c r="DO351" s="356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E351" s="238"/>
      <c r="EF351" s="105"/>
      <c r="EG351" s="105"/>
      <c r="EH351" s="101"/>
      <c r="EI351" s="101"/>
      <c r="EJ351" s="101"/>
      <c r="EK351" s="101"/>
      <c r="EL351" s="101"/>
      <c r="EM351" s="101"/>
      <c r="EN351" s="101"/>
      <c r="EO351" s="101"/>
      <c r="EP351" s="101"/>
      <c r="EQ351" s="101"/>
      <c r="ER351" s="101"/>
      <c r="ES351" s="101"/>
      <c r="ET351" s="101"/>
      <c r="EU351" s="30"/>
      <c r="EW351" s="30"/>
      <c r="EX351" s="30"/>
      <c r="EY351" s="30"/>
      <c r="EZ351" s="30"/>
      <c r="FA351" s="30"/>
      <c r="FB351" s="30"/>
    </row>
    <row r="352" spans="1:158" s="7" customFormat="1" ht="15.75" hidden="1" customHeight="1" outlineLevel="1">
      <c r="A352" s="2"/>
      <c r="C352" s="325" t="s">
        <v>315</v>
      </c>
      <c r="D352" s="112"/>
      <c r="N352" s="36"/>
      <c r="O352" s="36"/>
      <c r="P352" s="458"/>
      <c r="Q352" s="458"/>
      <c r="CI352" s="103"/>
      <c r="DN352" s="356"/>
      <c r="DO352" s="356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E352" s="238"/>
      <c r="EF352" s="105"/>
      <c r="EG352" s="105"/>
      <c r="EH352" s="101"/>
      <c r="EI352" s="101"/>
      <c r="EJ352" s="101"/>
      <c r="EK352" s="101"/>
      <c r="EL352" s="101"/>
      <c r="EM352" s="101"/>
      <c r="EN352" s="101"/>
      <c r="EO352" s="101"/>
      <c r="EP352" s="101"/>
      <c r="EQ352" s="101"/>
      <c r="ER352" s="101"/>
      <c r="ES352" s="101"/>
      <c r="ET352" s="101"/>
      <c r="EU352" s="30"/>
      <c r="EW352" s="30"/>
      <c r="EX352" s="30"/>
      <c r="EY352" s="30"/>
      <c r="EZ352" s="30"/>
      <c r="FA352" s="30"/>
      <c r="FB352" s="30"/>
    </row>
    <row r="353" spans="1:229" s="7" customFormat="1" ht="15.75" hidden="1" customHeight="1" outlineLevel="1">
      <c r="A353" s="2"/>
      <c r="C353" s="105"/>
      <c r="D353" s="112"/>
      <c r="F353" s="7" t="s">
        <v>628</v>
      </c>
      <c r="N353" s="36"/>
      <c r="O353" s="36"/>
      <c r="P353" s="458"/>
      <c r="Q353" s="458"/>
      <c r="CI353" s="103"/>
      <c r="DN353" s="356"/>
      <c r="DO353" s="356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E353" s="238"/>
      <c r="EF353" s="105"/>
      <c r="EG353" s="105"/>
      <c r="EH353" s="101"/>
      <c r="EI353" s="101"/>
      <c r="EJ353" s="101"/>
      <c r="EK353" s="101"/>
      <c r="EL353" s="101"/>
      <c r="EM353" s="101"/>
      <c r="EN353" s="101"/>
      <c r="EO353" s="101"/>
      <c r="EP353" s="101"/>
      <c r="EQ353" s="101"/>
      <c r="ER353" s="101"/>
      <c r="ES353" s="101"/>
      <c r="ET353" s="101"/>
      <c r="EU353" s="30"/>
      <c r="EW353" s="30"/>
      <c r="EX353" s="30"/>
      <c r="EY353" s="30"/>
      <c r="EZ353" s="30"/>
      <c r="FA353" s="30"/>
      <c r="FB353" s="30"/>
    </row>
    <row r="354" spans="1:229" s="7" customFormat="1" ht="15.75" hidden="1" customHeight="1" outlineLevel="1">
      <c r="A354" s="2"/>
      <c r="C354" s="105"/>
      <c r="D354" s="109">
        <v>16</v>
      </c>
      <c r="F354" s="7" t="s">
        <v>495</v>
      </c>
      <c r="N354" s="36"/>
      <c r="O354" s="36"/>
      <c r="P354" s="458"/>
      <c r="Q354" s="458"/>
      <c r="CI354" s="103"/>
      <c r="DN354" s="356"/>
      <c r="DO354" s="356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E354" s="238"/>
      <c r="EF354" s="105"/>
      <c r="EG354" s="105"/>
      <c r="EH354" s="101"/>
      <c r="EI354" s="101"/>
      <c r="EJ354" s="101"/>
      <c r="EK354" s="101"/>
      <c r="EL354" s="101"/>
      <c r="EM354" s="101"/>
      <c r="EN354" s="101"/>
      <c r="EO354" s="101"/>
      <c r="EP354" s="101"/>
      <c r="EQ354" s="101"/>
      <c r="ER354" s="101"/>
      <c r="ES354" s="101"/>
      <c r="ET354" s="101"/>
      <c r="EU354" s="30"/>
      <c r="EW354" s="30"/>
      <c r="EX354" s="30"/>
      <c r="EY354" s="30"/>
      <c r="EZ354" s="30"/>
      <c r="FA354" s="30"/>
      <c r="FB354" s="30"/>
    </row>
    <row r="355" spans="1:229" s="7" customFormat="1" ht="15.75" hidden="1" customHeight="1" outlineLevel="1">
      <c r="A355" s="2"/>
      <c r="C355" s="105"/>
      <c r="D355" s="109">
        <f>(0.00000074)</f>
        <v>7.4000000000000001E-7</v>
      </c>
      <c r="F355" s="7" t="s">
        <v>496</v>
      </c>
      <c r="N355" s="36"/>
      <c r="O355" s="36"/>
      <c r="P355" s="458"/>
      <c r="Q355" s="458"/>
      <c r="CI355" s="103"/>
      <c r="DN355" s="356"/>
      <c r="DO355" s="356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E355" s="238"/>
      <c r="EF355" s="105"/>
      <c r="EG355" s="105"/>
      <c r="EH355" s="101"/>
      <c r="EI355" s="101"/>
      <c r="EJ355" s="101"/>
      <c r="EK355" s="101"/>
      <c r="EL355" s="101"/>
      <c r="EM355" s="101"/>
      <c r="EN355" s="101"/>
      <c r="EO355" s="101"/>
      <c r="EP355" s="101"/>
      <c r="EQ355" s="101"/>
      <c r="ER355" s="101"/>
      <c r="ES355" s="101"/>
      <c r="ET355" s="101"/>
      <c r="EU355" s="30"/>
      <c r="EW355" s="30"/>
      <c r="EX355" s="30"/>
      <c r="EY355" s="30"/>
      <c r="EZ355" s="30"/>
      <c r="FA355" s="30"/>
      <c r="FB355" s="30"/>
    </row>
    <row r="356" spans="1:229" s="7" customFormat="1" ht="15.75" hidden="1" customHeight="1" outlineLevel="1">
      <c r="A356" s="2"/>
      <c r="C356" s="105"/>
      <c r="D356" s="351">
        <f>Z115</f>
        <v>21.671783751388126</v>
      </c>
      <c r="F356" s="7" t="s">
        <v>686</v>
      </c>
      <c r="N356" s="36"/>
      <c r="O356" s="36"/>
      <c r="P356" s="458"/>
      <c r="Q356" s="458"/>
      <c r="CI356" s="103"/>
      <c r="DN356" s="356"/>
      <c r="DO356" s="356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E356" s="238"/>
      <c r="EF356" s="105"/>
      <c r="EG356" s="105"/>
      <c r="EH356" s="101"/>
      <c r="EI356" s="101"/>
      <c r="EJ356" s="101"/>
      <c r="EK356" s="101"/>
      <c r="EL356" s="101"/>
      <c r="EM356" s="101"/>
      <c r="EN356" s="101"/>
      <c r="EO356" s="101"/>
      <c r="EP356" s="101"/>
      <c r="EQ356" s="101"/>
      <c r="ER356" s="101"/>
      <c r="ES356" s="101"/>
      <c r="ET356" s="101"/>
      <c r="EU356" s="30"/>
      <c r="EW356" s="30"/>
      <c r="EX356" s="30"/>
      <c r="EY356" s="30"/>
      <c r="EZ356" s="30"/>
      <c r="FA356" s="30"/>
      <c r="FB356" s="30"/>
    </row>
    <row r="357" spans="1:229" s="7" customFormat="1" ht="15.75" hidden="1" customHeight="1" outlineLevel="1">
      <c r="A357" s="2"/>
      <c r="C357" s="105"/>
      <c r="N357" s="36"/>
      <c r="O357" s="36"/>
      <c r="P357" s="458"/>
      <c r="Q357" s="458"/>
      <c r="CI357" s="103"/>
      <c r="DN357" s="356"/>
      <c r="DO357" s="356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E357" s="238"/>
      <c r="EF357" s="105"/>
      <c r="EG357" s="105"/>
      <c r="EH357" s="101"/>
      <c r="EI357" s="101"/>
      <c r="EJ357" s="101"/>
      <c r="EK357" s="101"/>
      <c r="EL357" s="101"/>
      <c r="EM357" s="101"/>
      <c r="EN357" s="101"/>
      <c r="EO357" s="101"/>
      <c r="EP357" s="101"/>
      <c r="EQ357" s="101"/>
      <c r="ER357" s="101"/>
      <c r="ES357" s="101"/>
      <c r="ET357" s="101"/>
      <c r="EU357" s="30"/>
      <c r="EW357" s="30"/>
      <c r="EX357" s="30"/>
      <c r="EY357" s="30"/>
      <c r="EZ357" s="30"/>
      <c r="FA357" s="30"/>
      <c r="FB357" s="30"/>
    </row>
    <row r="358" spans="1:229" s="7" customFormat="1" ht="15.75" hidden="1" customHeight="1" outlineLevel="1">
      <c r="A358" s="2"/>
      <c r="C358" s="105"/>
      <c r="D358" s="24">
        <f>T_Energy*1000000000/D356*(D354/1000)^3*4*PI()/($D$165/1000)/300000000*SQRT((1-(D154-INT(D154)))*300000000/$D$159*2*PI()/(36*PI()*1000000000)/2/D355)*1000</f>
        <v>19.671531968738456</v>
      </c>
      <c r="F358" s="7" t="s">
        <v>984</v>
      </c>
      <c r="N358" s="36"/>
      <c r="O358" s="36"/>
      <c r="P358" s="458"/>
      <c r="Q358" s="458"/>
      <c r="CI358" s="103"/>
      <c r="DN358" s="356"/>
      <c r="DO358" s="356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E358" s="238"/>
      <c r="EF358" s="105"/>
      <c r="EG358" s="105"/>
      <c r="EH358" s="101"/>
      <c r="EI358" s="101"/>
      <c r="EJ358" s="101"/>
      <c r="EK358" s="101"/>
      <c r="EL358" s="101"/>
      <c r="EM358" s="101"/>
      <c r="EN358" s="101"/>
      <c r="EO358" s="101"/>
      <c r="EP358" s="101"/>
      <c r="EQ358" s="101"/>
      <c r="ER358" s="101"/>
      <c r="ES358" s="101"/>
      <c r="ET358" s="101"/>
      <c r="EU358" s="30"/>
      <c r="EW358" s="30"/>
      <c r="EX358" s="30"/>
      <c r="EY358" s="30"/>
      <c r="EZ358" s="30"/>
      <c r="FA358" s="30"/>
      <c r="FB358" s="30"/>
    </row>
    <row r="359" spans="1:229" s="2" customFormat="1" ht="15.75" customHeight="1">
      <c r="B359" s="1" t="s">
        <v>226</v>
      </c>
      <c r="D359" s="3"/>
      <c r="N359" s="6"/>
      <c r="O359" s="6"/>
      <c r="P359" s="456"/>
      <c r="Q359" s="456"/>
      <c r="DN359" s="420"/>
      <c r="DO359" s="420"/>
      <c r="DP359" s="439"/>
      <c r="DQ359" s="439"/>
      <c r="DR359" s="439"/>
      <c r="DS359" s="439"/>
      <c r="DT359" s="439"/>
      <c r="DU359" s="439"/>
      <c r="DV359" s="439"/>
      <c r="DW359" s="439"/>
      <c r="DX359" s="439"/>
      <c r="DY359" s="439"/>
      <c r="DZ359" s="439"/>
      <c r="EA359" s="439"/>
      <c r="EE359" s="337"/>
      <c r="EF359" s="337"/>
      <c r="EG359" s="337"/>
      <c r="EH359" s="338"/>
      <c r="EI359" s="338"/>
      <c r="EJ359" s="338"/>
      <c r="EK359" s="338"/>
      <c r="EL359" s="338"/>
      <c r="EM359" s="338"/>
      <c r="EN359" s="338"/>
      <c r="EO359" s="338"/>
      <c r="EP359" s="338"/>
      <c r="EQ359" s="338"/>
      <c r="ER359" s="338"/>
      <c r="ES359" s="338"/>
      <c r="ET359" s="338"/>
      <c r="EU359" s="338"/>
      <c r="EV359" s="7"/>
      <c r="EW359" s="30"/>
      <c r="EX359" s="30"/>
      <c r="EY359" s="30"/>
      <c r="EZ359" s="30"/>
      <c r="FA359" s="30"/>
      <c r="FB359" s="30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</row>
    <row r="360" spans="1:229" s="7" customFormat="1" ht="15.75" customHeight="1" outlineLevel="1">
      <c r="E360" s="101"/>
      <c r="N360" s="36"/>
      <c r="O360" s="36"/>
      <c r="P360" s="458"/>
      <c r="Q360" s="458"/>
      <c r="CI360" s="103"/>
      <c r="DN360" s="356"/>
      <c r="DO360" s="356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E360" s="238"/>
      <c r="EF360" s="238"/>
      <c r="EG360" s="238"/>
      <c r="EH360" s="30"/>
      <c r="EI360" s="30"/>
      <c r="EJ360" s="30"/>
      <c r="EK360" s="30"/>
      <c r="EL360" s="30"/>
      <c r="EM360" s="30"/>
      <c r="EN360" s="30"/>
      <c r="EO360" s="30"/>
      <c r="EP360" s="30"/>
      <c r="EQ360" s="30"/>
      <c r="ER360" s="30"/>
      <c r="ES360" s="30"/>
      <c r="ET360" s="30"/>
      <c r="EU360" s="30"/>
      <c r="EW360" s="30"/>
      <c r="EX360" s="30"/>
      <c r="EY360" s="30"/>
      <c r="EZ360" s="30"/>
      <c r="FA360" s="30"/>
      <c r="FB360" s="30"/>
    </row>
    <row r="361" spans="1:229" ht="15.75" customHeight="1" outlineLevel="1">
      <c r="D361" s="473" t="s">
        <v>734</v>
      </c>
    </row>
    <row r="362" spans="1:229" s="7" customFormat="1" ht="15.75" customHeight="1" outlineLevel="1">
      <c r="A362" s="31"/>
      <c r="B362" s="31"/>
      <c r="C362" s="37"/>
      <c r="D362" s="25" t="s">
        <v>567</v>
      </c>
      <c r="E362" s="395">
        <v>9.9894999999999998E-2</v>
      </c>
      <c r="F362" s="396"/>
      <c r="G362" s="396"/>
      <c r="H362" s="396"/>
      <c r="I362" s="540"/>
      <c r="K362" s="396"/>
      <c r="L362" s="396"/>
      <c r="M362" s="396"/>
      <c r="N362" s="525"/>
      <c r="O362" s="36"/>
      <c r="P362" s="458"/>
      <c r="Q362" s="458"/>
      <c r="R362" s="101">
        <f>R361+Vlength</f>
        <v>9.9894999999999998E-2</v>
      </c>
      <c r="S362" s="101">
        <f>S361+U361*Vlength/SQRT(1+(U361)^2)</f>
        <v>0</v>
      </c>
      <c r="T362" s="101">
        <f>T361+Vlength/SQRT(1+(U361)^2)</f>
        <v>9.9894999999999998E-2</v>
      </c>
      <c r="U362" s="101">
        <f>U361</f>
        <v>0</v>
      </c>
      <c r="V362" s="112">
        <f>V361*CK362*CK362-2*W361*CK362*CL362+X361*CL362*CL362</f>
        <v>0</v>
      </c>
      <c r="W362" s="112">
        <f>-CM362*CK362*V361+(CK362*CN362+CL362*CM362)*W361-X361*CL362*CN362</f>
        <v>0</v>
      </c>
      <c r="X362" s="112" t="e">
        <f>(1+W362^2)/V362</f>
        <v>#DIV/0!</v>
      </c>
      <c r="Y362" s="112">
        <f>ATAN2(CN362*V362+CL362*W362,CL362)+Y361</f>
        <v>1.5707963267948966</v>
      </c>
      <c r="Z362" s="112">
        <f>Z361*CR362*CR362-2*AA361*CR362*CS362+AB361*CS362*CS362</f>
        <v>0</v>
      </c>
      <c r="AA362" s="112">
        <f>-CT362*CR362*Z361+(CR362*CU362+CS362*CT362)*AA361-AB361*CS362*CU362</f>
        <v>0</v>
      </c>
      <c r="AB362" s="112" t="e">
        <f>(1+AA362^2)/Z362</f>
        <v>#DIV/0!</v>
      </c>
      <c r="AC362" s="112">
        <f>ATAN2(CU362*Z362+CS362*AA362,CS362)+AC361</f>
        <v>1.5707963267948966</v>
      </c>
      <c r="AD362" s="101">
        <f>AD361+AE361*$CL362</f>
        <v>0</v>
      </c>
      <c r="AE362" s="112">
        <f>AE361</f>
        <v>0</v>
      </c>
      <c r="AF362" s="238">
        <f>AF361</f>
        <v>0</v>
      </c>
      <c r="AG362" s="112">
        <f>AG361+AH361*$CL362</f>
        <v>0</v>
      </c>
      <c r="AH362" s="112">
        <f>AH361</f>
        <v>0</v>
      </c>
      <c r="AI362" s="112">
        <f>AI361+AJ361*$CL362</f>
        <v>0</v>
      </c>
      <c r="AJ362" s="112">
        <f>AJ361</f>
        <v>0</v>
      </c>
      <c r="AK362" s="112">
        <f>AK361+AL361*$CL362</f>
        <v>0</v>
      </c>
      <c r="AL362" s="112">
        <f>AL361</f>
        <v>0</v>
      </c>
      <c r="AM362" s="112">
        <f>AM361+AN361*$CS362</f>
        <v>0</v>
      </c>
      <c r="AN362" s="112">
        <f>AN361</f>
        <v>0</v>
      </c>
      <c r="AO362" s="112">
        <f>AO361+AP361*$CS362</f>
        <v>0</v>
      </c>
      <c r="AP362" s="112">
        <f>AP361</f>
        <v>0</v>
      </c>
      <c r="AQ362" s="101">
        <f>SQRT(AV362*V362/1000000000+AX362*AX362*AD362*AD362)*1000</f>
        <v>0</v>
      </c>
      <c r="AR362" s="101">
        <f>SQRT(AW362*Z362/1000000000)*1000</f>
        <v>0</v>
      </c>
      <c r="AS362" s="101" t="e">
        <f>SQRT(AV362/1000000000*X362+AX362*AX362*AE362*AE362)*1000</f>
        <v>#DIV/0!</v>
      </c>
      <c r="AT362" s="101" t="e">
        <f>SQRT(AW362/1000000000*AB362)*1000</f>
        <v>#DIV/0!</v>
      </c>
      <c r="AU362" s="101" t="e">
        <f>SQRT((V362*AV362*0.000000001+AD362*AD362*AX362^2)*(X362*AV362*0.000000001+AE362*AE362*AX362^2)-(W362*AV362*0.000000001+AD362*AE362*AX362^2)^2)*1000000000</f>
        <v>#DIV/0!</v>
      </c>
      <c r="AV362" s="239">
        <f t="shared" ref="AV362:AX368" si="226">AV361</f>
        <v>0</v>
      </c>
      <c r="AW362" s="239">
        <f t="shared" si="226"/>
        <v>0</v>
      </c>
      <c r="AX362" s="239">
        <f t="shared" si="226"/>
        <v>0</v>
      </c>
      <c r="AY362" s="434">
        <f>0.5*(AD361+AD362)</f>
        <v>0</v>
      </c>
      <c r="AZ362" s="356">
        <f>0.5*(AE361+AE362)</f>
        <v>0</v>
      </c>
      <c r="BA362" s="425">
        <f>0.5*(V362+V361)-X361*Vlength*Vlength/6</f>
        <v>0</v>
      </c>
      <c r="BB362" s="356">
        <f>0.5*(Y362+Y361)</f>
        <v>0.78539816339744828</v>
      </c>
      <c r="BC362" s="434"/>
      <c r="BD362" s="434"/>
      <c r="BE362" s="434"/>
      <c r="BF362" s="425">
        <f>0.5*(Z362+Z361)-AB361*Vlength*Vlength/6</f>
        <v>0</v>
      </c>
      <c r="BG362" s="434">
        <f>0.5*(AC362+AC361)</f>
        <v>0.78539816339744828</v>
      </c>
      <c r="BH362" s="434"/>
      <c r="BI362" s="434"/>
      <c r="BJ362" s="434"/>
      <c r="BK362" s="239"/>
      <c r="BL362" s="239"/>
      <c r="BM362" s="239"/>
      <c r="BN362" s="239"/>
      <c r="BO362" s="239"/>
      <c r="BP362" s="239"/>
      <c r="BQ362" s="239"/>
      <c r="BR362" s="239"/>
      <c r="BS362" s="239"/>
      <c r="BT362" s="239"/>
      <c r="BU362" s="239"/>
      <c r="BV362" s="239"/>
      <c r="BW362" s="239"/>
      <c r="BX362" s="239"/>
      <c r="BY362" s="239"/>
      <c r="BZ362" s="239"/>
      <c r="CA362" s="239"/>
      <c r="CB362" s="239"/>
      <c r="CC362" s="239"/>
      <c r="CD362" s="239"/>
      <c r="CE362" s="239"/>
      <c r="CF362" s="101"/>
      <c r="CG362" s="101"/>
      <c r="CH362" s="112">
        <f>E362</f>
        <v>9.9894999999999998E-2</v>
      </c>
      <c r="CI362" s="240"/>
      <c r="CJ362" s="112"/>
      <c r="CK362" s="30">
        <v>1</v>
      </c>
      <c r="CL362" s="30">
        <f>E362</f>
        <v>9.9894999999999998E-2</v>
      </c>
      <c r="CM362" s="30">
        <v>0</v>
      </c>
      <c r="CN362" s="30">
        <v>1</v>
      </c>
      <c r="CO362" s="112"/>
      <c r="CP362" s="112"/>
      <c r="CQ362" s="112"/>
      <c r="CR362" s="30">
        <v>1</v>
      </c>
      <c r="CS362" s="30">
        <f>CL362</f>
        <v>9.9894999999999998E-2</v>
      </c>
      <c r="CT362" s="30">
        <v>0</v>
      </c>
      <c r="CU362" s="30">
        <v>1</v>
      </c>
      <c r="CV362" s="112"/>
      <c r="CW362" s="30">
        <f>CW361*CK362+CY361*CL362</f>
        <v>0</v>
      </c>
      <c r="CX362" s="30">
        <f>CX361*CK362+CZ361*CL362</f>
        <v>0</v>
      </c>
      <c r="CY362" s="30">
        <f>CW361*CM362+CY361*CN362</f>
        <v>0</v>
      </c>
      <c r="CZ362" s="30">
        <f>CX361*CM362+CZ361*CN362</f>
        <v>0</v>
      </c>
      <c r="DA362" s="112"/>
      <c r="DB362" s="30">
        <f>DB361*CR362+DD361*CS362</f>
        <v>0</v>
      </c>
      <c r="DC362" s="30">
        <f>DC361*CR362+DE361*CS362</f>
        <v>0</v>
      </c>
      <c r="DD362" s="30">
        <f>DB361*CT362+DD361*CU362</f>
        <v>0</v>
      </c>
      <c r="DE362" s="30">
        <f>DC361*CT362+DE361*CU362</f>
        <v>0</v>
      </c>
      <c r="DF362" s="30">
        <f>AZ362^2*Vlength</f>
        <v>0</v>
      </c>
      <c r="DG362" s="112"/>
      <c r="DH362" s="112"/>
      <c r="DI362" s="112"/>
      <c r="DJ362" s="112"/>
      <c r="DK362" s="112"/>
      <c r="DL362" s="36"/>
      <c r="DM362" s="36"/>
      <c r="DN362" s="356"/>
      <c r="DO362" s="356"/>
      <c r="DP362" s="425"/>
      <c r="DQ362" s="425"/>
      <c r="DR362" s="425"/>
      <c r="DS362" s="425"/>
      <c r="DT362" s="425"/>
      <c r="DU362" s="425"/>
      <c r="DV362" s="425"/>
      <c r="DW362" s="425"/>
      <c r="DX362" s="425"/>
      <c r="DY362" s="425"/>
      <c r="DZ362" s="425"/>
      <c r="EA362" s="425"/>
      <c r="EB362" s="112" t="e">
        <f>E362*(1/AQ362+1/AQ361)/2</f>
        <v>#DIV/0!</v>
      </c>
      <c r="EC362" s="112" t="e">
        <f>E362*(1/AR362+1/AR361)/2</f>
        <v>#DIV/0!</v>
      </c>
      <c r="ED362" s="112" t="e">
        <f>E362*(AS362+AS361)/2</f>
        <v>#DIV/0!</v>
      </c>
      <c r="EE362" s="238" t="e">
        <f>(X362*AD362*AD362+2*W362*AD362*AE362+V362*AE362*AE362)*CH362</f>
        <v>#DIV/0!</v>
      </c>
      <c r="EF362" s="112" t="e">
        <f>SQRT(VaveBetax/VaveBetaz*T_Coupling)</f>
        <v>#DIV/0!</v>
      </c>
      <c r="EG362" s="112" t="e">
        <f>IF(EF362&lt;=1,EF362^(0.021-0.044*LN(EF362)),EF362^(-0.021-0.044*LN(EF362)))/(VaveBetax*VaveBetaz)^(1/4)</f>
        <v>#DIV/0!</v>
      </c>
      <c r="EH362" s="239" t="e">
        <f t="shared" ref="EH362:ET366" si="227">$EG362*Vlength/SQRT(1+EH$7*EH$7/EH$8*1000000000/Vlength*$EE362)</f>
        <v>#DIV/0!</v>
      </c>
      <c r="EI362" s="239" t="e">
        <f t="shared" si="227"/>
        <v>#DIV/0!</v>
      </c>
      <c r="EJ362" s="239" t="e">
        <f t="shared" si="227"/>
        <v>#DIV/0!</v>
      </c>
      <c r="EK362" s="239" t="e">
        <f t="shared" si="227"/>
        <v>#DIV/0!</v>
      </c>
      <c r="EL362" s="239" t="e">
        <f t="shared" si="227"/>
        <v>#DIV/0!</v>
      </c>
      <c r="EM362" s="239" t="e">
        <f t="shared" si="227"/>
        <v>#DIV/0!</v>
      </c>
      <c r="EN362" s="239" t="e">
        <f t="shared" si="227"/>
        <v>#DIV/0!</v>
      </c>
      <c r="EO362" s="239" t="e">
        <f t="shared" si="227"/>
        <v>#DIV/0!</v>
      </c>
      <c r="EP362" s="239" t="e">
        <f t="shared" si="227"/>
        <v>#DIV/0!</v>
      </c>
      <c r="EQ362" s="239" t="e">
        <f t="shared" si="227"/>
        <v>#DIV/0!</v>
      </c>
      <c r="ER362" s="239" t="e">
        <f t="shared" si="227"/>
        <v>#DIV/0!</v>
      </c>
      <c r="ES362" s="239" t="e">
        <f t="shared" si="227"/>
        <v>#DIV/0!</v>
      </c>
      <c r="ET362" s="239" t="e">
        <f t="shared" si="227"/>
        <v>#DIV/0!</v>
      </c>
      <c r="EU362" s="112">
        <f>Vlength*VaveBetaz</f>
        <v>0</v>
      </c>
      <c r="EW362" s="30"/>
      <c r="EX362" s="30"/>
      <c r="EY362" s="30"/>
      <c r="EZ362" s="30"/>
      <c r="FA362" s="30"/>
      <c r="FB362" s="30"/>
    </row>
    <row r="363" spans="1:229" s="42" customFormat="1" ht="15.75" customHeight="1" outlineLevel="1">
      <c r="A363" s="39"/>
      <c r="B363" s="39"/>
      <c r="C363" s="40" t="s">
        <v>1178</v>
      </c>
      <c r="D363" s="41" t="s">
        <v>106</v>
      </c>
      <c r="E363" s="392">
        <v>0.434</v>
      </c>
      <c r="F363" s="393">
        <v>2</v>
      </c>
      <c r="G363" s="392"/>
      <c r="H363" s="507"/>
      <c r="I363" s="541"/>
      <c r="J363" s="536"/>
      <c r="K363" s="394"/>
      <c r="L363" s="394"/>
      <c r="M363" s="507"/>
      <c r="N363" s="527"/>
      <c r="O363" s="429">
        <f>T_Energy/0.2998*F363</f>
        <v>40.293529019346231</v>
      </c>
      <c r="P363" s="459">
        <f>2*T_Energy/0.2998*G363</f>
        <v>0</v>
      </c>
      <c r="Q363" s="459">
        <f>O363*Vlength</f>
        <v>17.487391594396264</v>
      </c>
      <c r="R363" s="44">
        <f>R362+Vlength</f>
        <v>0.53389500000000001</v>
      </c>
      <c r="S363" s="44">
        <f>S362+U362*Vlength/SQRT(1+(U362)^2)</f>
        <v>0</v>
      </c>
      <c r="T363" s="44">
        <f>T362+Vlength/SQRT(1+(U362)^2)</f>
        <v>0.53389500000000001</v>
      </c>
      <c r="U363" s="44">
        <f>U362</f>
        <v>0</v>
      </c>
      <c r="V363" s="45" t="e">
        <f>V362*CK363*CK363-2*W362*CK363*CL363+X362*CL363*CL363</f>
        <v>#DIV/0!</v>
      </c>
      <c r="W363" s="45" t="e">
        <f>-CM363*CK363*V362+(CK363*CN363+CL363*CM363)*W362-X362*CL363*CN363</f>
        <v>#DIV/0!</v>
      </c>
      <c r="X363" s="45" t="e">
        <f>(1+W363^2)/V363</f>
        <v>#DIV/0!</v>
      </c>
      <c r="Y363" s="45" t="e">
        <f>ATAN2(CN363*V363+CL363*W363,CL363)+Y362</f>
        <v>#DIV/0!</v>
      </c>
      <c r="Z363" s="45" t="e">
        <f>Z362*CR363*CR363-2*AA362*CR363*CS363+AB362*CS363*CS363</f>
        <v>#DIV/0!</v>
      </c>
      <c r="AA363" s="45" t="e">
        <f>-CT363*CR363*Z362+(CR363*CU363+CS363*CT363)*AA362-AB362*CS363*CU363</f>
        <v>#DIV/0!</v>
      </c>
      <c r="AB363" s="45" t="e">
        <f>(1+AA363^2)/Z363</f>
        <v>#DIV/0!</v>
      </c>
      <c r="AC363" s="45" t="e">
        <f>ATAN2(CU363*Z363+CS363*AA363,CS363)+AC362</f>
        <v>#DIV/0!</v>
      </c>
      <c r="AD363" s="44">
        <f>AD362*$CK363+AE362*$CL363</f>
        <v>0</v>
      </c>
      <c r="AE363" s="45">
        <f>AD362*$CM363+AE362*$CN363</f>
        <v>0</v>
      </c>
      <c r="AF363" s="46">
        <f>AF362</f>
        <v>0</v>
      </c>
      <c r="AG363" s="45">
        <f>AG362*$CK363+AH362*$CL363</f>
        <v>0</v>
      </c>
      <c r="AH363" s="45">
        <f>AG362*$CM363+AH362*$CN363</f>
        <v>0</v>
      </c>
      <c r="AI363" s="45">
        <f>AI362*$CK363+AJ362*$CL363+0.001*(1-$CK363)*$K363</f>
        <v>0</v>
      </c>
      <c r="AJ363" s="45">
        <f>AI362*$CM363+AJ362*$CN363-0.001*$CM363*$K363</f>
        <v>0</v>
      </c>
      <c r="AK363" s="45">
        <f>AK362*$CK363+AL362*$CL363+0.001*(1-$CK363)*$K363</f>
        <v>0</v>
      </c>
      <c r="AL363" s="45">
        <f>AK362*$CM363+AL362*$CN363-0.001*$CM363*$K363</f>
        <v>0</v>
      </c>
      <c r="AM363" s="45">
        <f>AM362*$CR363+AN362*$CS363+0.001*(1-$CR363)*$L363</f>
        <v>0</v>
      </c>
      <c r="AN363" s="45">
        <f>AM362*$CT363+AN362*$CU363-0.001*$CT363*$L363</f>
        <v>0</v>
      </c>
      <c r="AO363" s="45">
        <f>AO362*$CR363+AP362*$CS363+0.001*(1-$CR363)*$L363</f>
        <v>0</v>
      </c>
      <c r="AP363" s="45">
        <f>AO362*$CT363+AP362*$CU363-0.001*$CT363*$L363</f>
        <v>0</v>
      </c>
      <c r="AQ363" s="44" t="e">
        <f>SQRT(AV363*V363/1000000000+AX363*AX363*AD363*AD363)*1000</f>
        <v>#DIV/0!</v>
      </c>
      <c r="AR363" s="44" t="e">
        <f>SQRT(AW363*Z363/1000000000)*1000</f>
        <v>#DIV/0!</v>
      </c>
      <c r="AS363" s="44" t="e">
        <f>SQRT(AV363/1000000000*X363+AX363*AX363*AE363*AE363)*1000</f>
        <v>#DIV/0!</v>
      </c>
      <c r="AT363" s="44" t="e">
        <f>SQRT(AW363/1000000000*AB363)*1000</f>
        <v>#DIV/0!</v>
      </c>
      <c r="AU363" s="44" t="e">
        <f>SQRT((V363*AV363*0.000000001+AD363*AD363*AX363^2)*(X363*AV363*0.000000001+AE363*AE363*AX363^2)-(W363*AV363*0.000000001+AD363*AE363*AX363^2)^2)*1000000000</f>
        <v>#DIV/0!</v>
      </c>
      <c r="AV363" s="47">
        <f t="shared" si="226"/>
        <v>0</v>
      </c>
      <c r="AW363" s="47">
        <f t="shared" si="226"/>
        <v>0</v>
      </c>
      <c r="AX363" s="47">
        <f t="shared" si="226"/>
        <v>0</v>
      </c>
      <c r="AY363" s="43">
        <f>IF(VKl=0,0.5*(AD362+AD363),(AE363-AE362)/CJ363/Vlength)</f>
        <v>0</v>
      </c>
      <c r="AZ363" s="43">
        <f>IF(VKl=0,AE363,(AD363-AD362)/Vlength)</f>
        <v>0</v>
      </c>
      <c r="BA363" s="429" t="e">
        <f>IF($CJ363=0,0.5*(V363+V362)-X362*Vlength*Vlength/6,-0.5*(($X363-$CJ363*$V363)*Vlength+($W363-$W362))/$CJ363/Vlength)</f>
        <v>#DIV/0!</v>
      </c>
      <c r="BB363" s="428" t="e">
        <f>0.5*(Y363+Y362)</f>
        <v>#DIV/0!</v>
      </c>
      <c r="BC363" s="43" t="e">
        <f>IF(CJ363=0,AY363*BA363-(2*W362-X362*Vlength)*AE362*Vlength*Vlength/12,-(2*(X363-CJ363*V363)*AY363+(2*W363*AD363+V363*AE363-2*W362*AD362-V362*AE362)/Vlength)/3/CJ363)</f>
        <v>#DIV/0!</v>
      </c>
      <c r="BD363" s="43"/>
      <c r="BE363" s="43"/>
      <c r="BF363" s="429" t="e">
        <f>IF($CQ363=0,0.5*(Z363+Z362)-AB362*Vlength*Vlength/6,-0.5*(($AB363-$CQ363*$Z363)*Vlength+$AA363-$AA362)/$CQ363/Vlength)</f>
        <v>#DIV/0!</v>
      </c>
      <c r="BG363" s="43" t="e">
        <f>0.5*(AC363+AC362)</f>
        <v>#DIV/0!</v>
      </c>
      <c r="BH363" s="43" t="e">
        <f>IF(CQ363=0,AY363*BF363-(2*AA362-AB362*Vlength)*AE362*Vlength*Vlength/12,-(2*(AB363-CQ363*Z363)*AY363+(2*AA363*AD363+Z363*AE363-2*AA362*AD362-Z362*AE362)/Vlength)/5/CQ363)</f>
        <v>#DIV/0!</v>
      </c>
      <c r="BI363" s="43"/>
      <c r="BJ363" s="43"/>
      <c r="BK363" s="47"/>
      <c r="BL363" s="47"/>
      <c r="BM363" s="47"/>
      <c r="BN363" s="47"/>
      <c r="BO363" s="47"/>
      <c r="BP363" s="47" t="e">
        <f>VaveBetax*BR363</f>
        <v>#DIV/0!</v>
      </c>
      <c r="BQ363" s="47" t="e">
        <f>VaveBetaz*BS363</f>
        <v>#DIV/0!</v>
      </c>
      <c r="BR363" s="47" t="e">
        <f>VaveBetax*VKl^2</f>
        <v>#DIV/0!</v>
      </c>
      <c r="BS363" s="47" t="e">
        <f>VaveBetaz*VKl^2</f>
        <v>#DIV/0!</v>
      </c>
      <c r="BT363" s="47" t="e">
        <f>BS363*AY363^2</f>
        <v>#DIV/0!</v>
      </c>
      <c r="BU363" s="47" t="e">
        <f>(CJ363*(V363-V362))^2</f>
        <v>#DIV/0!</v>
      </c>
      <c r="BV363" s="47" t="e">
        <f>(CQ363*(Z363-Z362))^2</f>
        <v>#DIV/0!</v>
      </c>
      <c r="BW363" s="47" t="e">
        <f>1/VaveBetax*(CJ363*Vlength^3)^2</f>
        <v>#DIV/0!</v>
      </c>
      <c r="BX363" s="47" t="e">
        <f>1/VaveBetaz*(CQ363*Vlength^3)^2</f>
        <v>#DIV/0!</v>
      </c>
      <c r="BY363" s="47" t="e">
        <f>(CJ363*VaveBetax*(Y363-Y362))^2</f>
        <v>#DIV/0!</v>
      </c>
      <c r="BZ363" s="47" t="e">
        <f>(CQ363*VaveBetaz*(AC363-AC362))^2</f>
        <v>#DIV/0!</v>
      </c>
      <c r="CA363" s="45" t="e">
        <f>AY363^2*VaveBetaz*VHl^2</f>
        <v>#DIV/0!</v>
      </c>
      <c r="CB363" s="47" t="e">
        <f>VaveBetax*BS363</f>
        <v>#DIV/0!</v>
      </c>
      <c r="CC363" s="45" t="e">
        <f>VaveBetax*VaveBetaz*VHl^2</f>
        <v>#DIV/0!</v>
      </c>
      <c r="CD363" s="45" t="e">
        <f>(VaveBetax*VHl)^2</f>
        <v>#DIV/0!</v>
      </c>
      <c r="CE363" s="45" t="e">
        <f>(VaveBetaz*VHl)^2</f>
        <v>#DIV/0!</v>
      </c>
      <c r="CF363" s="44">
        <f>$CQ363*Vlength</f>
        <v>0.86799999999999999</v>
      </c>
      <c r="CG363" s="44">
        <f>$G363*Vlength</f>
        <v>0</v>
      </c>
      <c r="CH363" s="45">
        <f>$E363</f>
        <v>0.434</v>
      </c>
      <c r="CI363" s="48"/>
      <c r="CJ363" s="49">
        <f>-$CQ363</f>
        <v>-2</v>
      </c>
      <c r="CK363" s="49">
        <f>IF(CJ363=0,1,IF(CJ363&gt;0,COSH(Vlength*SQRT(CJ363)),COS(Vlength*SQRT(-CJ363))))</f>
        <v>0.81748324461795874</v>
      </c>
      <c r="CL363" s="49">
        <f>IF(CJ363=0,Vlength,IF(CJ363&gt;0,SINH(Vlength*SQRT(CJ363))/SQRT(CJ363),SIN(Vlength*SQRT(-CJ363))/SQRT(-CJ363)))</f>
        <v>0.40725983399354188</v>
      </c>
      <c r="CM363" s="49">
        <f>CL363*CJ363</f>
        <v>-0.81451966798708375</v>
      </c>
      <c r="CN363" s="49">
        <f>CK363</f>
        <v>0.81748324461795874</v>
      </c>
      <c r="CO363" s="45"/>
      <c r="CP363" s="45"/>
      <c r="CQ363" s="49">
        <f>$F363-0.001*$G363*$K363</f>
        <v>2</v>
      </c>
      <c r="CR363" s="49">
        <f>IF(CQ363=0,1,IF(CQ363&gt;0,COSH(Vlength*SQRT(CQ363)),COS(Vlength*SQRT(-CQ363))))</f>
        <v>1.1943437485974497</v>
      </c>
      <c r="CS363" s="49">
        <f>IF(CQ363=0,Vlength,IF(CQ363&gt;0,SINH(Vlength*SQRT(CQ363))/SQRT(CQ363),SIN(Vlength*SQRT(-CQ363))/SQRT(-CQ363)))</f>
        <v>0.46176671047933299</v>
      </c>
      <c r="CT363" s="49">
        <f>CS363*CQ363</f>
        <v>0.92353342095866597</v>
      </c>
      <c r="CU363" s="49">
        <f>CR363</f>
        <v>1.1943437485974497</v>
      </c>
      <c r="CV363" s="45"/>
      <c r="CW363" s="49">
        <f>CW362*CK363+CY362*CL363</f>
        <v>0</v>
      </c>
      <c r="CX363" s="49">
        <f>CX362*CK363+CZ362*CL363</f>
        <v>0</v>
      </c>
      <c r="CY363" s="49">
        <f>CW362*CM363+CY362*CN363</f>
        <v>0</v>
      </c>
      <c r="CZ363" s="49">
        <f>CX362*CM363+CZ362*CN363</f>
        <v>0</v>
      </c>
      <c r="DA363" s="45"/>
      <c r="DB363" s="49">
        <f>DB362*CR363+DD362*CS363</f>
        <v>0</v>
      </c>
      <c r="DC363" s="49">
        <f>DC362*CR363+DE362*CS363</f>
        <v>0</v>
      </c>
      <c r="DD363" s="49">
        <f>DB362*CT363+DD362*CU363</f>
        <v>0</v>
      </c>
      <c r="DE363" s="49">
        <f>DC362*CT363+DE362*CU363</f>
        <v>0</v>
      </c>
      <c r="DF363" s="49">
        <f>AZ363^2*Vlength</f>
        <v>0</v>
      </c>
      <c r="DG363" s="45"/>
      <c r="DH363" s="45"/>
      <c r="DI363" s="45"/>
      <c r="DJ363" s="45"/>
      <c r="DK363" s="45"/>
      <c r="DL363" s="50"/>
      <c r="DM363" s="50"/>
      <c r="DN363" s="428" t="e">
        <f>-VKl*VaveBetax+2*VHl*$BC363</f>
        <v>#DIV/0!</v>
      </c>
      <c r="DO363" s="428" t="e">
        <f>VaveBetaz*VKl-2*VHl*$BH363</f>
        <v>#DIV/0!</v>
      </c>
      <c r="DP363" s="43" t="e">
        <f>IMPRODUCT(-1/8*(VaveBetax*VKl-2*$BC363*VHl),COMPLEX(COS(2*VmidMux),SIN(2*VmidMux)))</f>
        <v>#DIV/0!</v>
      </c>
      <c r="DQ363" s="429" t="e">
        <f>IMPRODUCT(1/8*(VaveBetaz*VKl-2*BH363*VHl),COMPLEX(COS(2*VmidMuz),SIN(2*VmidMuz)))</f>
        <v>#DIV/0!</v>
      </c>
      <c r="DR363" s="429" t="e">
        <f>IMPRODUCT(-1/2*SQRT(VaveBetax)*(VKl-2*VHl*$AY363)*AY363,COMPLEX(COS(VmidMux),SIN(VmidMux)))</f>
        <v>#DIV/0!</v>
      </c>
      <c r="DS363" s="429" t="e">
        <f>IMPRODUCT(-1/8*VHl*VaveBetax^(3/2),COMPLEX(COS(VmidMux),SIN(VmidMux)))</f>
        <v>#DIV/0!</v>
      </c>
      <c r="DT363" s="429" t="e">
        <f>IMPRODUCT(-1/24*VHl*VaveBetax^(3/2),COMPLEX(COS(3*VmidMux),SIN(3*VmidMux)))</f>
        <v>#DIV/0!</v>
      </c>
      <c r="DU363" s="429" t="e">
        <f>IMPRODUCT(1/4*VHl*VaveBetax^(1/2)*VaveBetaz,COMPLEX(COS(VmidMux),SIN(VmidMux)))</f>
        <v>#DIV/0!</v>
      </c>
      <c r="DV363" s="429" t="e">
        <f>IMPRODUCT(1/8*VHl*VaveBetax^(1/2)*VaveBetaz,COMPLEX(COS(VmidMux-2*VmidMuz),SIN(VmidMux-2*VmidMuz)))</f>
        <v>#DIV/0!</v>
      </c>
      <c r="DW363" s="429" t="e">
        <f>IMPRODUCT(1/8*VHl*VaveBetax^(1/2)*VaveBetaz,COMPLEX(COS(VmidMux+2*VmidMuz),SIN(VmidMux+2*VmidMuz)))</f>
        <v>#DIV/0!</v>
      </c>
      <c r="DX363" s="429" t="e">
        <f>VaveBetax^2*F363^2*E363/8/PI()/2</f>
        <v>#DIV/0!</v>
      </c>
      <c r="DY363" s="429" t="e">
        <f>2*VaveBetax*VaveBetaz*F363^2*E363/8/PI()</f>
        <v>#DIV/0!</v>
      </c>
      <c r="DZ363" s="429" t="e">
        <f>VaveBetaz^2*F363^2*E363/8/PI()</f>
        <v>#DIV/0!</v>
      </c>
      <c r="EA363" s="429">
        <f>ABS(F363)</f>
        <v>2</v>
      </c>
      <c r="EB363" s="45" t="e">
        <f>E363*(1/AQ363+1/AQ362)/2</f>
        <v>#DIV/0!</v>
      </c>
      <c r="EC363" s="45" t="e">
        <f>E363*(1/AR363+1/AR362)/2</f>
        <v>#DIV/0!</v>
      </c>
      <c r="ED363" s="45" t="e">
        <f>E363*(AS363+AS362)/2</f>
        <v>#DIV/0!</v>
      </c>
      <c r="EE363" s="46" t="e">
        <f>(X363*AD363*AD363+2*W363*AD363*AE363+V363*AE363*AE363)*CH363</f>
        <v>#DIV/0!</v>
      </c>
      <c r="EF363" s="45" t="e">
        <f>SQRT(VaveBetax/VaveBetaz*T_Coupling)</f>
        <v>#DIV/0!</v>
      </c>
      <c r="EG363" s="45" t="e">
        <f>IF(EF363&lt;=1,EF363^(0.021-0.044*LN(EF363)),EF363^(-0.021-0.044*LN(EF363)))/(VaveBetax*VaveBetaz)^(1/4)</f>
        <v>#DIV/0!</v>
      </c>
      <c r="EH363" s="47" t="e">
        <f t="shared" si="227"/>
        <v>#DIV/0!</v>
      </c>
      <c r="EI363" s="47" t="e">
        <f t="shared" si="227"/>
        <v>#DIV/0!</v>
      </c>
      <c r="EJ363" s="47" t="e">
        <f t="shared" si="227"/>
        <v>#DIV/0!</v>
      </c>
      <c r="EK363" s="47" t="e">
        <f t="shared" si="227"/>
        <v>#DIV/0!</v>
      </c>
      <c r="EL363" s="47" t="e">
        <f t="shared" si="227"/>
        <v>#DIV/0!</v>
      </c>
      <c r="EM363" s="47" t="e">
        <f t="shared" si="227"/>
        <v>#DIV/0!</v>
      </c>
      <c r="EN363" s="47" t="e">
        <f t="shared" si="227"/>
        <v>#DIV/0!</v>
      </c>
      <c r="EO363" s="47" t="e">
        <f t="shared" si="227"/>
        <v>#DIV/0!</v>
      </c>
      <c r="EP363" s="47" t="e">
        <f t="shared" si="227"/>
        <v>#DIV/0!</v>
      </c>
      <c r="EQ363" s="47" t="e">
        <f t="shared" si="227"/>
        <v>#DIV/0!</v>
      </c>
      <c r="ER363" s="47" t="e">
        <f t="shared" si="227"/>
        <v>#DIV/0!</v>
      </c>
      <c r="ES363" s="47" t="e">
        <f t="shared" si="227"/>
        <v>#DIV/0!</v>
      </c>
      <c r="ET363" s="47" t="e">
        <f t="shared" si="227"/>
        <v>#DIV/0!</v>
      </c>
      <c r="EU363" s="45" t="e">
        <f>Vlength*VaveBetaz</f>
        <v>#DIV/0!</v>
      </c>
      <c r="EW363" s="49" t="e">
        <f>IMPRODUCT(VKl*VaveBetax^(ABS(EW$5)/2)*VaveBetaz^(ABS(EW$6)/2),COMPLEX(COS(EW$5*VmidMux+EW$6*VmidMuz+EW$23*$R363),SIN(EW$5*VmidMux+EW$6*VmidMuz+EW$23*$R363)))</f>
        <v>#DIV/0!</v>
      </c>
      <c r="EX363" s="49" t="e">
        <f>IMPRODUCT(VKl*VaveBetax^(ABS(EX$5)/2)*VaveBetaz^(ABS(EX$6)/2),COMPLEX(COS(EX$5*VmidMux+EX$6*VmidMuz+EX$23*$R363),SIN(EX$5*VmidMux+EX$6*VmidMuz+EX$23*$R363)))</f>
        <v>#DIV/0!</v>
      </c>
      <c r="EY363" s="49" t="e">
        <f>IMPRODUCT(VHl*VaveBetax^(ABS(EY$5)/2)*VaveBetaz^(ABS(EY$6)/2),COMPLEX(COS(EY$5*VmidMux+EY$6*VmidMuz+EY$23*$R363),SIN(EY$5*VmidMux+EY$6*VmidMuz+EY$23*$R363)))</f>
        <v>#DIV/0!</v>
      </c>
      <c r="EZ363" s="49" t="e">
        <f>IMPRODUCT(VHl*VaveBetax^(ABS(EZ$5)/2)*VaveBetaz^(ABS(EZ$6)/2),COMPLEX(COS(EZ$5*VmidMux+EZ$6*VmidMuz+EZ$23*$R363),SIN(EZ$5*VmidMux+EZ$6*VmidMuz+EZ$23*$R363)))</f>
        <v>#DIV/0!</v>
      </c>
      <c r="FA363" s="49" t="e">
        <f>IMPRODUCT(VHl*VaveBetax^(ABS(FA$5)/2)*VaveBetaz^(ABS(FA$6)/2),COMPLEX(COS(FA$5*VmidMux+FA$6*VmidMuz+FA$23*$R363),SIN(FA$5*VmidMux+FA$6*VmidMuz+FA$23*$R363)))</f>
        <v>#DIV/0!</v>
      </c>
      <c r="FB363" s="49"/>
    </row>
    <row r="364" spans="1:229" s="68" customFormat="1" ht="15.75" customHeight="1" outlineLevel="1">
      <c r="A364" s="63"/>
      <c r="B364" s="63"/>
      <c r="C364" s="76"/>
      <c r="D364" s="65" t="s">
        <v>778</v>
      </c>
      <c r="E364" s="401">
        <v>5.8497881525301785E-3</v>
      </c>
      <c r="F364" s="402">
        <v>50.036000000000001</v>
      </c>
      <c r="G364" s="403">
        <v>1</v>
      </c>
      <c r="H364" s="535"/>
      <c r="I364" s="542"/>
      <c r="J364" s="537"/>
      <c r="K364" s="403"/>
      <c r="L364" s="403"/>
      <c r="M364" s="508"/>
      <c r="N364" s="531">
        <f>T_Energy/0.2998/F364</f>
        <v>0.40264538551589085</v>
      </c>
      <c r="O364" s="433">
        <f>-G364*N364/F364</f>
        <v>-8.0471137883901759E-3</v>
      </c>
      <c r="P364" s="462">
        <f>2*H364*N364/F364/F364</f>
        <v>0</v>
      </c>
      <c r="Q364" s="462">
        <f>O364*Vlength</f>
        <v>-2.3553902058618048E-3</v>
      </c>
      <c r="R364" s="69">
        <f>R363+Vlength</f>
        <v>0.82659499999999997</v>
      </c>
      <c r="S364" s="69">
        <f>S363+U363*Vlength/SQRT(1+(U363)^2)</f>
        <v>0</v>
      </c>
      <c r="T364" s="69">
        <f>T363+Vlength/SQRT(1+(U363)^2)</f>
        <v>0.82659499999999997</v>
      </c>
      <c r="U364" s="69">
        <f>(-SIN(E364)+U363*COS(E364))/(COS(E364)+U363*SIN(E364))</f>
        <v>-5.8498548800688588E-3</v>
      </c>
      <c r="V364" s="70" t="e">
        <f>V363*CK364*CK364-2*W363*CK364*CL364+X363*CL364*CL364</f>
        <v>#DIV/0!</v>
      </c>
      <c r="W364" s="70" t="e">
        <f>-CM364*CK364*V363+(CK364*CN364+CL364*CM364)*W363-X363*CL364*CN364</f>
        <v>#DIV/0!</v>
      </c>
      <c r="X364" s="70" t="e">
        <f>(1+W364^2)/V364</f>
        <v>#DIV/0!</v>
      </c>
      <c r="Y364" s="70" t="e">
        <f>ATAN2(CN364*V364+CL364*W364,CL364)+Y363</f>
        <v>#DIV/0!</v>
      </c>
      <c r="Z364" s="70" t="e">
        <f>Z363*CR364*CR364-2*AA363*CR364*CS364+AB363*CS364*CS364</f>
        <v>#DIV/0!</v>
      </c>
      <c r="AA364" s="70" t="e">
        <f>-CT364*CR364*Z363+(CR364*CU364+CS364*CT364)*AA363-AB363*CS364*CU364</f>
        <v>#DIV/0!</v>
      </c>
      <c r="AB364" s="70" t="e">
        <f>(1+AA364^2)/Z364</f>
        <v>#DIV/0!</v>
      </c>
      <c r="AC364" s="70" t="e">
        <f>ATAN2(CU364*Z364+CS364*AA364,CS364)+AC363</f>
        <v>#DIV/0!</v>
      </c>
      <c r="AD364" s="69">
        <f>AD363*$CK364+AE363*$CL364+CO364</f>
        <v>8.5611649612279159E-4</v>
      </c>
      <c r="AE364" s="70">
        <f>AD363*$CM364+AE363*$CN364+CP364</f>
        <v>5.8497881525301785E-3</v>
      </c>
      <c r="AF364" s="71" t="e">
        <f>V364*AE364^2+2*W364*AD364*AE364+X364*AD364^2</f>
        <v>#DIV/0!</v>
      </c>
      <c r="AG364" s="70">
        <f>AG363*$CK364+AH363*$CL364+CO364</f>
        <v>8.5611649612279159E-4</v>
      </c>
      <c r="AH364" s="70">
        <f>AG363*$CM364+AH363*$CN364+CP364</f>
        <v>5.8497881525301785E-3</v>
      </c>
      <c r="AI364" s="70">
        <f>AI363*$CK364+AJ363*$CL364+0.001*(1-$CK364)*$K364</f>
        <v>0</v>
      </c>
      <c r="AJ364" s="70">
        <f>AI363*$CM364+AJ363*$CN364-0.001*$CM364*K364</f>
        <v>0</v>
      </c>
      <c r="AK364" s="70">
        <f>AK363*$CK364+AL363*$CL364+0.001*(1-$CK364)*$K364</f>
        <v>0</v>
      </c>
      <c r="AL364" s="70">
        <f>AK363*$CM364+AL363*$CN364-0.001*$CM364*$K364</f>
        <v>0</v>
      </c>
      <c r="AM364" s="70">
        <f>AM363*$CR364+AN363*$CS364+0.001*(1-$CR364)*$L364</f>
        <v>0</v>
      </c>
      <c r="AN364" s="70">
        <f>AM363*$CT364+AN363*$CU364-0.001*$CT364*$L364</f>
        <v>0</v>
      </c>
      <c r="AO364" s="70">
        <f>AO363*$CR364+AP363*$CS364+0.001*(1-$CR364)*$L364</f>
        <v>0</v>
      </c>
      <c r="AP364" s="70">
        <f>AO363*$CT364+AP363*$CU364-0.001*$CT364*$L364</f>
        <v>0</v>
      </c>
      <c r="AQ364" s="69" t="e">
        <f>SQRT(AV364*V364/1000000000+AX364*AX364*AD364*AD364)*1000</f>
        <v>#DIV/0!</v>
      </c>
      <c r="AR364" s="69" t="e">
        <f>SQRT(AW364*Z364/1000000000)*1000</f>
        <v>#DIV/0!</v>
      </c>
      <c r="AS364" s="69" t="e">
        <f>SQRT(AV364/1000000000*X364+AX364*AX364*AE364*AE364)*1000</f>
        <v>#DIV/0!</v>
      </c>
      <c r="AT364" s="69" t="e">
        <f>SQRT(AW364/1000000000*AB364)*1000</f>
        <v>#DIV/0!</v>
      </c>
      <c r="AU364" s="69" t="e">
        <f>SQRT((V364*AV364*0.000000001+AD364*AD364*AX364^2)*(X364*AV364*0.000000001+AE364*AE364*AX364^2)-(W364*AV364*0.000000001+AD364*AE364*AX364^2)^2)*1000000000</f>
        <v>#DIV/0!</v>
      </c>
      <c r="AV364" s="72">
        <f t="shared" si="226"/>
        <v>0</v>
      </c>
      <c r="AW364" s="72">
        <f t="shared" si="226"/>
        <v>0</v>
      </c>
      <c r="AX364" s="72">
        <f t="shared" si="226"/>
        <v>0</v>
      </c>
      <c r="AY364" s="488">
        <f>IF(Vlength*CJ364=0,0.5*(AD363+AD364)-Vlength*Vlength/12/F364,(AE364-AE363-E364)/CJ364/Vlength)</f>
        <v>2.8537216537426386E-4</v>
      </c>
      <c r="AZ364" s="488">
        <f>IF(VKl=0,AZ363,(AD364-AD363)/Vlength)</f>
        <v>2.9248940762650888E-3</v>
      </c>
      <c r="BA364" s="433" t="e">
        <f>IF($CJ364=0,0.5*(V364+V363)-X363*Vlength*Vlength/6,-0.5*(($X364-$CJ364*$V364)*Vlength+($W364-$W363))/$CJ364/Vlength)</f>
        <v>#DIV/0!</v>
      </c>
      <c r="BB364" s="77" t="e">
        <f>0.5*(Y364+Y363)</f>
        <v>#DIV/0!</v>
      </c>
      <c r="BC364" s="488" t="e">
        <f>IF(CJ364=0,AY364*BA364-(2*W363-X363*Vlength)*AE363*Vlength*Vlength/12-(W363/12-2*X363*Vlength/45)*Vlength^3/F364,-(2*(X364-CJ364*V364)*AY364+(2*W364*AD364+V364*AE364-2*W363*AD363-V363*AE363)/Vlength-BA364/F364)/3/CJ364)</f>
        <v>#DIV/0!</v>
      </c>
      <c r="BD364" s="488"/>
      <c r="BE364" s="488" t="e">
        <f>(X364-CJ364*V364)*AY364+(V364*AE364-V363*AE363)/Vlength-BA364/F364</f>
        <v>#DIV/0!</v>
      </c>
      <c r="BF364" s="433" t="e">
        <f>IF($CQ364=0,0.5*(Z364+Z363)-AB363*Vlength*Vlength/6,-0.5*(($AB364-$CQ364*$Z364)*Vlength+$AA364-$AA363)/$CQ364/Vlength)</f>
        <v>#DIV/0!</v>
      </c>
      <c r="BG364" s="488" t="e">
        <f>0.5*(AC364+AC363)</f>
        <v>#DIV/0!</v>
      </c>
      <c r="BH364" s="488" t="e">
        <f>-(2*(AB364-CQ364*Z364)*AY364+(2*AA364*AD364+Z364*AE364-2*AA363*AD363-Z363*AE363)/Vlength-BF364/F364)/(4*CQ364-CJ364)</f>
        <v>#DIV/0!</v>
      </c>
      <c r="BI364" s="488"/>
      <c r="BJ364" s="488" t="e">
        <f>$CQ364*$BH364+($AB364-$CQ364*$Z364)*$AY364</f>
        <v>#DIV/0!</v>
      </c>
      <c r="BK364" s="72" t="e">
        <f>VaveBetax*E364^2</f>
        <v>#DIV/0!</v>
      </c>
      <c r="BL364" s="72" t="e">
        <f>VaveBetaz*E364^2</f>
        <v>#DIV/0!</v>
      </c>
      <c r="BM364" s="72" t="e">
        <f>SUMSQ(SQRT(V364)-SQRT(V363),0.5*(SQRT(V364)+SQRT(V363))*(Y364-Y363))/F364/F364</f>
        <v>#DIV/0!</v>
      </c>
      <c r="BN364" s="72" t="e">
        <f>VaveBetax*(CJ364*Vlength)^2</f>
        <v>#DIV/0!</v>
      </c>
      <c r="BO364" s="72" t="e">
        <f>VaveBetaz*(CQ364*Vlength)^2</f>
        <v>#DIV/0!</v>
      </c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69">
        <f>$CQ364*Vlength</f>
        <v>-1.1691158670817368E-4</v>
      </c>
      <c r="CG364" s="69">
        <f>H364/F364/F364/F364*Vlength</f>
        <v>0</v>
      </c>
      <c r="CH364" s="70">
        <f>E364*F364</f>
        <v>0.29270000000000002</v>
      </c>
      <c r="CI364" s="73"/>
      <c r="CJ364" s="74">
        <f>-((1-$G364)-0.001*$K364*$H364/$F364)/$F364/$F364</f>
        <v>0</v>
      </c>
      <c r="CK364" s="74">
        <f>IF(CJ364=0,1,IF(CJ364&gt;0,COSH(Vlength*SQRT(CJ364)),COS(Vlength*SQRT(-CJ364))))</f>
        <v>1</v>
      </c>
      <c r="CL364" s="74">
        <f>IF(CJ364=0,Vlength,IF(CJ364&gt;0,SINH(Vlength*SQRT(CJ364))/SQRT(CJ364),SIN(Vlength*SQRT(-CJ364))/SQRT(-CJ364)))</f>
        <v>0.29270000000000002</v>
      </c>
      <c r="CM364" s="74">
        <f>CL364*CJ364</f>
        <v>0</v>
      </c>
      <c r="CN364" s="74">
        <f>CK364</f>
        <v>1</v>
      </c>
      <c r="CO364" s="70">
        <f>IF(CJ364=0,0.5*E364*E364*F364,(CK364-1)/F364/CJ364)</f>
        <v>8.5611649612279159E-4</v>
      </c>
      <c r="CP364" s="70">
        <f>CL364/F364</f>
        <v>5.8497881525301785E-3</v>
      </c>
      <c r="CQ364" s="74">
        <f>-($G364+0.001*$K364*$H364/$F364)/$F364/$F364</f>
        <v>-3.9942462148334022E-4</v>
      </c>
      <c r="CR364" s="74">
        <f>IF(CQ364=0,1,IF(CQ364&gt;0,COSH(Vlength*SQRT(CQ364)),COS(Vlength*SQRT(-CQ364))))</f>
        <v>0.99998289003807728</v>
      </c>
      <c r="CS364" s="74">
        <f>IF(CQ364=0,Vlength,IF(CQ364&gt;0,SINH(Vlength*SQRT(CQ364))/SQRT(CQ364),SIN(Vlength*SQRT(-CQ364))/SQRT(-CQ364)))</f>
        <v>0.29269833063614425</v>
      </c>
      <c r="CT364" s="74">
        <f>CS364*CQ364</f>
        <v>-1.1691091992314748E-4</v>
      </c>
      <c r="CU364" s="74">
        <f>CR364</f>
        <v>0.99998289003807728</v>
      </c>
      <c r="CV364" s="70"/>
      <c r="CW364" s="74">
        <f>CW363*CK364+CY363*CL364</f>
        <v>0</v>
      </c>
      <c r="CX364" s="74">
        <f>CX363*CK364+CZ363*CL364</f>
        <v>0</v>
      </c>
      <c r="CY364" s="74">
        <f>CW363*CM364+CY363*CN364</f>
        <v>0</v>
      </c>
      <c r="CZ364" s="74">
        <f>CX363*CM364+CZ363*CN364</f>
        <v>0</v>
      </c>
      <c r="DA364" s="70"/>
      <c r="DB364" s="74">
        <f>DB363*CR364+DD363*CS364</f>
        <v>0</v>
      </c>
      <c r="DC364" s="74">
        <f>DC363*CR364+DE363*CS364</f>
        <v>0</v>
      </c>
      <c r="DD364" s="74">
        <f>DB363*CT364+DD363*CU364</f>
        <v>0</v>
      </c>
      <c r="DE364" s="74">
        <f>DC363*CT364+DE363*CU364</f>
        <v>0</v>
      </c>
      <c r="DF364" s="74">
        <f>AZ364^2*Vlength</f>
        <v>2.5040500681023771E-6</v>
      </c>
      <c r="DG364" s="74">
        <f>Vlength*AY364/F364</f>
        <v>1.6693667120682516E-6</v>
      </c>
      <c r="DH364" s="74">
        <f>1/F364/F364*Vlength</f>
        <v>1.1691158670817368E-4</v>
      </c>
      <c r="DI364" s="74">
        <f>ABS(DH364/F364)</f>
        <v>2.3365494185820945E-6</v>
      </c>
      <c r="DJ364" s="74">
        <f>DG364*(1-2*G364)/F364/F364</f>
        <v>-6.6678616708474951E-10</v>
      </c>
      <c r="DK364" s="72" t="e">
        <f>DI364*(1/V363*(AD363*AD363+(V363*AE363+W363*AD363)^2)+(W363*AD363+V363*AE363)*2*(1-COS(E364))/E364-2*((1+W363^2)/V363*AD363+W363*AE363)*F364*(1-SIN(E364)/E364)+V363/2*(1-SIN(2*E364)/2/E364)-4*W363*F364*SIN(E364/2)^4/E364+(1+W363^2)/V363/2*F364^2*(3+SIN(E364)/E364*(COS(E364)-4)))</f>
        <v>#DIV/0!</v>
      </c>
      <c r="DL364" s="69">
        <f>E364</f>
        <v>5.8497881525301785E-3</v>
      </c>
      <c r="DM364" s="69" t="e">
        <f>DI364*BF364</f>
        <v>#DIV/0!</v>
      </c>
      <c r="DN364" s="77" t="e">
        <f>-(VKl+$E364/$F364)*VaveBetax+2*(VHl+VKl/$F364)*$BC364+$BE364*$E364</f>
        <v>#DIV/0!</v>
      </c>
      <c r="DO364" s="77" t="e">
        <f>VKl*VaveBetaz-(2*VHl+VKl/$F364)*$BH364+$BJ364*$E364</f>
        <v>#DIV/0!</v>
      </c>
      <c r="DP364" s="488" t="e">
        <f>IMPRODUCT(-1/8*VaveBetax*(-Vlength*CJ364-2*VHl*$AY364),COMPLEX(COS(2*VmidMux),SIN(2*VmidMux)))</f>
        <v>#DIV/0!</v>
      </c>
      <c r="DQ364" s="433" t="e">
        <f>IMPRODUCT(1/8*VaveBetaz*(VKl-2*VHl*$AY364),COMPLEX(COS(2*VmidMuz),SIN(2*VmidMuz)))</f>
        <v>#DIV/0!</v>
      </c>
      <c r="DR364" s="433" t="e">
        <f>IMPRODUCT(-1/2*SQRT(VaveBetax)*(-Vlength*CJ364-2*VHl*$AY364)*AY364,COMPLEX(COS(VmidMux),SIN(VmidMux)))</f>
        <v>#DIV/0!</v>
      </c>
      <c r="DS364" s="433" t="e">
        <f>IMPRODUCT(-1/8*VHl*VaveBetax^(3/2),COMPLEX(COS(VmidMux),SIN(VmidMux)))</f>
        <v>#DIV/0!</v>
      </c>
      <c r="DT364" s="433" t="e">
        <f>IMPRODUCT(-1/24*VHl*VaveBetax^(3/2),COMPLEX(COS(3*VmidMux),SIN(3*VmidMux)))</f>
        <v>#DIV/0!</v>
      </c>
      <c r="DU364" s="433" t="e">
        <f>IMPRODUCT(1/4*VHl*VaveBetax^(1/2)*VaveBetaz,COMPLEX(COS(VmidMux),SIN(VmidMux)))</f>
        <v>#DIV/0!</v>
      </c>
      <c r="DV364" s="433" t="e">
        <f>IMPRODUCT(1/8*VHl*VaveBetax^(1/2)*VaveBetaz,COMPLEX(COS(VmidMux-2*VmidMuz),SIN(VmidMux-2*VmidMuz)))</f>
        <v>#DIV/0!</v>
      </c>
      <c r="DW364" s="433" t="e">
        <f>IMPRODUCT(1/8*VHl*VaveBetax^(1/2)*VaveBetaz,COMPLEX(COS(VmidMux+2*VmidMuz),SIN(VmidMux+2*VmidMuz)))</f>
        <v>#DIV/0!</v>
      </c>
      <c r="DX364" s="433"/>
      <c r="DY364" s="433"/>
      <c r="DZ364" s="433"/>
      <c r="EA364" s="433"/>
      <c r="EB364" s="70" t="e">
        <f>CH364*(1/AQ364+1/AQ363)/2</f>
        <v>#DIV/0!</v>
      </c>
      <c r="EC364" s="70" t="e">
        <f>CH364*(1/AR364+1/AR363)/2</f>
        <v>#DIV/0!</v>
      </c>
      <c r="ED364" s="70" t="e">
        <f>CH364*(AS364+AS363)/2</f>
        <v>#DIV/0!</v>
      </c>
      <c r="EE364" s="71" t="e">
        <f>DK364/DI364*CH364</f>
        <v>#DIV/0!</v>
      </c>
      <c r="EF364" s="70" t="e">
        <f>SQRT(VaveBetax/VaveBetaz*T_Coupling)</f>
        <v>#DIV/0!</v>
      </c>
      <c r="EG364" s="70" t="e">
        <f>IF(EF364&lt;=1,EF364^(0.021-0.044*LN(EF364)),EF364^(-0.021-0.044*LN(EF364)))/(VaveBetax*VaveBetaz)^(1/4)</f>
        <v>#DIV/0!</v>
      </c>
      <c r="EH364" s="72" t="e">
        <f t="shared" si="227"/>
        <v>#DIV/0!</v>
      </c>
      <c r="EI364" s="72" t="e">
        <f t="shared" si="227"/>
        <v>#DIV/0!</v>
      </c>
      <c r="EJ364" s="72" t="e">
        <f t="shared" si="227"/>
        <v>#DIV/0!</v>
      </c>
      <c r="EK364" s="72" t="e">
        <f t="shared" si="227"/>
        <v>#DIV/0!</v>
      </c>
      <c r="EL364" s="72" t="e">
        <f t="shared" si="227"/>
        <v>#DIV/0!</v>
      </c>
      <c r="EM364" s="72" t="e">
        <f t="shared" si="227"/>
        <v>#DIV/0!</v>
      </c>
      <c r="EN364" s="72" t="e">
        <f t="shared" si="227"/>
        <v>#DIV/0!</v>
      </c>
      <c r="EO364" s="72" t="e">
        <f t="shared" si="227"/>
        <v>#DIV/0!</v>
      </c>
      <c r="EP364" s="72" t="e">
        <f t="shared" si="227"/>
        <v>#DIV/0!</v>
      </c>
      <c r="EQ364" s="72" t="e">
        <f t="shared" si="227"/>
        <v>#DIV/0!</v>
      </c>
      <c r="ER364" s="72" t="e">
        <f t="shared" si="227"/>
        <v>#DIV/0!</v>
      </c>
      <c r="ES364" s="72" t="e">
        <f t="shared" si="227"/>
        <v>#DIV/0!</v>
      </c>
      <c r="ET364" s="72" t="e">
        <f t="shared" si="227"/>
        <v>#DIV/0!</v>
      </c>
      <c r="EU364" s="70" t="e">
        <f>Vlength*VaveBetaz</f>
        <v>#DIV/0!</v>
      </c>
      <c r="EW364" s="74"/>
      <c r="EX364" s="74"/>
      <c r="EY364" s="74"/>
      <c r="EZ364" s="74"/>
      <c r="FA364" s="74"/>
      <c r="FB364" s="74"/>
    </row>
    <row r="365" spans="1:229" s="68" customFormat="1" ht="15.75" customHeight="1" outlineLevel="1">
      <c r="A365" s="63"/>
      <c r="B365" s="63"/>
      <c r="C365" s="76" t="s">
        <v>30</v>
      </c>
      <c r="D365" s="65" t="s">
        <v>562</v>
      </c>
      <c r="E365" s="401" t="s">
        <v>631</v>
      </c>
      <c r="F365" s="402" t="s">
        <v>634</v>
      </c>
      <c r="G365" s="403" t="s">
        <v>635</v>
      </c>
      <c r="H365" s="535" t="s">
        <v>629</v>
      </c>
      <c r="I365" s="542"/>
      <c r="J365" s="537"/>
      <c r="K365" s="403"/>
      <c r="L365" s="403"/>
      <c r="M365" s="508"/>
      <c r="N365" s="531" t="e">
        <f>T_Energy/0.2998/F365</f>
        <v>#VALUE!</v>
      </c>
      <c r="O365" s="433" t="e">
        <f>G365*N365/F365</f>
        <v>#VALUE!</v>
      </c>
      <c r="P365" s="462"/>
      <c r="Q365" s="462"/>
      <c r="R365" s="69" t="e">
        <f>R364+Vlength</f>
        <v>#VALUE!</v>
      </c>
      <c r="S365" s="69" t="e">
        <f>S364+U364*Vlength/SQRT(1+(U364)^2)</f>
        <v>#VALUE!</v>
      </c>
      <c r="T365" s="69" t="e">
        <f>T364+Vlength/SQRT(1+(U364)^2)</f>
        <v>#VALUE!</v>
      </c>
      <c r="U365" s="69" t="e">
        <f>(-SIN(E365)+U364*COS(E365))/(COS(E365)+U364*SIN(E365))</f>
        <v>#VALUE!</v>
      </c>
      <c r="V365" s="70" t="e">
        <f>V364*CK365*CK365-2*W364*CK365*CL365+X364*CL365*CL365</f>
        <v>#DIV/0!</v>
      </c>
      <c r="W365" s="70" t="e">
        <f>-CM365*CK365*V364+(CK365*CN365+CL365*CM365)*W364-X364*CL365*CN365</f>
        <v>#VALUE!</v>
      </c>
      <c r="X365" s="70" t="e">
        <f>(1+W365^2)/V365</f>
        <v>#VALUE!</v>
      </c>
      <c r="Y365" s="70" t="e">
        <f>ATAN2(CN365*V365+CL365*W365,CL365)+Y364</f>
        <v>#VALUE!</v>
      </c>
      <c r="Z365" s="70" t="e">
        <f>Z364*CR365*CR365-2*AA364*CR365*CS365+AB364*CS365*CS365</f>
        <v>#DIV/0!</v>
      </c>
      <c r="AA365" s="70" t="e">
        <f>-CT365*CR365*Z364+(CR365*CU365+CS365*CT365)*AA364-AB364*CS365*CU365</f>
        <v>#VALUE!</v>
      </c>
      <c r="AB365" s="70" t="e">
        <f>(1+AA365^2)/Z365</f>
        <v>#VALUE!</v>
      </c>
      <c r="AC365" s="70" t="e">
        <f>ATAN2(CU365*Z365+CS365*AA365,CS365)+AC364</f>
        <v>#VALUE!</v>
      </c>
      <c r="AD365" s="69" t="e">
        <f>AD364*$CK365+AE364*$CL365+CO365</f>
        <v>#VALUE!</v>
      </c>
      <c r="AE365" s="70" t="e">
        <f>AD364*$CM365+AE364*$CN365+CP365</f>
        <v>#VALUE!</v>
      </c>
      <c r="AF365" s="71" t="e">
        <f>V365*AE365^2+2*W365*AD365*AE365+X365*AD365^2</f>
        <v>#DIV/0!</v>
      </c>
      <c r="AG365" s="70" t="e">
        <f>AG364*$CK365+AH364*$CL365+CO365</f>
        <v>#VALUE!</v>
      </c>
      <c r="AH365" s="70" t="e">
        <f>AG364*$CM365+AH364*$CN365+CP365</f>
        <v>#VALUE!</v>
      </c>
      <c r="AI365" s="70" t="e">
        <f>AI364*$CK365+AJ364*$CL365+0.001*(1-$CK365)*$K365</f>
        <v>#VALUE!</v>
      </c>
      <c r="AJ365" s="70" t="e">
        <f>AI364*$CM365+AJ364*$CN365-0.001*$CM365*$K365</f>
        <v>#VALUE!</v>
      </c>
      <c r="AK365" s="70" t="e">
        <f>AK364*$CK365+AL364*$CL365+0.001*(1-$CK365)*$K365</f>
        <v>#VALUE!</v>
      </c>
      <c r="AL365" s="70" t="e">
        <f>AK364*$CM365+AL364*$CN365-0.001*$CM365*$K365</f>
        <v>#VALUE!</v>
      </c>
      <c r="AM365" s="70" t="e">
        <f>AM364*$CR365+AN364*$CS365+0.001*(1-$CR365)*$L365</f>
        <v>#VALUE!</v>
      </c>
      <c r="AN365" s="70" t="e">
        <f>AM364*$CT365+AN364*$CU365-0.001*$CT365*$L365</f>
        <v>#VALUE!</v>
      </c>
      <c r="AO365" s="70" t="e">
        <f>AO364*$CR365+AP364*$CS365+0.001*(1-$CR365)*$L365</f>
        <v>#VALUE!</v>
      </c>
      <c r="AP365" s="70" t="e">
        <f>AO364*$CT365+AP364*$CU365-0.001*$CT365*$L365</f>
        <v>#VALUE!</v>
      </c>
      <c r="AQ365" s="69" t="e">
        <f>SQRT(AV365*V365/1000000000+AX365*AX365*AD365*AD365)*1000</f>
        <v>#DIV/0!</v>
      </c>
      <c r="AR365" s="69" t="e">
        <f>SQRT(AW365*Z365/1000000000)*1000</f>
        <v>#DIV/0!</v>
      </c>
      <c r="AS365" s="69" t="e">
        <f>SQRT(AV365/1000000000*X365+AX365*AX365*AE365*AE365)*1000</f>
        <v>#VALUE!</v>
      </c>
      <c r="AT365" s="69" t="e">
        <f>SQRT(AW365/1000000000*AB365)*1000</f>
        <v>#VALUE!</v>
      </c>
      <c r="AU365" s="69" t="e">
        <f>SQRT((V365*AV365*0.000000001+AD365*AD365*AX365^2)*(X365*AV365*0.000000001+AE365*AE365*AX365^2)-(W365*AV365*0.000000001+AD365*AE365*AX365^2)^2)*1000000000</f>
        <v>#DIV/0!</v>
      </c>
      <c r="AV365" s="72">
        <f t="shared" si="226"/>
        <v>0</v>
      </c>
      <c r="AW365" s="72">
        <f t="shared" si="226"/>
        <v>0</v>
      </c>
      <c r="AX365" s="72">
        <f t="shared" si="226"/>
        <v>0</v>
      </c>
      <c r="AY365" s="488" t="e">
        <f>IF(Vlength*CJ365=0,0.5*(AD364+AD365)-Vlength*Vlength*F365/12,(AE365-AE364-Vlength*F365)/CJ365/Vlength)</f>
        <v>#VALUE!</v>
      </c>
      <c r="AZ365" s="488" t="e">
        <f>IF(VKl=0,AZ364,(AD365-AD364)/Vlength)</f>
        <v>#VALUE!</v>
      </c>
      <c r="BA365" s="433" t="e">
        <f>IF($CJ365=0,0.5*(V365+V364)-X364*Vlength*Vlength/6,-0.5*(($X365-$CJ365*$V365)*Vlength+($W365-$W364))/$CJ365/Vlength)</f>
        <v>#VALUE!</v>
      </c>
      <c r="BB365" s="77" t="e">
        <f>0.5*(Y365+Y364)</f>
        <v>#VALUE!</v>
      </c>
      <c r="BC365" s="488" t="e">
        <f>IF(CJ365=0,AY365*BA365-(2*W364-X364*Vlength)*AE364*Vlength*Vlength/12-(W364/12-2*X364*Vlength/45)*Vlength^3*F365,-(2*(X365-CJ365*V365)*AY365+(2*W365*AD365+V365*AE365-2*W364*AD364-V364*AE364)/Vlength-BA365*F365)/3/CJ365)</f>
        <v>#VALUE!</v>
      </c>
      <c r="BD365" s="488"/>
      <c r="BE365" s="488" t="e">
        <f>(X365-CJ365*V365)*AY365+(V365*AE365-V364*AE364)/Vlength-BA365*F365</f>
        <v>#VALUE!</v>
      </c>
      <c r="BF365" s="433" t="e">
        <f>IF($CQ365=0,0.5*(Z365+Z364)-AB364*Vlength*Vlength/6,-0.5*(($AB365-$CQ365*$Z365)*Vlength+$AA365-$AA364)/$CQ365/Vlength)</f>
        <v>#VALUE!</v>
      </c>
      <c r="BG365" s="488" t="e">
        <f>0.5*(AC365+AC364)</f>
        <v>#VALUE!</v>
      </c>
      <c r="BH365" s="488" t="e">
        <f>-(2*(AB365-CQ365*Z365)*AY365+(2*AA365*AD365+Z365*AE365-2*AA364*AD364-Z364*AE364)/Vlength-BF365*F365)/(4*CQ365-CJ365)</f>
        <v>#VALUE!</v>
      </c>
      <c r="BI365" s="488"/>
      <c r="BJ365" s="488" t="e">
        <f>$CQ365*$BH365+($AB365-$CQ365*$Z365)*$AY365</f>
        <v>#VALUE!</v>
      </c>
      <c r="BK365" s="72" t="e">
        <f>VaveBetax*E365^2</f>
        <v>#VALUE!</v>
      </c>
      <c r="BL365" s="72" t="e">
        <f>VaveBetaz*E365^2</f>
        <v>#VALUE!</v>
      </c>
      <c r="BM365" s="72" t="e">
        <f>SUMSQ(SQRT(V365)-SQRT(V364),0.5*(SQRT(V365)+SQRT(V364))*(Y365-Y364))/F365/F365</f>
        <v>#DIV/0!</v>
      </c>
      <c r="BN365" s="72" t="e">
        <f>VaveBetax*(CJ365*Vlength)^2</f>
        <v>#VALUE!</v>
      </c>
      <c r="BO365" s="72" t="e">
        <f>VaveBetaz*(CQ365*Vlength)^2</f>
        <v>#VALUE!</v>
      </c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69" t="e">
        <f>$CQ365*Vlength</f>
        <v>#VALUE!</v>
      </c>
      <c r="CG365" s="69" t="e">
        <f>H365/F365/F365/F365*Vlength</f>
        <v>#VALUE!</v>
      </c>
      <c r="CH365" s="70" t="e">
        <f>E365*F365</f>
        <v>#VALUE!</v>
      </c>
      <c r="CI365" s="73"/>
      <c r="CJ365" s="74" t="e">
        <f>-((1-$G365)-0.001*$K365*$H365/$F365)/$F365/$F365</f>
        <v>#VALUE!</v>
      </c>
      <c r="CK365" s="74" t="e">
        <f>IF(CJ365=0,1,IF(CJ365&gt;0,COSH(Vlength*SQRT(CJ365)),COS(Vlength*SQRT(-CJ365))))</f>
        <v>#VALUE!</v>
      </c>
      <c r="CL365" s="74" t="e">
        <f>IF(CJ365=0,Vlength,IF(CJ365&gt;0,SINH(Vlength*SQRT(CJ365))/SQRT(CJ365),SIN(Vlength*SQRT(-CJ365))/SQRT(-CJ365)))</f>
        <v>#VALUE!</v>
      </c>
      <c r="CM365" s="74" t="e">
        <f>CL365*CJ365</f>
        <v>#VALUE!</v>
      </c>
      <c r="CN365" s="74" t="e">
        <f>CK365</f>
        <v>#VALUE!</v>
      </c>
      <c r="CO365" s="70" t="e">
        <f>IF(CJ365=0,0.5*E365*E365*F365,(CK365-1)/F365/CJ365)</f>
        <v>#VALUE!</v>
      </c>
      <c r="CP365" s="70" t="e">
        <f>CL365/F365</f>
        <v>#VALUE!</v>
      </c>
      <c r="CQ365" s="74" t="e">
        <f>-($G365+0.001*$K365*$H365/$F365)/$F365/$F365</f>
        <v>#VALUE!</v>
      </c>
      <c r="CR365" s="74" t="e">
        <f>IF(CQ365=0,1,IF(CQ365&gt;0,COSH(Vlength*SQRT(CQ365)),COS(Vlength*SQRT(-CQ365))))</f>
        <v>#VALUE!</v>
      </c>
      <c r="CS365" s="74" t="e">
        <f>IF(CQ365=0,Vlength,IF(CQ365&gt;0,SINH(Vlength*SQRT(CQ365))/SQRT(CQ365),SIN(Vlength*SQRT(-CQ365))/SQRT(-CQ365)))</f>
        <v>#VALUE!</v>
      </c>
      <c r="CT365" s="74" t="e">
        <f>CS365*CQ365</f>
        <v>#VALUE!</v>
      </c>
      <c r="CU365" s="74" t="e">
        <f>CR365</f>
        <v>#VALUE!</v>
      </c>
      <c r="CV365" s="70"/>
      <c r="CW365" s="74" t="e">
        <f>CW364*CK365+CY364*CL365</f>
        <v>#VALUE!</v>
      </c>
      <c r="CX365" s="74" t="e">
        <f>CX364*CK365+CZ364*CL365</f>
        <v>#VALUE!</v>
      </c>
      <c r="CY365" s="74" t="e">
        <f>CW364*CM365+CY364*CN365</f>
        <v>#VALUE!</v>
      </c>
      <c r="CZ365" s="74" t="e">
        <f>CX364*CM365+CZ364*CN365</f>
        <v>#VALUE!</v>
      </c>
      <c r="DA365" s="70"/>
      <c r="DB365" s="74" t="e">
        <f>DB364*CR365+DD364*CS365</f>
        <v>#VALUE!</v>
      </c>
      <c r="DC365" s="74" t="e">
        <f>DC364*CR365+DE364*CS365</f>
        <v>#VALUE!</v>
      </c>
      <c r="DD365" s="74" t="e">
        <f>DB364*CT365+DD364*CU365</f>
        <v>#VALUE!</v>
      </c>
      <c r="DE365" s="74" t="e">
        <f>DC364*CT365+DE364*CU365</f>
        <v>#VALUE!</v>
      </c>
      <c r="DF365" s="74" t="e">
        <f>AZ365^2*Vlength</f>
        <v>#VALUE!</v>
      </c>
      <c r="DG365" s="74" t="e">
        <f>Vlength*AY365/F365</f>
        <v>#VALUE!</v>
      </c>
      <c r="DH365" s="74" t="e">
        <f>1/F365/F365*Vlength</f>
        <v>#VALUE!</v>
      </c>
      <c r="DI365" s="74" t="e">
        <f>ABS(DH365/F365)</f>
        <v>#VALUE!</v>
      </c>
      <c r="DJ365" s="74" t="e">
        <f>DG365*(1-2*G365)/F365/F365</f>
        <v>#VALUE!</v>
      </c>
      <c r="DK365" s="72" t="e">
        <f>DI365*(1/V364*(AD364*AD364+(V364*AE364+W364*AD364)^2)+(W364*AD364+V364*AE364)*2*(1-COS(E365))/E365-2*((1+W364^2)/V364*AD364+W364*AE364)*F365*(1-SIN(E365)/E365)+V364/2*(1-SIN(2*E365)/2/E365)-4*W364*F365*SIN(E365/2)^4/E365+(1+W364^2)/V364/2*F365^2*(3+SIN(E365)/E365*(COS(E365)-4)))</f>
        <v>#VALUE!</v>
      </c>
      <c r="DL365" s="69" t="str">
        <f>E365</f>
        <v>Length</v>
      </c>
      <c r="DM365" s="69" t="e">
        <f>DI365*BF365</f>
        <v>#VALUE!</v>
      </c>
      <c r="DN365" s="77" t="e">
        <f>-(VKl+$E365*$F365*F365)*VaveBetax+2*(VHl+VKl*$F365)*$BC365+$BE365*$E365*F365</f>
        <v>#VALUE!</v>
      </c>
      <c r="DO365" s="77" t="e">
        <f>VKl*VaveBetaz-(2*VHl+VKl*$F365)*$BH365+$BJ365*$E365*F365</f>
        <v>#VALUE!</v>
      </c>
      <c r="DP365" s="433"/>
      <c r="DQ365" s="433"/>
      <c r="DR365" s="433"/>
      <c r="DS365" s="433"/>
      <c r="DT365" s="433"/>
      <c r="DU365" s="433"/>
      <c r="DV365" s="433"/>
      <c r="DW365" s="433"/>
      <c r="DX365" s="433"/>
      <c r="DY365" s="433"/>
      <c r="DZ365" s="433"/>
      <c r="EA365" s="433"/>
      <c r="EB365" s="70" t="e">
        <f>CH365*(1/AQ365+1/AQ364)/2</f>
        <v>#VALUE!</v>
      </c>
      <c r="EC365" s="70" t="e">
        <f>CH365*(1/AR365+1/AR364)/2</f>
        <v>#VALUE!</v>
      </c>
      <c r="ED365" s="70" t="e">
        <f>CH365*(AS365+AS364)/2</f>
        <v>#VALUE!</v>
      </c>
      <c r="EE365" s="71" t="e">
        <f>DK365/DI365*CH365</f>
        <v>#VALUE!</v>
      </c>
      <c r="EF365" s="70" t="e">
        <f>SQRT(VaveBetax/VaveBetaz*T_Coupling)</f>
        <v>#VALUE!</v>
      </c>
      <c r="EG365" s="70" t="e">
        <f>IF(EF365&lt;=1,EF365^(0.021-0.044*LN(EF365)),EF365^(-0.021-0.044*LN(EF365)))/(VaveBetax*VaveBetaz)^(1/4)</f>
        <v>#VALUE!</v>
      </c>
      <c r="EH365" s="72" t="e">
        <f t="shared" si="227"/>
        <v>#VALUE!</v>
      </c>
      <c r="EI365" s="72" t="e">
        <f t="shared" si="227"/>
        <v>#VALUE!</v>
      </c>
      <c r="EJ365" s="72" t="e">
        <f t="shared" si="227"/>
        <v>#VALUE!</v>
      </c>
      <c r="EK365" s="72" t="e">
        <f t="shared" si="227"/>
        <v>#VALUE!</v>
      </c>
      <c r="EL365" s="72" t="e">
        <f t="shared" si="227"/>
        <v>#VALUE!</v>
      </c>
      <c r="EM365" s="72" t="e">
        <f t="shared" si="227"/>
        <v>#VALUE!</v>
      </c>
      <c r="EN365" s="72" t="e">
        <f t="shared" si="227"/>
        <v>#VALUE!</v>
      </c>
      <c r="EO365" s="72" t="e">
        <f t="shared" si="227"/>
        <v>#VALUE!</v>
      </c>
      <c r="EP365" s="72" t="e">
        <f t="shared" si="227"/>
        <v>#VALUE!</v>
      </c>
      <c r="EQ365" s="72" t="e">
        <f t="shared" si="227"/>
        <v>#VALUE!</v>
      </c>
      <c r="ER365" s="72" t="e">
        <f t="shared" si="227"/>
        <v>#VALUE!</v>
      </c>
      <c r="ES365" s="72" t="e">
        <f t="shared" si="227"/>
        <v>#VALUE!</v>
      </c>
      <c r="ET365" s="72" t="e">
        <f t="shared" si="227"/>
        <v>#VALUE!</v>
      </c>
      <c r="EU365" s="70" t="e">
        <f>Vlength*VaveBetaz</f>
        <v>#VALUE!</v>
      </c>
      <c r="EW365" s="74"/>
      <c r="EX365" s="74"/>
      <c r="EY365" s="74"/>
      <c r="EZ365" s="74"/>
      <c r="FA365" s="74"/>
      <c r="FB365" s="74"/>
    </row>
    <row r="366" spans="1:229" s="7" customFormat="1" ht="15.75" customHeight="1" outlineLevel="1">
      <c r="A366" s="31"/>
      <c r="B366" s="31"/>
      <c r="C366" s="37"/>
      <c r="D366" s="25" t="s">
        <v>881</v>
      </c>
      <c r="E366" s="395">
        <v>4</v>
      </c>
      <c r="F366" s="395">
        <v>0.2</v>
      </c>
      <c r="G366" s="395">
        <v>0.1</v>
      </c>
      <c r="H366" s="409"/>
      <c r="I366" s="540"/>
      <c r="K366" s="404"/>
      <c r="L366" s="404"/>
      <c r="M366" s="505"/>
      <c r="N366" s="525">
        <f>T_Energy/0.2998*F366</f>
        <v>4.0293529019346233</v>
      </c>
      <c r="O366" s="36"/>
      <c r="P366" s="458"/>
      <c r="Q366" s="458"/>
      <c r="R366" s="101" t="e">
        <f>R365+Vlength</f>
        <v>#VALUE!</v>
      </c>
      <c r="S366" s="101" t="e">
        <f>S365+U365*Vlength/SQRT(1+(U365)^2)</f>
        <v>#VALUE!</v>
      </c>
      <c r="T366" s="101" t="e">
        <f>T365+Vlength/SQRT(1+(U365)^2)</f>
        <v>#VALUE!</v>
      </c>
      <c r="U366" s="101" t="e">
        <f>U365</f>
        <v>#VALUE!</v>
      </c>
      <c r="V366" s="112" t="e">
        <f>V365*CK366*CK366-2*W365*CK366*CL366+X365*CL366*CL366</f>
        <v>#DIV/0!</v>
      </c>
      <c r="W366" s="112" t="e">
        <f>-CM366*CK366*V365+(CK366*CN366+CL366*CM366)*W365-X365*CL366*CN366</f>
        <v>#DIV/0!</v>
      </c>
      <c r="X366" s="112" t="e">
        <f>(1+W366^2)/V366</f>
        <v>#DIV/0!</v>
      </c>
      <c r="Y366" s="112" t="e">
        <f>ATAN2(CN366*V366+CL366*W366,CL366)+Y365</f>
        <v>#DIV/0!</v>
      </c>
      <c r="Z366" s="112" t="e">
        <f>Z365*CR366*CR366-2*AA365*CR366*CS366+AB365*CS366*CS366</f>
        <v>#DIV/0!</v>
      </c>
      <c r="AA366" s="112" t="e">
        <f>-CT366*CR366*Z365+(CR366*CU366+CS366*CT366)*AA365-AB365*CS366*CU366</f>
        <v>#DIV/0!</v>
      </c>
      <c r="AB366" s="112" t="e">
        <f>(1+AA366^2)/Z366</f>
        <v>#DIV/0!</v>
      </c>
      <c r="AC366" s="112" t="e">
        <f>ATAN2(CU366*Z366+CS366*AA366,CS366)+AC365</f>
        <v>#DIV/0!</v>
      </c>
      <c r="AD366" s="101" t="e">
        <f>AD365*$CK366+AE365*$CL366</f>
        <v>#VALUE!</v>
      </c>
      <c r="AE366" s="112" t="e">
        <f>AD365*$CM366+AE365*$CN366</f>
        <v>#VALUE!</v>
      </c>
      <c r="AF366" s="238" t="e">
        <f>AF365</f>
        <v>#DIV/0!</v>
      </c>
      <c r="AG366" s="112" t="e">
        <f>AG365*$CK366+AH365*$CL366</f>
        <v>#VALUE!</v>
      </c>
      <c r="AH366" s="112" t="e">
        <f>AG365*$CM366+AH365*$CN366</f>
        <v>#VALUE!</v>
      </c>
      <c r="AI366" s="112" t="e">
        <f>AI365*$CK366+AJ365*$CL366</f>
        <v>#VALUE!</v>
      </c>
      <c r="AJ366" s="112" t="e">
        <f>AI365*$CM366+AJ365*$CN366</f>
        <v>#VALUE!</v>
      </c>
      <c r="AK366" s="112" t="e">
        <f>AK365*$CK366+AL365*$CL366</f>
        <v>#VALUE!</v>
      </c>
      <c r="AL366" s="112" t="e">
        <f>AK365*$CM366+AL365*$CN366</f>
        <v>#VALUE!</v>
      </c>
      <c r="AM366" s="112" t="e">
        <f>AM365*$CR366+AN365*$CS366</f>
        <v>#VALUE!</v>
      </c>
      <c r="AN366" s="112" t="e">
        <f>AM365*$CT366+AN365*$CU366</f>
        <v>#VALUE!</v>
      </c>
      <c r="AO366" s="112" t="e">
        <f>AO365*$CR366+AP365*$CS366</f>
        <v>#VALUE!</v>
      </c>
      <c r="AP366" s="112" t="e">
        <f>AO365*$CT366+AP365*$CU366</f>
        <v>#VALUE!</v>
      </c>
      <c r="AQ366" s="101" t="e">
        <f>SQRT(AV366*V366/1000000000+AX366*AX366*AD366*AD366)*1000</f>
        <v>#DIV/0!</v>
      </c>
      <c r="AR366" s="101" t="e">
        <f>SQRT(AW366*Z366/1000000000)*1000</f>
        <v>#DIV/0!</v>
      </c>
      <c r="AS366" s="101" t="e">
        <f>SQRT(AV366/1000000000*X366+AX366*AX366*AE366*AE366)*1000</f>
        <v>#DIV/0!</v>
      </c>
      <c r="AT366" s="101" t="e">
        <f>SQRT(AW366/1000000000*AB366)*1000</f>
        <v>#DIV/0!</v>
      </c>
      <c r="AU366" s="101" t="e">
        <f>SQRT((V366*AV366*0.000000001+AD366*AD366*AX366^2)*(X366*AV366*0.000000001+AE366*AE366*AX366^2)-(W366*AV366*0.000000001+AD366*AE366*AX366^2)^2)*1000000000</f>
        <v>#DIV/0!</v>
      </c>
      <c r="AV366" s="239">
        <f t="shared" si="226"/>
        <v>0</v>
      </c>
      <c r="AW366" s="239">
        <f t="shared" si="226"/>
        <v>0</v>
      </c>
      <c r="AX366" s="239">
        <f t="shared" si="226"/>
        <v>0</v>
      </c>
      <c r="AY366" s="434" t="e">
        <f>0.5*(AD365+AD366)</f>
        <v>#VALUE!</v>
      </c>
      <c r="AZ366" s="356" t="e">
        <f>0.5*(AE365+AE366)</f>
        <v>#VALUE!</v>
      </c>
      <c r="BA366" s="425" t="e">
        <f>0.5*(V366+V365)-X365*Vlength*Vlength/6</f>
        <v>#DIV/0!</v>
      </c>
      <c r="BB366" s="356" t="e">
        <f>0.5*(Z366+Z365)</f>
        <v>#DIV/0!</v>
      </c>
      <c r="BC366" s="434"/>
      <c r="BD366" s="434"/>
      <c r="BE366" s="434"/>
      <c r="BF366" s="425" t="e">
        <f>IF($CQ366=0,0.5*(Z366+Z365)-AB365*Vlength*Vlength/6,-0.5*(($AB366-$CQ366*$Z366)*Vlength+$AA366-$AA365)/$CQ366/Vlength)</f>
        <v>#DIV/0!</v>
      </c>
      <c r="BG366" s="434" t="e">
        <f>0.5*(AC366+AC365)</f>
        <v>#DIV/0!</v>
      </c>
      <c r="BH366" s="434"/>
      <c r="BI366" s="434"/>
      <c r="BJ366" s="434"/>
      <c r="BK366" s="239"/>
      <c r="BL366" s="239"/>
      <c r="BM366" s="239"/>
      <c r="BN366" s="239"/>
      <c r="BO366" s="239"/>
      <c r="BP366" s="239"/>
      <c r="BQ366" s="239"/>
      <c r="BR366" s="239"/>
      <c r="BS366" s="239"/>
      <c r="BT366" s="239"/>
      <c r="BU366" s="239"/>
      <c r="BV366" s="239"/>
      <c r="BW366" s="239"/>
      <c r="BX366" s="239"/>
      <c r="BY366" s="239"/>
      <c r="BZ366" s="239"/>
      <c r="CA366" s="239"/>
      <c r="CB366" s="239"/>
      <c r="CC366" s="239"/>
      <c r="CD366" s="239"/>
      <c r="CE366" s="239"/>
      <c r="CF366" s="101"/>
      <c r="CG366" s="101"/>
      <c r="CH366" s="112">
        <f>E366</f>
        <v>4</v>
      </c>
      <c r="CI366" s="240"/>
      <c r="CJ366" s="112">
        <v>0</v>
      </c>
      <c r="CK366" s="30">
        <f>IF(CJ366=0,1,IF(CJ366&gt;0,COSH(Vlength*SQRT(CJ366)),COS(Vlength*SQRT(-CJ366))))</f>
        <v>1</v>
      </c>
      <c r="CL366" s="30">
        <f>IF(CJ366=0,Vlength,IF(CJ366&gt;0,SINH(Vlength*SQRT(CJ366))/SQRT(CJ366),SIN(Vlength*SQRT(-CJ366))/SQRT(-CJ366)))</f>
        <v>4</v>
      </c>
      <c r="CM366" s="30">
        <f>CL366*CJ366</f>
        <v>0</v>
      </c>
      <c r="CN366" s="30">
        <f>CK366</f>
        <v>1</v>
      </c>
      <c r="CO366" s="112"/>
      <c r="CP366" s="112"/>
      <c r="CQ366" s="112">
        <f>-1/2*F366^2</f>
        <v>-2.0000000000000004E-2</v>
      </c>
      <c r="CR366" s="30">
        <f>IF(CQ366=0,1,IF(CQ366&gt;0,COSH(Vlength*SQRT(CQ366)),COS(Vlength*SQRT(-CQ366))))</f>
        <v>0.84422141469661505</v>
      </c>
      <c r="CS366" s="30">
        <f>IF(CQ366=0,Vlength,IF(CQ366&gt;0,SINH(Vlength*SQRT(CQ366))/SQRT(CQ366),SIN(Vlength*SQRT(-CQ366))/SQRT(-CQ366)))</f>
        <v>3.790054108899013</v>
      </c>
      <c r="CT366" s="30">
        <f>CS366*CQ366</f>
        <v>-7.5801082177980275E-2</v>
      </c>
      <c r="CU366" s="30">
        <f>CR366</f>
        <v>0.84422141469661505</v>
      </c>
      <c r="CV366" s="112"/>
      <c r="CW366" s="30" t="e">
        <f>CW365*CK366+CY365*CL366</f>
        <v>#VALUE!</v>
      </c>
      <c r="CX366" s="30" t="e">
        <f>CX365*CK366+CZ365*CL366</f>
        <v>#VALUE!</v>
      </c>
      <c r="CY366" s="30" t="e">
        <f>CW365*CM366+CY365*CN366</f>
        <v>#VALUE!</v>
      </c>
      <c r="CZ366" s="30" t="e">
        <f>CX365*CM366+CZ365*CN366</f>
        <v>#VALUE!</v>
      </c>
      <c r="DA366" s="112"/>
      <c r="DB366" s="30" t="e">
        <f>DB365*CR366+DD365*CS366</f>
        <v>#VALUE!</v>
      </c>
      <c r="DC366" s="30" t="e">
        <f>DC365*CR366+DE365*CS366</f>
        <v>#VALUE!</v>
      </c>
      <c r="DD366" s="30" t="e">
        <f>DB365*CT366+DD365*CU366</f>
        <v>#VALUE!</v>
      </c>
      <c r="DE366" s="30" t="e">
        <f>DC365*CT366+DE365*CU366</f>
        <v>#VALUE!</v>
      </c>
      <c r="DF366" s="30" t="e">
        <f>AZ366^2*Vlength</f>
        <v>#VALUE!</v>
      </c>
      <c r="DG366" s="112">
        <f>DH366*(G366/2/PI())^2</f>
        <v>2.0264236728467559E-5</v>
      </c>
      <c r="DH366" s="112">
        <f>E366/2*F366^2</f>
        <v>8.0000000000000016E-2</v>
      </c>
      <c r="DI366" s="112">
        <f>4/3/PI()*E366*F366^3</f>
        <v>1.3581221810508404E-2</v>
      </c>
      <c r="DJ366" s="112">
        <f>-3/8*E366*F366^4*(G366/2/PI())^2</f>
        <v>-6.0792710185402699E-7</v>
      </c>
      <c r="DK366" s="239" t="e">
        <f>DI366*(X366*AD366*AD366+2*W366*AD366*AE366+V366*AE366*AE366)+BA366*G366^2*F366^5/PI()^2/15/PI()*E366-E366*9/40/PI()^4*G366^3*F366^5*(W365-X365*E366/2)+(3/5/PI()+3/16)/4/PI()^4*G366^4*F366^5*X365*E365</f>
        <v>#DIV/0!</v>
      </c>
      <c r="DL366" s="36">
        <v>0</v>
      </c>
      <c r="DM366" s="36"/>
      <c r="DN366" s="356"/>
      <c r="DO366" s="356"/>
      <c r="DP366" s="425"/>
      <c r="DQ366" s="425"/>
      <c r="DR366" s="425"/>
      <c r="DS366" s="425"/>
      <c r="DT366" s="425"/>
      <c r="DU366" s="425"/>
      <c r="DV366" s="425"/>
      <c r="DW366" s="425"/>
      <c r="DX366" s="425"/>
      <c r="DY366" s="425"/>
      <c r="DZ366" s="425"/>
      <c r="EA366" s="425"/>
      <c r="EB366" s="112" t="e">
        <f>E366*(1/AQ366+1/AQ365)/2</f>
        <v>#DIV/0!</v>
      </c>
      <c r="EC366" s="112" t="e">
        <f>E366*(1/AR366+1/AR365)/2</f>
        <v>#DIV/0!</v>
      </c>
      <c r="ED366" s="112" t="e">
        <f>E366*(AS366+AS365)/2</f>
        <v>#DIV/0!</v>
      </c>
      <c r="EE366" s="238" t="e">
        <f>(X366*AD366*AD366+2*W366*AD366*AE366+V366*AE366*AE366)*CH366</f>
        <v>#DIV/0!</v>
      </c>
      <c r="EF366" s="112" t="e">
        <f>SQRT(VaveBetax/VaveBetaz*T_Coupling)</f>
        <v>#DIV/0!</v>
      </c>
      <c r="EG366" s="112" t="e">
        <f>IF(EF366&lt;=1,EF366^(0.021-0.044*LN(EF366)),EF366^(-0.021-0.044*LN(EF366)))/(VaveBetax*VaveBetaz)^(1/4)</f>
        <v>#DIV/0!</v>
      </c>
      <c r="EH366" s="239" t="e">
        <f t="shared" si="227"/>
        <v>#DIV/0!</v>
      </c>
      <c r="EI366" s="239" t="e">
        <f t="shared" si="227"/>
        <v>#DIV/0!</v>
      </c>
      <c r="EJ366" s="239" t="e">
        <f t="shared" si="227"/>
        <v>#DIV/0!</v>
      </c>
      <c r="EK366" s="239" t="e">
        <f t="shared" si="227"/>
        <v>#DIV/0!</v>
      </c>
      <c r="EL366" s="239" t="e">
        <f t="shared" si="227"/>
        <v>#DIV/0!</v>
      </c>
      <c r="EM366" s="239" t="e">
        <f t="shared" si="227"/>
        <v>#DIV/0!</v>
      </c>
      <c r="EN366" s="239" t="e">
        <f t="shared" si="227"/>
        <v>#DIV/0!</v>
      </c>
      <c r="EO366" s="239" t="e">
        <f t="shared" si="227"/>
        <v>#DIV/0!</v>
      </c>
      <c r="EP366" s="239" t="e">
        <f t="shared" si="227"/>
        <v>#DIV/0!</v>
      </c>
      <c r="EQ366" s="239" t="e">
        <f t="shared" si="227"/>
        <v>#DIV/0!</v>
      </c>
      <c r="ER366" s="239" t="e">
        <f t="shared" si="227"/>
        <v>#DIV/0!</v>
      </c>
      <c r="ES366" s="239" t="e">
        <f t="shared" si="227"/>
        <v>#DIV/0!</v>
      </c>
      <c r="ET366" s="239" t="e">
        <f t="shared" si="227"/>
        <v>#DIV/0!</v>
      </c>
      <c r="EU366" s="112" t="e">
        <f>Vlength*VaveBetaz</f>
        <v>#DIV/0!</v>
      </c>
      <c r="EW366" s="30"/>
      <c r="EX366" s="30"/>
      <c r="EY366" s="30"/>
      <c r="EZ366" s="30"/>
      <c r="FA366" s="30"/>
      <c r="FB366" s="30"/>
    </row>
    <row r="367" spans="1:229" ht="15.75" customHeight="1" outlineLevel="1">
      <c r="C367" s="37" t="s">
        <v>30</v>
      </c>
      <c r="D367" s="31" t="s">
        <v>247</v>
      </c>
      <c r="E367" s="83" t="s">
        <v>631</v>
      </c>
      <c r="F367" s="31" t="s">
        <v>248</v>
      </c>
      <c r="G367" s="31" t="s">
        <v>249</v>
      </c>
      <c r="I367" s="543"/>
      <c r="AY367" s="396"/>
      <c r="AZ367" s="396"/>
      <c r="BA367" s="436"/>
      <c r="BB367" s="409"/>
      <c r="BC367" s="396"/>
      <c r="BD367" s="396"/>
      <c r="BE367" s="396"/>
      <c r="BF367" s="436"/>
      <c r="BG367" s="396"/>
      <c r="BH367" s="396"/>
      <c r="BI367" s="396"/>
      <c r="BJ367" s="396"/>
    </row>
    <row r="368" spans="1:229" s="7" customFormat="1" ht="15.75" customHeight="1" outlineLevel="1">
      <c r="A368" s="31"/>
      <c r="B368" s="31"/>
      <c r="C368" s="37"/>
      <c r="D368" s="25" t="s">
        <v>1199</v>
      </c>
      <c r="E368" s="395">
        <v>0</v>
      </c>
      <c r="F368" s="396">
        <v>0</v>
      </c>
      <c r="G368" s="396">
        <v>0</v>
      </c>
      <c r="H368" s="396">
        <v>0</v>
      </c>
      <c r="I368" s="540"/>
      <c r="K368" s="396"/>
      <c r="L368" s="396"/>
      <c r="M368" s="396"/>
      <c r="N368" s="525"/>
      <c r="O368" s="36"/>
      <c r="P368" s="458"/>
      <c r="Q368" s="458"/>
      <c r="R368" s="101">
        <f>R367+Vlength</f>
        <v>0</v>
      </c>
      <c r="S368" s="101">
        <f>S367+U367*Vlength/SQRT(1+(U367)^2)</f>
        <v>0</v>
      </c>
      <c r="T368" s="101">
        <f>T367+Vlength/SQRT(1+(U367)^2)</f>
        <v>0</v>
      </c>
      <c r="U368" s="101">
        <f>U367</f>
        <v>0</v>
      </c>
      <c r="V368" s="112">
        <f>V367*CK368*CK368-2*W367*CK368*CL368+X367*CL368*CL368</f>
        <v>0</v>
      </c>
      <c r="W368" s="112">
        <f>-CM368*CK368*V367+(CK368*CN368+CL368*CM368)*W367-X367*CL368*CN368</f>
        <v>0</v>
      </c>
      <c r="X368" s="112" t="e">
        <f>(1+W368^2)/V368</f>
        <v>#DIV/0!</v>
      </c>
      <c r="Y368" s="112" t="e">
        <f>ATAN2(CN368*V368+CL368*W368,CL368)+Y367</f>
        <v>#DIV/0!</v>
      </c>
      <c r="Z368" s="112">
        <f>Z367*CR368*CR368-2*AA367*CR368*CS368+AB367*CS368*CS368</f>
        <v>0</v>
      </c>
      <c r="AA368" s="112">
        <f>-CT368*CR368*Z367+(CR368*CU368+CS368*CT368)*AA367-AB367*CS368*CU368</f>
        <v>0</v>
      </c>
      <c r="AB368" s="112" t="e">
        <f>(1+AA368^2)/Z368</f>
        <v>#DIV/0!</v>
      </c>
      <c r="AC368" s="112" t="e">
        <f>ATAN2(CU368*Z368+CS368*AA368,CS368)+AC367</f>
        <v>#DIV/0!</v>
      </c>
      <c r="AD368" s="101">
        <f>AD367+AE367*$CL368</f>
        <v>0</v>
      </c>
      <c r="AE368" s="112">
        <f>AE367</f>
        <v>0</v>
      </c>
      <c r="AF368" s="238">
        <f>AF367</f>
        <v>0</v>
      </c>
      <c r="AG368" s="112">
        <f>AG367+AH367*$CL368</f>
        <v>0</v>
      </c>
      <c r="AH368" s="112">
        <f>AH367</f>
        <v>0</v>
      </c>
      <c r="AI368" s="112">
        <f>AI367+AJ367*$CL368</f>
        <v>0</v>
      </c>
      <c r="AJ368" s="112">
        <f>AJ367</f>
        <v>0</v>
      </c>
      <c r="AK368" s="112">
        <f>AK367+AL367*$CL368</f>
        <v>0</v>
      </c>
      <c r="AL368" s="112">
        <f>AL367</f>
        <v>0</v>
      </c>
      <c r="AM368" s="112">
        <f>AM367+AN367*$CS368</f>
        <v>0</v>
      </c>
      <c r="AN368" s="112">
        <f>AN367</f>
        <v>0</v>
      </c>
      <c r="AO368" s="112">
        <f>AO367+AP367*$CS368</f>
        <v>0</v>
      </c>
      <c r="AP368" s="112">
        <f>AP367</f>
        <v>0</v>
      </c>
      <c r="AQ368" s="101">
        <f>SQRT(AV368*V368/1000000000+AX368*AX368*AD368*AD368)*1000</f>
        <v>0</v>
      </c>
      <c r="AR368" s="101">
        <f>SQRT(AW368*Z368/1000000000)*1000</f>
        <v>0</v>
      </c>
      <c r="AS368" s="101" t="e">
        <f>SQRT(AV368/1000000000*X368+AX368*AX368*AE368*AE368)*1000</f>
        <v>#DIV/0!</v>
      </c>
      <c r="AT368" s="101" t="e">
        <f>SQRT(AW368/1000000000*AB368)*1000</f>
        <v>#DIV/0!</v>
      </c>
      <c r="AU368" s="101" t="e">
        <f>SQRT((V368*AV368*0.000000001+AD368*AD368*AX368^2)*(X368*AV368*0.000000001+AE368*AE368*AX368^2)-(W368*AV368*0.000000001+AD368*AE368*AX368^2)^2)*1000000000</f>
        <v>#DIV/0!</v>
      </c>
      <c r="AV368" s="239">
        <f t="shared" si="226"/>
        <v>0</v>
      </c>
      <c r="AW368" s="239">
        <f t="shared" si="226"/>
        <v>0</v>
      </c>
      <c r="AX368" s="239">
        <f t="shared" si="226"/>
        <v>0</v>
      </c>
      <c r="AY368" s="434">
        <f>0.5*(AD367+AD368)</f>
        <v>0</v>
      </c>
      <c r="AZ368" s="356">
        <f>0.5*(AE367+AE368)</f>
        <v>0</v>
      </c>
      <c r="BA368" s="425">
        <f>0.5*(V368+V367)-X367*Vlength*Vlength/6</f>
        <v>0</v>
      </c>
      <c r="BB368" s="356" t="e">
        <f>0.5*(Y368+Y367)</f>
        <v>#DIV/0!</v>
      </c>
      <c r="BC368" s="434"/>
      <c r="BD368" s="434"/>
      <c r="BE368" s="434"/>
      <c r="BF368" s="425">
        <f>0.5*(Z368+Z367)-AB367*Vlength*Vlength/6</f>
        <v>0</v>
      </c>
      <c r="BG368" s="434" t="e">
        <f>0.5*(AC368+AC367)</f>
        <v>#DIV/0!</v>
      </c>
      <c r="BH368" s="434"/>
      <c r="BI368" s="434"/>
      <c r="BJ368" s="434"/>
      <c r="BK368" s="239"/>
      <c r="BL368" s="239"/>
      <c r="BM368" s="239"/>
      <c r="BN368" s="239"/>
      <c r="BO368" s="239"/>
      <c r="BP368" s="239"/>
      <c r="BQ368" s="239"/>
      <c r="BR368" s="239"/>
      <c r="BS368" s="239"/>
      <c r="BT368" s="239"/>
      <c r="BU368" s="239"/>
      <c r="BV368" s="239"/>
      <c r="BW368" s="239"/>
      <c r="BX368" s="239"/>
      <c r="BY368" s="239"/>
      <c r="BZ368" s="239"/>
      <c r="CA368" s="239"/>
      <c r="CB368" s="239"/>
      <c r="CC368" s="239"/>
      <c r="CD368" s="239"/>
      <c r="CE368" s="239"/>
      <c r="CF368" s="101"/>
      <c r="CG368" s="101"/>
      <c r="CH368" s="112">
        <f>E368</f>
        <v>0</v>
      </c>
      <c r="CI368" s="240"/>
      <c r="CJ368" s="112"/>
      <c r="CK368" s="30">
        <v>1</v>
      </c>
      <c r="CL368" s="30">
        <f>E368</f>
        <v>0</v>
      </c>
      <c r="CM368" s="30">
        <v>0</v>
      </c>
      <c r="CN368" s="30">
        <v>1</v>
      </c>
      <c r="CO368" s="112"/>
      <c r="CP368" s="112"/>
      <c r="CQ368" s="112"/>
      <c r="CR368" s="30">
        <v>1</v>
      </c>
      <c r="CS368" s="30">
        <f>CL368</f>
        <v>0</v>
      </c>
      <c r="CT368" s="30">
        <v>0</v>
      </c>
      <c r="CU368" s="30">
        <v>1</v>
      </c>
      <c r="CV368" s="112"/>
      <c r="CW368" s="30">
        <f>CW367*CK368+CY367*CL368</f>
        <v>0</v>
      </c>
      <c r="CX368" s="30">
        <f>CX367*CK368+CZ367*CL368</f>
        <v>0</v>
      </c>
      <c r="CY368" s="30">
        <f>CW367*CM368+CY367*CN368</f>
        <v>0</v>
      </c>
      <c r="CZ368" s="30">
        <f>CX367*CM368+CZ367*CN368</f>
        <v>0</v>
      </c>
      <c r="DA368" s="112"/>
      <c r="DB368" s="30">
        <f>DB367*CR368+DD367*CS368</f>
        <v>0</v>
      </c>
      <c r="DC368" s="30">
        <f>DC367*CR368+DE367*CS368</f>
        <v>0</v>
      </c>
      <c r="DD368" s="30">
        <f>DB367*CT368+DD367*CU368</f>
        <v>0</v>
      </c>
      <c r="DE368" s="30">
        <f>DC367*CT368+DE367*CU368</f>
        <v>0</v>
      </c>
      <c r="DF368" s="30">
        <f>AZ368^2*Vlength</f>
        <v>0</v>
      </c>
      <c r="DG368" s="112"/>
      <c r="DH368" s="112"/>
      <c r="DI368" s="112"/>
      <c r="DJ368" s="112"/>
      <c r="DK368" s="112"/>
      <c r="DL368" s="36"/>
      <c r="DM368" s="36"/>
      <c r="DN368" s="356"/>
      <c r="DO368" s="356"/>
      <c r="DP368" s="425"/>
      <c r="DQ368" s="425"/>
      <c r="DR368" s="425"/>
      <c r="DS368" s="425"/>
      <c r="DT368" s="425"/>
      <c r="DU368" s="425"/>
      <c r="DV368" s="425"/>
      <c r="DW368" s="425"/>
      <c r="DX368" s="425"/>
      <c r="DY368" s="425"/>
      <c r="DZ368" s="425"/>
      <c r="EA368" s="425"/>
      <c r="EB368" s="112" t="e">
        <f>E368*(1/AQ368+1/AQ367)/2</f>
        <v>#DIV/0!</v>
      </c>
      <c r="EC368" s="112" t="e">
        <f>E368*(1/AR368+1/AR367)/2</f>
        <v>#DIV/0!</v>
      </c>
      <c r="ED368" s="112" t="e">
        <f>E368*(AS368+AS367)/2</f>
        <v>#DIV/0!</v>
      </c>
      <c r="EE368" s="238" t="e">
        <f>(X368*AD368*AD368+2*W368*AD368*AE368+V368*AE368*AE368)*CH368</f>
        <v>#DIV/0!</v>
      </c>
      <c r="EF368" s="112" t="e">
        <f>SQRT(VaveBetax/VaveBetaz*T_Coupling)</f>
        <v>#DIV/0!</v>
      </c>
      <c r="EG368" s="112" t="e">
        <f>IF(EF368&lt;=1,EF368^(0.021-0.044*LN(EF368)),EF368^(-0.021-0.044*LN(EF368)))/(VaveBetax*VaveBetaz)^(1/4)</f>
        <v>#DIV/0!</v>
      </c>
      <c r="EH368" s="239" t="e">
        <f t="shared" ref="EH368:ET368" si="228">$EG368*Vlength/SQRT(1+EH$7*EH$7/EH$8*1000000000/Vlength*$EE368)</f>
        <v>#DIV/0!</v>
      </c>
      <c r="EI368" s="239" t="e">
        <f t="shared" si="228"/>
        <v>#DIV/0!</v>
      </c>
      <c r="EJ368" s="239" t="e">
        <f t="shared" si="228"/>
        <v>#DIV/0!</v>
      </c>
      <c r="EK368" s="239" t="e">
        <f t="shared" si="228"/>
        <v>#DIV/0!</v>
      </c>
      <c r="EL368" s="239" t="e">
        <f t="shared" si="228"/>
        <v>#DIV/0!</v>
      </c>
      <c r="EM368" s="239" t="e">
        <f t="shared" si="228"/>
        <v>#DIV/0!</v>
      </c>
      <c r="EN368" s="239" t="e">
        <f t="shared" si="228"/>
        <v>#DIV/0!</v>
      </c>
      <c r="EO368" s="239" t="e">
        <f t="shared" si="228"/>
        <v>#DIV/0!</v>
      </c>
      <c r="EP368" s="239" t="e">
        <f t="shared" si="228"/>
        <v>#DIV/0!</v>
      </c>
      <c r="EQ368" s="239" t="e">
        <f t="shared" si="228"/>
        <v>#DIV/0!</v>
      </c>
      <c r="ER368" s="239" t="e">
        <f t="shared" si="228"/>
        <v>#DIV/0!</v>
      </c>
      <c r="ES368" s="239" t="e">
        <f t="shared" si="228"/>
        <v>#DIV/0!</v>
      </c>
      <c r="ET368" s="239" t="e">
        <f t="shared" si="228"/>
        <v>#DIV/0!</v>
      </c>
      <c r="EU368" s="112">
        <f>Vlength*VaveBetaz</f>
        <v>0</v>
      </c>
      <c r="EW368" s="30"/>
      <c r="EX368" s="30"/>
      <c r="EY368" s="30"/>
      <c r="EZ368" s="30"/>
      <c r="FA368" s="30"/>
      <c r="FB368" s="30"/>
    </row>
    <row r="369" spans="1:158" ht="15.75" customHeight="1" outlineLevel="1">
      <c r="AY369" s="396"/>
      <c r="AZ369" s="396"/>
      <c r="BA369" s="436"/>
      <c r="BB369" s="409"/>
      <c r="BC369" s="396"/>
      <c r="BD369" s="396"/>
      <c r="BE369" s="396"/>
      <c r="BF369" s="436"/>
      <c r="BG369" s="396"/>
      <c r="BH369" s="396"/>
      <c r="BI369" s="396"/>
      <c r="BJ369" s="396"/>
    </row>
    <row r="370" spans="1:158" ht="15.75" customHeight="1" outlineLevel="1">
      <c r="D370" s="473" t="s">
        <v>438</v>
      </c>
      <c r="AY370" s="396"/>
      <c r="AZ370" s="396"/>
      <c r="BA370" s="436"/>
      <c r="BB370" s="409"/>
      <c r="BC370" s="396"/>
      <c r="BD370" s="396"/>
      <c r="BE370" s="396"/>
      <c r="BF370" s="436"/>
      <c r="BG370" s="396"/>
      <c r="BH370" s="396"/>
      <c r="BI370" s="396"/>
      <c r="BJ370" s="396"/>
    </row>
    <row r="371" spans="1:158" s="68" customFormat="1" ht="15.75" customHeight="1" outlineLevel="1">
      <c r="A371" s="63"/>
      <c r="B371" s="63"/>
      <c r="C371" s="64"/>
      <c r="D371" s="65" t="s">
        <v>787</v>
      </c>
      <c r="E371" s="401">
        <v>0.05</v>
      </c>
      <c r="F371" s="402">
        <v>23.366299999999999</v>
      </c>
      <c r="G371" s="405"/>
      <c r="H371" s="405"/>
      <c r="I371" s="544"/>
      <c r="K371" s="401"/>
      <c r="L371" s="401"/>
      <c r="M371" s="554"/>
      <c r="N371" s="530"/>
      <c r="O371" s="75"/>
      <c r="P371" s="461"/>
      <c r="Q371" s="461"/>
      <c r="R371" s="69">
        <f>R370</f>
        <v>0</v>
      </c>
      <c r="S371" s="69">
        <f>S370</f>
        <v>0</v>
      </c>
      <c r="T371" s="69">
        <f>T370</f>
        <v>0</v>
      </c>
      <c r="U371" s="69">
        <f>U370</f>
        <v>0</v>
      </c>
      <c r="V371" s="70">
        <f>V370*CK371*CK371-2*W370*CK371*CL371+X370*CL371*CL371</f>
        <v>0</v>
      </c>
      <c r="W371" s="70">
        <f>-CM371*CK371*V370+(CK371*CN371+CL371*CM371)*W370-X370*CL371*CN371</f>
        <v>0</v>
      </c>
      <c r="X371" s="70" t="e">
        <f>(1+W371^2)/V371</f>
        <v>#DIV/0!</v>
      </c>
      <c r="Y371" s="70" t="e">
        <f>ATAN2(CN371*V371+CL371*W371,CL371)+Y370</f>
        <v>#DIV/0!</v>
      </c>
      <c r="Z371" s="70">
        <f>Z370*CR371*CR371-2*AA370*CR371*CS371+AB370*CS371*CS371</f>
        <v>0</v>
      </c>
      <c r="AA371" s="70">
        <f>-CT371*CR371*Z370+(CR371*CU371+CS371*CT371)*AA370-AB370*CS371*CU371</f>
        <v>0</v>
      </c>
      <c r="AB371" s="70" t="e">
        <f>(1+AA371^2)/Z371</f>
        <v>#DIV/0!</v>
      </c>
      <c r="AC371" s="70" t="e">
        <f>ATAN2(CU371*Z371+CS371*AA371,CS371)+AC370</f>
        <v>#DIV/0!</v>
      </c>
      <c r="AD371" s="69">
        <f>AD370</f>
        <v>0</v>
      </c>
      <c r="AE371" s="70">
        <f>AD370*$CM371+AE370</f>
        <v>0</v>
      </c>
      <c r="AF371" s="71">
        <f>AF370</f>
        <v>0</v>
      </c>
      <c r="AG371" s="70">
        <f>AG370</f>
        <v>0</v>
      </c>
      <c r="AH371" s="70">
        <f>AG370*$CM371+AH370</f>
        <v>0</v>
      </c>
      <c r="AI371" s="70">
        <f>AI370</f>
        <v>0</v>
      </c>
      <c r="AJ371" s="70">
        <f>AI370*$CM371+AJ370-0.001*$CM371*K371</f>
        <v>0</v>
      </c>
      <c r="AK371" s="70">
        <f>AK370</f>
        <v>0</v>
      </c>
      <c r="AL371" s="70">
        <f>AK370*$CM371+AL370-0.001*$CM371*$K371</f>
        <v>0</v>
      </c>
      <c r="AM371" s="70">
        <f>AM370</f>
        <v>0</v>
      </c>
      <c r="AN371" s="70">
        <f>AM370*$CT371+AN370-0.001*$CT371*$L371</f>
        <v>0</v>
      </c>
      <c r="AO371" s="70">
        <f>AO370</f>
        <v>0</v>
      </c>
      <c r="AP371" s="70">
        <f>AO370*$CT371+AP370-0.001*$CT371*$L371</f>
        <v>0</v>
      </c>
      <c r="AQ371" s="69">
        <f>SQRT(AV371*V371/1000000000+AX371*AX371*AD371*AD371)*1000</f>
        <v>0</v>
      </c>
      <c r="AR371" s="69">
        <f>SQRT(AW371*Z371/1000000000)*1000</f>
        <v>0</v>
      </c>
      <c r="AS371" s="69" t="e">
        <f>SQRT(AV371/1000000000*X371+AX371*AX371*AE371*AE371)*1000</f>
        <v>#DIV/0!</v>
      </c>
      <c r="AT371" s="69" t="e">
        <f>SQRT(AW371/1000000000*AB371)*1000</f>
        <v>#DIV/0!</v>
      </c>
      <c r="AU371" s="69" t="e">
        <f>SQRT((V371*AV371*0.000000001+AD371*AD371*AX371^2)*(X371*AV371*0.000000001+AE371*AE371*AX371^2)-(W371*AV371*0.000000001+AD371*AE371*AX371^2)^2)*1000000000</f>
        <v>#DIV/0!</v>
      </c>
      <c r="AV371" s="72">
        <f>AV370</f>
        <v>0</v>
      </c>
      <c r="AW371" s="72">
        <f>AW370</f>
        <v>0</v>
      </c>
      <c r="AX371" s="72">
        <f>AX370</f>
        <v>0</v>
      </c>
      <c r="AY371" s="77">
        <f>AD371</f>
        <v>0</v>
      </c>
      <c r="AZ371" s="77">
        <f>(AE371+AE370)/2</f>
        <v>0</v>
      </c>
      <c r="BA371" s="433">
        <f>V371</f>
        <v>0</v>
      </c>
      <c r="BB371" s="77" t="e">
        <f>0.5*(Y371+Y370)</f>
        <v>#DIV/0!</v>
      </c>
      <c r="BC371" s="488">
        <f>VaveBetax*AY371</f>
        <v>0</v>
      </c>
      <c r="BD371" s="488"/>
      <c r="BE371" s="488">
        <f>IF(ISERR(FIND("BEND",UPPER(D370))),AZ371,-AZ371)</f>
        <v>0</v>
      </c>
      <c r="BF371" s="433">
        <f>Z371</f>
        <v>0</v>
      </c>
      <c r="BG371" s="488" t="e">
        <f>0.5*(AC371+AC370)</f>
        <v>#DIV/0!</v>
      </c>
      <c r="BH371" s="488">
        <f>VaveBetaz*AY371</f>
        <v>0</v>
      </c>
      <c r="BI371" s="488"/>
      <c r="BJ371" s="488"/>
      <c r="BK371" s="70"/>
      <c r="BL371" s="70"/>
      <c r="BM371" s="70"/>
      <c r="BN371" s="70"/>
      <c r="BO371" s="70"/>
      <c r="BP371" s="70"/>
      <c r="BQ371" s="70"/>
      <c r="BR371" s="70"/>
      <c r="BS371" s="70"/>
      <c r="BT371" s="70"/>
      <c r="BU371" s="70"/>
      <c r="BV371" s="70"/>
      <c r="BW371" s="70"/>
      <c r="BX371" s="70"/>
      <c r="BY371" s="70"/>
      <c r="BZ371" s="70"/>
      <c r="CA371" s="70"/>
      <c r="CB371" s="70"/>
      <c r="CC371" s="70"/>
      <c r="CD371" s="70"/>
      <c r="CE371" s="70"/>
      <c r="CF371" s="70">
        <f>-TAN($E371)/$F371</f>
        <v>-2.1416188431860753E-3</v>
      </c>
      <c r="CG371" s="69">
        <f>-IF(ISERR(FIND("BEND",UPPER(D370))),G372,G370)*CF371/F371</f>
        <v>0</v>
      </c>
      <c r="CI371" s="73"/>
      <c r="CJ371" s="74"/>
      <c r="CK371" s="74">
        <v>1</v>
      </c>
      <c r="CL371" s="74">
        <v>0</v>
      </c>
      <c r="CM371" s="74">
        <f>-VKl</f>
        <v>2.1416188431860753E-3</v>
      </c>
      <c r="CN371" s="74">
        <v>1</v>
      </c>
      <c r="CO371" s="70"/>
      <c r="CP371" s="70"/>
      <c r="CQ371" s="74"/>
      <c r="CR371" s="74">
        <v>1</v>
      </c>
      <c r="CS371" s="74">
        <v>0</v>
      </c>
      <c r="CT371" s="74">
        <f>VKl</f>
        <v>-2.1416188431860753E-3</v>
      </c>
      <c r="CU371" s="74">
        <v>1</v>
      </c>
      <c r="CV371" s="70"/>
      <c r="CW371" s="74">
        <f>CW370*CK371+CY370*CL371</f>
        <v>0</v>
      </c>
      <c r="CX371" s="74">
        <f>CX370*CK371+CZ370*CL371</f>
        <v>0</v>
      </c>
      <c r="CY371" s="74">
        <f>CW370*CM371+CY370*CN371</f>
        <v>0</v>
      </c>
      <c r="CZ371" s="74">
        <f>CX370*CM371+CZ370*CN371</f>
        <v>0</v>
      </c>
      <c r="DA371" s="70"/>
      <c r="DB371" s="74">
        <f>DB370*CR371+DD370*CS371</f>
        <v>0</v>
      </c>
      <c r="DC371" s="74">
        <f>DC370*CR371+DE370*CS371</f>
        <v>0</v>
      </c>
      <c r="DD371" s="74">
        <f>DB370*CT371+DD370*CU371</f>
        <v>0</v>
      </c>
      <c r="DE371" s="74">
        <f>DC370*CT371+DE370*CU371</f>
        <v>0</v>
      </c>
      <c r="DF371" s="74"/>
      <c r="DG371" s="70"/>
      <c r="DH371" s="70"/>
      <c r="DI371" s="70"/>
      <c r="DJ371" s="70"/>
      <c r="DK371" s="70"/>
      <c r="DL371" s="75"/>
      <c r="DM371" s="75"/>
      <c r="DN371" s="77">
        <f>-VaveBetax*VKl+(2*VHl+1*VKl/$F371)*BC371</f>
        <v>0</v>
      </c>
      <c r="DO371" s="77">
        <f>VaveBetaz*(VKl+BE371/$F371)-(2*VHl+0.5*VKl/$F371)*BH371</f>
        <v>0</v>
      </c>
      <c r="DP371" s="433"/>
      <c r="DQ371" s="433"/>
      <c r="DR371" s="433"/>
      <c r="DS371" s="433"/>
      <c r="DT371" s="433"/>
      <c r="DU371" s="433"/>
      <c r="DV371" s="433"/>
      <c r="DW371" s="433"/>
      <c r="DX371" s="433"/>
      <c r="DY371" s="433"/>
      <c r="DZ371" s="433"/>
      <c r="EA371" s="433"/>
      <c r="EB371" s="70"/>
      <c r="EC371" s="70"/>
      <c r="ED371" s="70"/>
      <c r="EE371" s="71"/>
      <c r="EF371" s="71"/>
      <c r="EG371" s="71"/>
      <c r="EH371" s="70"/>
      <c r="EI371" s="70"/>
      <c r="EJ371" s="70"/>
      <c r="EK371" s="70"/>
      <c r="EL371" s="70"/>
      <c r="EM371" s="70"/>
      <c r="EN371" s="70"/>
      <c r="EO371" s="70"/>
      <c r="EP371" s="70"/>
      <c r="EQ371" s="70"/>
      <c r="ER371" s="70"/>
      <c r="ES371" s="70"/>
      <c r="ET371" s="70"/>
      <c r="EU371" s="70"/>
      <c r="EW371" s="74"/>
      <c r="EX371" s="74"/>
      <c r="EY371" s="74"/>
      <c r="EZ371" s="74"/>
      <c r="FA371" s="74"/>
      <c r="FB371" s="74"/>
    </row>
    <row r="372" spans="1:158" ht="15.75" customHeight="1" outlineLevel="1">
      <c r="C372" s="37" t="s">
        <v>30</v>
      </c>
      <c r="D372" s="31" t="s">
        <v>250</v>
      </c>
      <c r="E372" s="475" t="s">
        <v>733</v>
      </c>
      <c r="I372" s="510"/>
      <c r="J372" s="405"/>
      <c r="K372" s="505"/>
      <c r="L372" s="505"/>
      <c r="M372" s="505"/>
      <c r="N372" s="533"/>
      <c r="AY372" s="396"/>
      <c r="AZ372" s="396"/>
      <c r="BA372" s="436"/>
      <c r="BB372" s="409"/>
      <c r="BC372" s="396"/>
      <c r="BD372" s="396"/>
      <c r="BE372" s="396"/>
      <c r="BF372" s="436"/>
      <c r="BG372" s="396"/>
      <c r="BH372" s="396"/>
      <c r="BI372" s="396"/>
      <c r="BJ372" s="396"/>
    </row>
    <row r="373" spans="1:158" s="140" customFormat="1" ht="15.75" customHeight="1" outlineLevel="1">
      <c r="A373" s="130"/>
      <c r="B373" s="130"/>
      <c r="C373" s="131" t="s">
        <v>1178</v>
      </c>
      <c r="D373" s="132" t="s">
        <v>722</v>
      </c>
      <c r="E373" s="406">
        <v>0</v>
      </c>
      <c r="F373" s="406">
        <v>0</v>
      </c>
      <c r="G373" s="407"/>
      <c r="H373" s="407"/>
      <c r="I373" s="545"/>
      <c r="K373" s="407"/>
      <c r="L373" s="407"/>
      <c r="M373" s="407"/>
      <c r="N373" s="529"/>
      <c r="O373" s="134"/>
      <c r="P373" s="460"/>
      <c r="Q373" s="460"/>
      <c r="R373" s="133">
        <f t="shared" ref="R373:AI373" si="229">R372</f>
        <v>0</v>
      </c>
      <c r="S373" s="133">
        <f t="shared" si="229"/>
        <v>0</v>
      </c>
      <c r="T373" s="133">
        <f t="shared" si="229"/>
        <v>0</v>
      </c>
      <c r="U373" s="133">
        <f t="shared" si="229"/>
        <v>0</v>
      </c>
      <c r="V373" s="134">
        <f t="shared" si="229"/>
        <v>0</v>
      </c>
      <c r="W373" s="134">
        <f t="shared" si="229"/>
        <v>0</v>
      </c>
      <c r="X373" s="134">
        <f t="shared" si="229"/>
        <v>0</v>
      </c>
      <c r="Y373" s="134">
        <f t="shared" si="229"/>
        <v>0</v>
      </c>
      <c r="Z373" s="134">
        <f t="shared" si="229"/>
        <v>0</v>
      </c>
      <c r="AA373" s="134">
        <f t="shared" si="229"/>
        <v>0</v>
      </c>
      <c r="AB373" s="134">
        <f t="shared" si="229"/>
        <v>0</v>
      </c>
      <c r="AC373" s="134">
        <f t="shared" si="229"/>
        <v>0</v>
      </c>
      <c r="AD373" s="134">
        <f t="shared" si="229"/>
        <v>0</v>
      </c>
      <c r="AE373" s="134">
        <f t="shared" si="229"/>
        <v>0</v>
      </c>
      <c r="AF373" s="135">
        <f t="shared" si="229"/>
        <v>0</v>
      </c>
      <c r="AG373" s="134">
        <f t="shared" si="229"/>
        <v>0</v>
      </c>
      <c r="AH373" s="134">
        <f t="shared" si="229"/>
        <v>0</v>
      </c>
      <c r="AI373" s="134">
        <f t="shared" si="229"/>
        <v>0</v>
      </c>
      <c r="AJ373" s="134">
        <f>AJ372+$E373</f>
        <v>0</v>
      </c>
      <c r="AK373" s="134">
        <f>AK372</f>
        <v>0</v>
      </c>
      <c r="AL373" s="134">
        <f>AL372+$E373</f>
        <v>0</v>
      </c>
      <c r="AM373" s="134">
        <f>AM372</f>
        <v>0</v>
      </c>
      <c r="AN373" s="134">
        <f>AN372+$F373</f>
        <v>0</v>
      </c>
      <c r="AO373" s="134">
        <f>AO372</f>
        <v>0</v>
      </c>
      <c r="AP373" s="134">
        <f>AP372+$F373</f>
        <v>0</v>
      </c>
      <c r="AQ373" s="133">
        <f>SQRT(AV373*V373/1000000000+AX373*AX373*AD373*AD373)*1000</f>
        <v>0</v>
      </c>
      <c r="AR373" s="133">
        <f>SQRT(AW373*Z373/1000000000)*1000</f>
        <v>0</v>
      </c>
      <c r="AS373" s="133">
        <f>SQRT(AV373/1000000000*X373+AX373*AX373*AE373*AE373)*1000</f>
        <v>0</v>
      </c>
      <c r="AT373" s="133">
        <f>SQRT(AW373/1000000000*AB373)*1000</f>
        <v>0</v>
      </c>
      <c r="AU373" s="133">
        <f>SQRT((V373*AV373*0.000000001+AD373*AD373*AX373^2)*(X373*AV373*0.000000001+AE373*AE373*AX373^2)-(W373*AV373*0.000000001+AD373*AE373*AX373^2)^2)*1000000000</f>
        <v>0</v>
      </c>
      <c r="AV373" s="136">
        <f t="shared" ref="AV373:AX377" si="230">AV372</f>
        <v>0</v>
      </c>
      <c r="AW373" s="136">
        <f t="shared" si="230"/>
        <v>0</v>
      </c>
      <c r="AX373" s="136">
        <f t="shared" si="230"/>
        <v>0</v>
      </c>
      <c r="AY373" s="431">
        <f>AD373</f>
        <v>0</v>
      </c>
      <c r="AZ373" s="431">
        <f>(AE373+AE372)/2</f>
        <v>0</v>
      </c>
      <c r="BA373" s="432">
        <f>V373</f>
        <v>0</v>
      </c>
      <c r="BB373" s="431">
        <f>0.5*(Y373+Y372)</f>
        <v>0</v>
      </c>
      <c r="BC373" s="501"/>
      <c r="BD373" s="502"/>
      <c r="BE373" s="502"/>
      <c r="BF373" s="432">
        <f>Z373</f>
        <v>0</v>
      </c>
      <c r="BG373" s="502">
        <f>0.5*(AC373+AC372)</f>
        <v>0</v>
      </c>
      <c r="BH373" s="502"/>
      <c r="BI373" s="502"/>
      <c r="BJ373" s="502"/>
      <c r="BK373" s="134"/>
      <c r="BL373" s="134"/>
      <c r="BM373" s="134"/>
      <c r="BN373" s="134"/>
      <c r="BO373" s="134"/>
      <c r="BP373" s="134"/>
      <c r="BQ373" s="134"/>
      <c r="BR373" s="134"/>
      <c r="BS373" s="134"/>
      <c r="BT373" s="134"/>
      <c r="BU373" s="134"/>
      <c r="BV373" s="134"/>
      <c r="BW373" s="134"/>
      <c r="BX373" s="134"/>
      <c r="BY373" s="134"/>
      <c r="BZ373" s="134"/>
      <c r="CA373" s="134"/>
      <c r="CB373" s="134"/>
      <c r="CC373" s="134"/>
      <c r="CD373" s="134"/>
      <c r="CE373" s="134"/>
      <c r="CF373" s="133"/>
      <c r="CG373" s="133"/>
      <c r="CH373" s="134"/>
      <c r="CI373" s="137"/>
      <c r="CJ373" s="134"/>
      <c r="CK373" s="138"/>
      <c r="CL373" s="138"/>
      <c r="CM373" s="138"/>
      <c r="CN373" s="138"/>
      <c r="CO373" s="134"/>
      <c r="CP373" s="134"/>
      <c r="CQ373" s="134"/>
      <c r="CR373" s="138"/>
      <c r="CS373" s="138"/>
      <c r="CT373" s="138"/>
      <c r="CU373" s="138"/>
      <c r="CV373" s="134"/>
      <c r="CW373" s="127">
        <f>CW372</f>
        <v>0</v>
      </c>
      <c r="CX373" s="127">
        <f>CX372</f>
        <v>0</v>
      </c>
      <c r="CY373" s="127">
        <f>CY372</f>
        <v>0</v>
      </c>
      <c r="CZ373" s="127">
        <f>CZ372</f>
        <v>0</v>
      </c>
      <c r="DA373" s="134"/>
      <c r="DB373" s="127">
        <f>DB372</f>
        <v>0</v>
      </c>
      <c r="DC373" s="127">
        <f>DC372</f>
        <v>0</v>
      </c>
      <c r="DD373" s="127">
        <f>DD372</f>
        <v>0</v>
      </c>
      <c r="DE373" s="127">
        <f>DE372</f>
        <v>0</v>
      </c>
      <c r="DF373" s="138"/>
      <c r="DG373" s="134"/>
      <c r="DH373" s="134"/>
      <c r="DI373" s="134"/>
      <c r="DJ373" s="134"/>
      <c r="DK373" s="134"/>
      <c r="DL373" s="139"/>
      <c r="DM373" s="139"/>
      <c r="DN373" s="431"/>
      <c r="DO373" s="431"/>
      <c r="DP373" s="432"/>
      <c r="DQ373" s="432"/>
      <c r="DR373" s="432"/>
      <c r="DS373" s="432"/>
      <c r="DT373" s="432"/>
      <c r="DU373" s="432"/>
      <c r="DV373" s="432"/>
      <c r="DW373" s="432"/>
      <c r="DX373" s="432"/>
      <c r="DY373" s="432"/>
      <c r="DZ373" s="432"/>
      <c r="EA373" s="432"/>
      <c r="EB373" s="134"/>
      <c r="EC373" s="134"/>
      <c r="ED373" s="134"/>
      <c r="EE373" s="135"/>
      <c r="EF373" s="135"/>
      <c r="EG373" s="135"/>
      <c r="EH373" s="134"/>
      <c r="EI373" s="134"/>
      <c r="EJ373" s="134"/>
      <c r="EK373" s="134"/>
      <c r="EL373" s="134"/>
      <c r="EM373" s="134"/>
      <c r="EN373" s="134"/>
      <c r="EO373" s="134"/>
      <c r="EP373" s="134"/>
      <c r="EQ373" s="134"/>
      <c r="ER373" s="134"/>
      <c r="ES373" s="134"/>
      <c r="ET373" s="134"/>
      <c r="EU373" s="134"/>
      <c r="EW373" s="138"/>
      <c r="EX373" s="138"/>
      <c r="EY373" s="138"/>
      <c r="EZ373" s="138"/>
      <c r="FA373" s="138"/>
      <c r="FB373" s="138"/>
    </row>
    <row r="374" spans="1:158" s="129" customFormat="1" ht="15.75" customHeight="1" outlineLevel="1">
      <c r="A374" s="119"/>
      <c r="B374" s="119"/>
      <c r="C374" s="120"/>
      <c r="D374" s="121" t="s">
        <v>238</v>
      </c>
      <c r="E374" s="412">
        <v>3</v>
      </c>
      <c r="F374" s="410">
        <v>3.33</v>
      </c>
      <c r="G374" s="400"/>
      <c r="H374" s="400"/>
      <c r="I374" s="546"/>
      <c r="K374" s="411"/>
      <c r="L374" s="411"/>
      <c r="M374" s="419"/>
      <c r="N374" s="526"/>
      <c r="O374" s="128"/>
      <c r="P374" s="457"/>
      <c r="Q374" s="457"/>
      <c r="R374" s="122">
        <f t="shared" ref="R374:U377" si="231">R373</f>
        <v>0</v>
      </c>
      <c r="S374" s="122">
        <f t="shared" si="231"/>
        <v>0</v>
      </c>
      <c r="T374" s="122">
        <f t="shared" si="231"/>
        <v>0</v>
      </c>
      <c r="U374" s="122">
        <f t="shared" si="231"/>
        <v>0</v>
      </c>
      <c r="V374" s="123">
        <f>V373*CK374*CK374-2*W373*CK374*CL374+X373*CL374*CL374</f>
        <v>0</v>
      </c>
      <c r="W374" s="123">
        <f>-CM374*CK374*V373+(CK374*CN374+CL374*CM374)*W373-X373*CL374*CN374</f>
        <v>0</v>
      </c>
      <c r="X374" s="123" t="e">
        <f>(1+W374^2)/V374</f>
        <v>#DIV/0!</v>
      </c>
      <c r="Y374" s="123" t="e">
        <f>ATAN2(CN374*V374+CL374*W374,CL374)+Y373</f>
        <v>#DIV/0!</v>
      </c>
      <c r="Z374" s="123">
        <f>Z373*CR374*CR374-2*AA373*CR374*CS374+AB373*CS374*CS374</f>
        <v>0</v>
      </c>
      <c r="AA374" s="123">
        <f>-CT374*CR374*Z373+(CR374*CU374+CS374*CT374)*AA373-AB373*CS374*CU374</f>
        <v>0</v>
      </c>
      <c r="AB374" s="123" t="e">
        <f>(1+AA374^2)/Z374</f>
        <v>#DIV/0!</v>
      </c>
      <c r="AC374" s="123" t="e">
        <f>ATAN2(CU374*Z374+CS374*AA374,CS374)+AC373</f>
        <v>#DIV/0!</v>
      </c>
      <c r="AD374" s="122">
        <f>AD373</f>
        <v>0</v>
      </c>
      <c r="AE374" s="123">
        <f>AD373*$CM374+AE373</f>
        <v>0</v>
      </c>
      <c r="AF374" s="124">
        <f t="shared" ref="AF374:AG377" si="232">AF373</f>
        <v>0</v>
      </c>
      <c r="AG374" s="123">
        <f t="shared" si="232"/>
        <v>0</v>
      </c>
      <c r="AH374" s="123">
        <f>AG373*$CM374+AH373</f>
        <v>0</v>
      </c>
      <c r="AI374" s="123">
        <f>AI373*$CK374+AJ373*$CL374+0.001*(1-$CK374)*$K374</f>
        <v>0</v>
      </c>
      <c r="AJ374" s="123">
        <f>AI373*$CM374+AJ373*$CN374-0.001*$CM374*$K374</f>
        <v>0</v>
      </c>
      <c r="AK374" s="123">
        <f>AK373*$CK374+AL373*$CL374+0.001*(1-$CK374)*$K374</f>
        <v>0</v>
      </c>
      <c r="AL374" s="123">
        <f>AK373*$CM374+AL373*$CN374-0.001*$CM374*$K374</f>
        <v>0</v>
      </c>
      <c r="AM374" s="123">
        <f>AM373*$CR374+AN373*$CS374+0.001*(1-$CR374)*$L374</f>
        <v>0</v>
      </c>
      <c r="AN374" s="123">
        <f>AM373*$CT374+AN373*$CU374-0.001*$CT374*$L374</f>
        <v>0</v>
      </c>
      <c r="AO374" s="123">
        <f>AO373*$CR374+AP373*$CS374+0.001*(1-$CR374)*$L374</f>
        <v>0</v>
      </c>
      <c r="AP374" s="123">
        <f>AO373*$CT374+AP373*$CU374-0.001*$CT374*$L374</f>
        <v>0</v>
      </c>
      <c r="AQ374" s="122">
        <f>SQRT(AV374*V374/1000000000+AX374*AX374*AD374*AD374)*1000</f>
        <v>0</v>
      </c>
      <c r="AR374" s="122">
        <f>SQRT(AW374*Z374/1000000000)*1000</f>
        <v>0</v>
      </c>
      <c r="AS374" s="122" t="e">
        <f>SQRT(AV374/1000000000*X374+AX374*AX374*AE374*AE374)*1000</f>
        <v>#DIV/0!</v>
      </c>
      <c r="AT374" s="122" t="e">
        <f>SQRT(AW374/1000000000*AB374)*1000</f>
        <v>#DIV/0!</v>
      </c>
      <c r="AU374" s="122" t="e">
        <f>SQRT((V374*AV374*0.000000001+AD374*AD374*AX374^2)*(X374*AV374*0.000000001+AE374*AE374*AX374^2)-(W374*AV374*0.000000001+AD374*AE374*AX374^2)^2)*1000000000</f>
        <v>#DIV/0!</v>
      </c>
      <c r="AV374" s="125">
        <f t="shared" si="230"/>
        <v>0</v>
      </c>
      <c r="AW374" s="125">
        <f t="shared" si="230"/>
        <v>0</v>
      </c>
      <c r="AX374" s="125">
        <f t="shared" si="230"/>
        <v>0</v>
      </c>
      <c r="AY374" s="426">
        <f>AD374</f>
        <v>0</v>
      </c>
      <c r="AZ374" s="426">
        <f>0.5*(AE373+AE374)</f>
        <v>0</v>
      </c>
      <c r="BA374" s="427">
        <f>V374</f>
        <v>0</v>
      </c>
      <c r="BB374" s="426" t="e">
        <f>0.5*(Y374+Y373)</f>
        <v>#DIV/0!</v>
      </c>
      <c r="BC374" s="467">
        <f>VaveBetax*AY374</f>
        <v>0</v>
      </c>
      <c r="BD374" s="467"/>
      <c r="BE374" s="467"/>
      <c r="BF374" s="427">
        <f>Z374</f>
        <v>0</v>
      </c>
      <c r="BG374" s="467" t="e">
        <f>0.5*(AC374+AC373)</f>
        <v>#DIV/0!</v>
      </c>
      <c r="BH374" s="467">
        <f>VaveBetaz*AY374</f>
        <v>0</v>
      </c>
      <c r="BI374" s="467"/>
      <c r="BJ374" s="467"/>
      <c r="BK374" s="123"/>
      <c r="BL374" s="123"/>
      <c r="BM374" s="123"/>
      <c r="BN374" s="123"/>
      <c r="BO374" s="123"/>
      <c r="BP374" s="123"/>
      <c r="BQ374" s="123"/>
      <c r="BR374" s="123"/>
      <c r="BS374" s="123"/>
      <c r="BT374" s="123"/>
      <c r="BU374" s="123"/>
      <c r="BV374" s="123"/>
      <c r="BW374" s="123"/>
      <c r="BX374" s="123"/>
      <c r="BY374" s="123"/>
      <c r="BZ374" s="123"/>
      <c r="CA374" s="123"/>
      <c r="CB374" s="123"/>
      <c r="CC374" s="123"/>
      <c r="CD374" s="123"/>
      <c r="CE374" s="123"/>
      <c r="CF374" s="122">
        <f>IF($E374=2,$F374,IF($E374=3,-0.001*$F374*$K374,0))</f>
        <v>0</v>
      </c>
      <c r="CG374" s="122">
        <f>IF($E374=3,$F374,0)</f>
        <v>3.33</v>
      </c>
      <c r="CH374" s="123"/>
      <c r="CI374" s="126"/>
      <c r="CJ374" s="123"/>
      <c r="CK374" s="127">
        <v>1</v>
      </c>
      <c r="CL374" s="127">
        <v>0</v>
      </c>
      <c r="CM374" s="122">
        <f>-VKl</f>
        <v>0</v>
      </c>
      <c r="CN374" s="127">
        <v>1</v>
      </c>
      <c r="CO374" s="123"/>
      <c r="CP374" s="123"/>
      <c r="CQ374" s="123"/>
      <c r="CR374" s="127">
        <v>1</v>
      </c>
      <c r="CS374" s="127">
        <v>0</v>
      </c>
      <c r="CT374" s="127">
        <f>VKl</f>
        <v>0</v>
      </c>
      <c r="CU374" s="127">
        <v>1</v>
      </c>
      <c r="CV374" s="123"/>
      <c r="CW374" s="127">
        <f>CW373*CK374+CY373*CL374</f>
        <v>0</v>
      </c>
      <c r="CX374" s="127">
        <f>CX373*CK374+CZ373*CL374</f>
        <v>0</v>
      </c>
      <c r="CY374" s="127">
        <f>CW373*CM374+CY373*CN374</f>
        <v>0</v>
      </c>
      <c r="CZ374" s="127">
        <f>CX373*CM374+CZ373*CN374</f>
        <v>0</v>
      </c>
      <c r="DA374" s="123"/>
      <c r="DB374" s="127">
        <f>DB373*CR374+DD373*CS374</f>
        <v>0</v>
      </c>
      <c r="DC374" s="127">
        <f>DC373*CR374+DE373*CS374</f>
        <v>0</v>
      </c>
      <c r="DD374" s="127">
        <f>DB373*CT374+DD373*CU374</f>
        <v>0</v>
      </c>
      <c r="DE374" s="127">
        <f>DC373*CT374+DE373*CU374</f>
        <v>0</v>
      </c>
      <c r="DF374" s="127"/>
      <c r="DG374" s="123"/>
      <c r="DH374" s="123"/>
      <c r="DI374" s="123"/>
      <c r="DJ374" s="123"/>
      <c r="DK374" s="123"/>
      <c r="DL374" s="128"/>
      <c r="DM374" s="128"/>
      <c r="DN374" s="426">
        <f>-VaveBetax*VKl+2*VHl*$BC374</f>
        <v>0</v>
      </c>
      <c r="DO374" s="426">
        <f>VaveBetaz*VKl-2*VHl*BH374</f>
        <v>0</v>
      </c>
      <c r="DP374" s="467" t="e">
        <f>IMPRODUCT(-1/8*VaveBetax*(VKl-2*VHl*$AY374),COMPLEX(COS(2*VmidMux),SIN(2*VmidMux)))</f>
        <v>#DIV/0!</v>
      </c>
      <c r="DQ374" s="427" t="e">
        <f>IMPRODUCT(1/8*VaveBetaz*(VKl-2*VHl*$AY374),COMPLEX(COS(2*VmidMuz),SIN(2*VmidMuz)))</f>
        <v>#DIV/0!</v>
      </c>
      <c r="DR374" s="427" t="e">
        <f>IMPRODUCT(-1/2*SQRT(VaveBetax)*(VKl-2*VHl*$AY374)*AY374,COMPLEX(COS(VmidMux),SIN(VmidMux)))</f>
        <v>#DIV/0!</v>
      </c>
      <c r="DS374" s="427" t="e">
        <f>IMPRODUCT(-1/8*VHl*VaveBetax^(3/2),COMPLEX(COS(VmidMux),SIN(VmidMux)))</f>
        <v>#DIV/0!</v>
      </c>
      <c r="DT374" s="427" t="e">
        <f>IMPRODUCT(-1/24*VHl*VaveBetax^(3/2),COMPLEX(COS(3*VmidMux),SIN(3*VmidMux)))</f>
        <v>#DIV/0!</v>
      </c>
      <c r="DU374" s="427" t="e">
        <f>IMPRODUCT(1/4*VHl*VaveBetax^(1/2)*VaveBetaz,COMPLEX(COS(VmidMux),SIN(VmidMux)))</f>
        <v>#DIV/0!</v>
      </c>
      <c r="DV374" s="427" t="e">
        <f>IMPRODUCT(1/8*VHl*VaveBetax^(1/2)*VaveBetaz,COMPLEX(COS(VmidMux-2*VmidMuz),SIN(VmidMux-2*VmidMuz)))</f>
        <v>#DIV/0!</v>
      </c>
      <c r="DW374" s="427" t="e">
        <f>IMPRODUCT(1/8*VHl*VaveBetax^(1/2)*VaveBetaz,COMPLEX(COS(VmidMux+2*VmidMuz),SIN(VmidMux+2*VmidMuz)))</f>
        <v>#DIV/0!</v>
      </c>
      <c r="DX374" s="427"/>
      <c r="DY374" s="427"/>
      <c r="DZ374" s="427"/>
      <c r="EA374" s="427"/>
      <c r="EB374" s="123"/>
      <c r="EC374" s="123"/>
      <c r="ED374" s="123"/>
      <c r="EE374" s="124"/>
      <c r="EF374" s="123"/>
      <c r="EG374" s="123"/>
      <c r="EH374" s="123"/>
      <c r="EI374" s="123"/>
      <c r="EJ374" s="123"/>
      <c r="EK374" s="123"/>
      <c r="EL374" s="123"/>
      <c r="EM374" s="123"/>
      <c r="EN374" s="123"/>
      <c r="EO374" s="123"/>
      <c r="EP374" s="123"/>
      <c r="EQ374" s="123"/>
      <c r="ER374" s="123"/>
      <c r="ES374" s="123"/>
      <c r="ET374" s="123"/>
      <c r="EU374" s="123"/>
      <c r="EW374" s="127" t="e">
        <f>IMPRODUCT(VKl*VaveBetax^(ABS(EW$5)/2)*VaveBetaz^(ABS(EW$6)/2),COMPLEX(COS(EW$5*VmidMux+EW$6*VmidMuz+EW$23*$R374),SIN(EW$5*VmidMux+EW$6*VmidMuz+EW$23*$R374)))</f>
        <v>#NUM!</v>
      </c>
      <c r="EX374" s="127" t="e">
        <f>IMPRODUCT(VKl*VaveBetax^(ABS(EX$5)/2)*VaveBetaz^(ABS(EX$6)/2),COMPLEX(COS(EX$5*VmidMux+EX$6*VmidMuz+EX$23*$R374),SIN(EX$5*VmidMux+EX$6*VmidMuz+EX$23*$R374)))</f>
        <v>#NUM!</v>
      </c>
      <c r="EY374" s="127" t="e">
        <f>IMPRODUCT(VHl*VaveBetax^(ABS(EY$5)/2)*VaveBetaz^(ABS(EY$6)/2),COMPLEX(COS(EY$5*VmidMux+EY$6*VmidMuz+EY$23*$R374),SIN(EY$5*VmidMux+EY$6*VmidMuz+EY$23*$R374)))</f>
        <v>#NUM!</v>
      </c>
      <c r="EZ374" s="127" t="e">
        <f>IMPRODUCT(VHl*VaveBetax^(ABS(EZ$5)/2)*VaveBetaz^(ABS(EZ$6)/2),COMPLEX(COS(EZ$5*VmidMux+EZ$6*VmidMuz+EZ$23*$R374),SIN(EZ$5*VmidMux+EZ$6*VmidMuz+EZ$23*$R374)))</f>
        <v>#DIV/0!</v>
      </c>
      <c r="FA374" s="127" t="e">
        <f>IMPRODUCT(VHl*VaveBetax^(ABS(FA$5)/2)*VaveBetaz^(ABS(FA$6)/2),COMPLEX(COS(FA$5*VmidMux+FA$6*VmidMuz+FA$23*$R374),SIN(FA$5*VmidMux+FA$6*VmidMuz+FA$23*$R374)))</f>
        <v>#DIV/0!</v>
      </c>
      <c r="FB374" s="127"/>
    </row>
    <row r="375" spans="1:158" s="129" customFormat="1" ht="15.75" customHeight="1" outlineLevel="1">
      <c r="A375" s="119"/>
      <c r="B375" s="119"/>
      <c r="C375" s="120"/>
      <c r="D375" s="121" t="s">
        <v>239</v>
      </c>
      <c r="E375" s="413">
        <v>4</v>
      </c>
      <c r="F375" s="414">
        <v>0</v>
      </c>
      <c r="G375" s="400"/>
      <c r="H375" s="400"/>
      <c r="I375" s="546"/>
      <c r="K375" s="411"/>
      <c r="L375" s="411"/>
      <c r="M375" s="419"/>
      <c r="N375" s="526"/>
      <c r="O375" s="128"/>
      <c r="P375" s="457"/>
      <c r="Q375" s="457"/>
      <c r="R375" s="122">
        <f t="shared" si="231"/>
        <v>0</v>
      </c>
      <c r="S375" s="122">
        <f t="shared" si="231"/>
        <v>0</v>
      </c>
      <c r="T375" s="122">
        <f t="shared" si="231"/>
        <v>0</v>
      </c>
      <c r="U375" s="122">
        <f t="shared" si="231"/>
        <v>0</v>
      </c>
      <c r="V375" s="123" t="e">
        <f>V374*CK375*CK375-2*W374*CK375*CL375+X374*CL375*CL375</f>
        <v>#DIV/0!</v>
      </c>
      <c r="W375" s="123" t="e">
        <f>-CM375*CK375*V374+(CK375*CN375+CL375*CM375)*W374-X374*CL375*CN375</f>
        <v>#DIV/0!</v>
      </c>
      <c r="X375" s="123" t="e">
        <f>(1+W375^2)/V375</f>
        <v>#DIV/0!</v>
      </c>
      <c r="Y375" s="123" t="e">
        <f>ATAN2(CN375*V375+CL375*W375,CL375)+Y374</f>
        <v>#DIV/0!</v>
      </c>
      <c r="Z375" s="123" t="e">
        <f>Z374*CR375*CR375-2*AA374*CR375*CS375+AB374*CS375*CS375</f>
        <v>#DIV/0!</v>
      </c>
      <c r="AA375" s="123" t="e">
        <f>-CT375*CR375*Z374+(CR375*CU375+CS375*CT375)*AA374-AB374*CS375*CU375</f>
        <v>#DIV/0!</v>
      </c>
      <c r="AB375" s="123" t="e">
        <f>(1+AA375^2)/Z375</f>
        <v>#DIV/0!</v>
      </c>
      <c r="AC375" s="123" t="e">
        <f>ATAN2(CU375*Z375+CS375*AA375,CS375)+AC374</f>
        <v>#DIV/0!</v>
      </c>
      <c r="AD375" s="122">
        <f>AD374</f>
        <v>0</v>
      </c>
      <c r="AE375" s="123">
        <f>AD374*$CM375+AE374</f>
        <v>0</v>
      </c>
      <c r="AF375" s="124">
        <f t="shared" si="232"/>
        <v>0</v>
      </c>
      <c r="AG375" s="123">
        <f t="shared" si="232"/>
        <v>0</v>
      </c>
      <c r="AH375" s="123">
        <f>AG374*$CM375+AH374</f>
        <v>0</v>
      </c>
      <c r="AI375" s="123">
        <f>AI374*$CK375+AJ374*$CL375+0.001*(1-$CK375)*$K375</f>
        <v>0</v>
      </c>
      <c r="AJ375" s="123">
        <f>AI374*$CM375+AJ374*$CN375-0.001*$CM375*$K375</f>
        <v>0</v>
      </c>
      <c r="AK375" s="123">
        <f>AK374*$CK375+AL374*$CL375+0.001*(1-$CK375)*$K375</f>
        <v>0</v>
      </c>
      <c r="AL375" s="123">
        <f>AK374*$CM375+AL374*$CN375-0.001*$CM375*$K375</f>
        <v>0</v>
      </c>
      <c r="AM375" s="123">
        <f>AM374*$CR375+AN374*$CS375+0.001*(1-$CR375)*$L375</f>
        <v>0</v>
      </c>
      <c r="AN375" s="123">
        <f>AM374*$CT375+AN374*$CU375-0.001*$CT375*$L375</f>
        <v>0</v>
      </c>
      <c r="AO375" s="123">
        <f>AO374*$CR375+AP374*$CS375+0.001*(1-$CR375)*$L375</f>
        <v>0</v>
      </c>
      <c r="AP375" s="123">
        <f>AO374*$CT375+AP374*$CU375-0.001*$CT375*$L375</f>
        <v>0</v>
      </c>
      <c r="AQ375" s="122" t="e">
        <f>SQRT(AV375*V375/1000000000+AX375*AX375*AD375*AD375)*1000</f>
        <v>#DIV/0!</v>
      </c>
      <c r="AR375" s="122" t="e">
        <f>SQRT(AW375*Z375/1000000000)*1000</f>
        <v>#DIV/0!</v>
      </c>
      <c r="AS375" s="122" t="e">
        <f>SQRT(AV375/1000000000*X375+AX375*AX375*AE375*AE375)*1000</f>
        <v>#DIV/0!</v>
      </c>
      <c r="AT375" s="122" t="e">
        <f>SQRT(AW375/1000000000*AB375)*1000</f>
        <v>#DIV/0!</v>
      </c>
      <c r="AU375" s="122" t="e">
        <f>SQRT((V375*AV375*0.000000001+AD375*AD375*AX375^2)*(X375*AV375*0.000000001+AE375*AE375*AX375^2)-(W375*AV375*0.000000001+AD375*AE375*AX375^2)^2)*1000000000</f>
        <v>#DIV/0!</v>
      </c>
      <c r="AV375" s="125">
        <f t="shared" si="230"/>
        <v>0</v>
      </c>
      <c r="AW375" s="125">
        <f t="shared" si="230"/>
        <v>0</v>
      </c>
      <c r="AX375" s="125">
        <f t="shared" si="230"/>
        <v>0</v>
      </c>
      <c r="AY375" s="426">
        <f>AD375</f>
        <v>0</v>
      </c>
      <c r="AZ375" s="426">
        <f>0.5*(AE374+AE375)</f>
        <v>0</v>
      </c>
      <c r="BA375" s="427" t="e">
        <f>V375</f>
        <v>#DIV/0!</v>
      </c>
      <c r="BB375" s="426" t="e">
        <f>0.5*(Y375+Y374)</f>
        <v>#DIV/0!</v>
      </c>
      <c r="BC375" s="467"/>
      <c r="BD375" s="467"/>
      <c r="BE375" s="467"/>
      <c r="BF375" s="427" t="e">
        <f>Z375</f>
        <v>#DIV/0!</v>
      </c>
      <c r="BG375" s="467" t="e">
        <f>0.5*(AC375+AC374)</f>
        <v>#DIV/0!</v>
      </c>
      <c r="BH375" s="467"/>
      <c r="BI375" s="467"/>
      <c r="BJ375" s="467"/>
      <c r="BK375" s="123"/>
      <c r="BL375" s="123"/>
      <c r="BM375" s="123"/>
      <c r="BN375" s="123"/>
      <c r="BO375" s="123"/>
      <c r="BP375" s="123"/>
      <c r="BQ375" s="123"/>
      <c r="BR375" s="123"/>
      <c r="BS375" s="123"/>
      <c r="BT375" s="123"/>
      <c r="BU375" s="123"/>
      <c r="BV375" s="123"/>
      <c r="BW375" s="123"/>
      <c r="BX375" s="123"/>
      <c r="BY375" s="123"/>
      <c r="BZ375" s="123"/>
      <c r="CA375" s="123"/>
      <c r="CB375" s="123"/>
      <c r="CC375" s="123"/>
      <c r="CD375" s="123"/>
      <c r="CE375" s="123"/>
      <c r="CF375" s="122"/>
      <c r="CG375" s="122"/>
      <c r="CH375" s="123"/>
      <c r="CI375" s="126"/>
      <c r="CJ375" s="123"/>
      <c r="CK375" s="127">
        <v>1</v>
      </c>
      <c r="CL375" s="127">
        <v>0</v>
      </c>
      <c r="CM375" s="127">
        <v>0</v>
      </c>
      <c r="CN375" s="127">
        <v>1</v>
      </c>
      <c r="CO375" s="123"/>
      <c r="CP375" s="123"/>
      <c r="CQ375" s="123"/>
      <c r="CR375" s="127">
        <v>1</v>
      </c>
      <c r="CS375" s="127">
        <v>0</v>
      </c>
      <c r="CT375" s="127">
        <v>0</v>
      </c>
      <c r="CU375" s="127">
        <v>1</v>
      </c>
      <c r="CV375" s="123"/>
      <c r="CW375" s="127">
        <f>CW374*CK375+CY374*CL375</f>
        <v>0</v>
      </c>
      <c r="CX375" s="127">
        <f>CX374*CK375+CZ374*CL375</f>
        <v>0</v>
      </c>
      <c r="CY375" s="127">
        <f>CW374*CM375+CY374*CN375</f>
        <v>0</v>
      </c>
      <c r="CZ375" s="127">
        <f>CX374*CM375+CZ374*CN375</f>
        <v>0</v>
      </c>
      <c r="DA375" s="123"/>
      <c r="DB375" s="127">
        <f>DB374*CR375+DD374*CS375</f>
        <v>0</v>
      </c>
      <c r="DC375" s="127">
        <f>DC374*CR375+DE374*CS375</f>
        <v>0</v>
      </c>
      <c r="DD375" s="127">
        <f>DB374*CT375+DD374*CU375</f>
        <v>0</v>
      </c>
      <c r="DE375" s="127">
        <f>DC374*CT375+DE374*CU375</f>
        <v>0</v>
      </c>
      <c r="DF375" s="127"/>
      <c r="DG375" s="123"/>
      <c r="DH375" s="123"/>
      <c r="DI375" s="123"/>
      <c r="DJ375" s="123"/>
      <c r="DK375" s="123"/>
      <c r="DL375" s="128"/>
      <c r="DM375" s="128"/>
      <c r="DN375" s="426"/>
      <c r="DO375" s="426"/>
      <c r="DP375" s="427"/>
      <c r="DQ375" s="427"/>
      <c r="DR375" s="427"/>
      <c r="DS375" s="427"/>
      <c r="DT375" s="427"/>
      <c r="DU375" s="427"/>
      <c r="DV375" s="427"/>
      <c r="DW375" s="427"/>
      <c r="DX375" s="427"/>
      <c r="DY375" s="427"/>
      <c r="DZ375" s="427"/>
      <c r="EA375" s="427"/>
      <c r="EB375" s="123"/>
      <c r="EC375" s="123"/>
      <c r="ED375" s="123"/>
      <c r="EE375" s="124"/>
      <c r="EF375" s="123"/>
      <c r="EG375" s="123"/>
      <c r="EH375" s="123"/>
      <c r="EI375" s="123"/>
      <c r="EJ375" s="123"/>
      <c r="EK375" s="123"/>
      <c r="EL375" s="123"/>
      <c r="EM375" s="123"/>
      <c r="EN375" s="123"/>
      <c r="EO375" s="123"/>
      <c r="EP375" s="123"/>
      <c r="EQ375" s="123"/>
      <c r="ER375" s="123"/>
      <c r="ES375" s="123"/>
      <c r="ET375" s="123"/>
      <c r="EU375" s="123"/>
      <c r="EW375" s="127"/>
      <c r="EX375" s="127"/>
      <c r="EY375" s="127"/>
      <c r="EZ375" s="127"/>
      <c r="FA375" s="127"/>
      <c r="FB375" s="127"/>
    </row>
    <row r="376" spans="1:158" s="54" customFormat="1" ht="15.75" customHeight="1" outlineLevel="1">
      <c r="A376" s="51"/>
      <c r="B376" s="51"/>
      <c r="C376" s="52" t="s">
        <v>1178</v>
      </c>
      <c r="D376" s="53" t="s">
        <v>770</v>
      </c>
      <c r="E376" s="397">
        <v>1</v>
      </c>
      <c r="F376" s="415">
        <v>5</v>
      </c>
      <c r="G376" s="398"/>
      <c r="H376" s="398"/>
      <c r="I376" s="547"/>
      <c r="J376" s="538"/>
      <c r="K376" s="398"/>
      <c r="L376" s="398"/>
      <c r="M376" s="509"/>
      <c r="N376" s="528"/>
      <c r="P376" s="465"/>
      <c r="Q376" s="430">
        <f>T_Energy/0.2998*CF376</f>
        <v>20.146764509673115</v>
      </c>
      <c r="R376" s="56">
        <f t="shared" si="231"/>
        <v>0</v>
      </c>
      <c r="S376" s="56">
        <f t="shared" si="231"/>
        <v>0</v>
      </c>
      <c r="T376" s="56">
        <f t="shared" si="231"/>
        <v>0</v>
      </c>
      <c r="U376" s="56">
        <f t="shared" si="231"/>
        <v>0</v>
      </c>
      <c r="V376" s="57" t="e">
        <f>V375*CK376*CK376-2*W375*CK376*CL376+X375*CL376*CL376</f>
        <v>#DIV/0!</v>
      </c>
      <c r="W376" s="57" t="e">
        <f>-CM376*CK376*V375+(CK376*CN376+CL376*CM376)*W375-X375*CL376*CN376</f>
        <v>#DIV/0!</v>
      </c>
      <c r="X376" s="57" t="e">
        <f>(1+W376^2)/V376</f>
        <v>#DIV/0!</v>
      </c>
      <c r="Y376" s="57" t="e">
        <f>ATAN2(CN376*V376+CL376*W376,CL376)+Y375</f>
        <v>#DIV/0!</v>
      </c>
      <c r="Z376" s="57" t="e">
        <f>Z375*CR376*CR376-2*AA375*CR376*CS376+AB375*CS376*CS376</f>
        <v>#DIV/0!</v>
      </c>
      <c r="AA376" s="57" t="e">
        <f>-CT376*CR376*Z375+(CR376*CU376+CS376*CT376)*AA375-AB375*CS376*CU376</f>
        <v>#DIV/0!</v>
      </c>
      <c r="AB376" s="57" t="e">
        <f>(1+AA376^2)/Z376</f>
        <v>#DIV/0!</v>
      </c>
      <c r="AC376" s="57" t="e">
        <f>ATAN2(CU376*Z376+CS376*AA376,CS376)+AC375</f>
        <v>#DIV/0!</v>
      </c>
      <c r="AD376" s="56">
        <f>AD375</f>
        <v>0</v>
      </c>
      <c r="AE376" s="57">
        <f>AD375*$CM376+AE375</f>
        <v>0</v>
      </c>
      <c r="AF376" s="58">
        <f t="shared" si="232"/>
        <v>0</v>
      </c>
      <c r="AG376" s="57">
        <f t="shared" si="232"/>
        <v>0</v>
      </c>
      <c r="AH376" s="57">
        <f>AG375*$CM376+AH375</f>
        <v>0</v>
      </c>
      <c r="AI376" s="57">
        <f>AI375*$CK376+AJ375*$CL376+0.001*(1-$CK376)*$K376</f>
        <v>0</v>
      </c>
      <c r="AJ376" s="57">
        <f>AI375*$CM376+AJ375*$CN376-0.001*$CM376*$K376</f>
        <v>0</v>
      </c>
      <c r="AK376" s="57">
        <f>AK375*$CK376+AL375*$CL376+0.001*(1-$CK376)*$K376</f>
        <v>0</v>
      </c>
      <c r="AL376" s="57">
        <f>AK375*$CM376+AL375*$CN376-0.001*$CM376*$K376</f>
        <v>0</v>
      </c>
      <c r="AM376" s="57">
        <f>AM375*$CR376+AN375*$CS376+0.001*(1-$CR376)*$L376</f>
        <v>0</v>
      </c>
      <c r="AN376" s="57">
        <f>AM375*$CT376+AN375*$CU376-0.001*$CT376*$L376</f>
        <v>0</v>
      </c>
      <c r="AO376" s="57">
        <f>AO375*$CR376+AP375*$CS376+0.001*(1-$CR376)*$L376</f>
        <v>0</v>
      </c>
      <c r="AP376" s="57">
        <f>AO375*$CT376+AP375*$CU376-0.001*$CT376*$L376</f>
        <v>0</v>
      </c>
      <c r="AQ376" s="56" t="e">
        <f>SQRT(AV376*V376/1000000000+AX376*AX376*AD376*AD376)*1000</f>
        <v>#DIV/0!</v>
      </c>
      <c r="AR376" s="56" t="e">
        <f>SQRT(AW376*Z376/1000000000)*1000</f>
        <v>#DIV/0!</v>
      </c>
      <c r="AS376" s="56" t="e">
        <f>SQRT(AV376/1000000000*X376+AX376*AX376*AE376*AE376)*1000</f>
        <v>#DIV/0!</v>
      </c>
      <c r="AT376" s="56" t="e">
        <f>SQRT(AW376/1000000000*AB376)*1000</f>
        <v>#DIV/0!</v>
      </c>
      <c r="AU376" s="56" t="e">
        <f>SQRT((V376*AV376*0.000000001+AD376*AD376*AX376^2)*(X376*AV376*0.000000001+AE376*AE376*AX376^2)-(W376*AV376*0.000000001+AD376*AE376*AX376^2)^2)*1000000000</f>
        <v>#DIV/0!</v>
      </c>
      <c r="AV376" s="59">
        <f t="shared" si="230"/>
        <v>0</v>
      </c>
      <c r="AW376" s="59">
        <f t="shared" si="230"/>
        <v>0</v>
      </c>
      <c r="AX376" s="59">
        <f t="shared" si="230"/>
        <v>0</v>
      </c>
      <c r="AY376" s="55">
        <f>AD376</f>
        <v>0</v>
      </c>
      <c r="AZ376" s="55">
        <f>0.5*(AE375+AE376)</f>
        <v>0</v>
      </c>
      <c r="BA376" s="430" t="e">
        <f>V376</f>
        <v>#DIV/0!</v>
      </c>
      <c r="BB376" s="55" t="e">
        <f>0.5*(Y376+Y375)</f>
        <v>#DIV/0!</v>
      </c>
      <c r="BC376" s="442" t="e">
        <f>VaveBetax*AY376</f>
        <v>#DIV/0!</v>
      </c>
      <c r="BD376" s="442"/>
      <c r="BE376" s="442"/>
      <c r="BF376" s="430" t="e">
        <f>Z376</f>
        <v>#DIV/0!</v>
      </c>
      <c r="BG376" s="442" t="e">
        <f>0.5*(AC376+AC375)</f>
        <v>#DIV/0!</v>
      </c>
      <c r="BH376" s="442" t="e">
        <f>VaveBetaz*AY376</f>
        <v>#DIV/0!</v>
      </c>
      <c r="BI376" s="442"/>
      <c r="BJ376" s="442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 t="e">
        <f>AY376^2*VaveBetaz*VHl^2</f>
        <v>#DIV/0!</v>
      </c>
      <c r="CB376" s="57"/>
      <c r="CC376" s="57" t="e">
        <f>VaveBetax*VaveBetaz*VHl^2</f>
        <v>#DIV/0!</v>
      </c>
      <c r="CD376" s="57" t="e">
        <f>(VaveBetax*VHl)^2</f>
        <v>#DIV/0!</v>
      </c>
      <c r="CE376" s="57" t="e">
        <f>(VaveBetaz*VHl)^2</f>
        <v>#DIV/0!</v>
      </c>
      <c r="CF376" s="56">
        <f>$E376-0.001*$F376*$K376</f>
        <v>1</v>
      </c>
      <c r="CG376" s="56">
        <f>$F376</f>
        <v>5</v>
      </c>
      <c r="CH376" s="57"/>
      <c r="CI376" s="60"/>
      <c r="CJ376" s="57"/>
      <c r="CK376" s="61">
        <v>1</v>
      </c>
      <c r="CL376" s="61">
        <v>0</v>
      </c>
      <c r="CM376" s="56">
        <f>-VKl</f>
        <v>-1</v>
      </c>
      <c r="CN376" s="61">
        <v>1</v>
      </c>
      <c r="CO376" s="57"/>
      <c r="CP376" s="57"/>
      <c r="CQ376" s="57"/>
      <c r="CR376" s="61">
        <v>1</v>
      </c>
      <c r="CS376" s="61">
        <v>0</v>
      </c>
      <c r="CT376" s="61">
        <f>VKl</f>
        <v>1</v>
      </c>
      <c r="CU376" s="61">
        <v>1</v>
      </c>
      <c r="CV376" s="57"/>
      <c r="CW376" s="61">
        <f>CW375*CK376+CY375*CL376</f>
        <v>0</v>
      </c>
      <c r="CX376" s="61">
        <f>CX375*CK376+CZ375*CL376</f>
        <v>0</v>
      </c>
      <c r="CY376" s="61">
        <f>CW375*CM376+CY375*CN376</f>
        <v>0</v>
      </c>
      <c r="CZ376" s="61">
        <f>CX375*CM376+CZ375*CN376</f>
        <v>0</v>
      </c>
      <c r="DA376" s="57"/>
      <c r="DB376" s="61">
        <f>DB375*CR376+DD375*CS376</f>
        <v>0</v>
      </c>
      <c r="DC376" s="61">
        <f>DC375*CR376+DE375*CS376</f>
        <v>0</v>
      </c>
      <c r="DD376" s="61">
        <f>DB375*CT376+DD375*CU376</f>
        <v>0</v>
      </c>
      <c r="DE376" s="61">
        <f>DC375*CT376+DE375*CU376</f>
        <v>0</v>
      </c>
      <c r="DF376" s="61"/>
      <c r="DG376" s="57"/>
      <c r="DH376" s="57"/>
      <c r="DI376" s="57"/>
      <c r="DJ376" s="57"/>
      <c r="DK376" s="57"/>
      <c r="DL376" s="62"/>
      <c r="DM376" s="62"/>
      <c r="DN376" s="55" t="e">
        <f>-VaveBetax*VKl+2*VHl*$BC376</f>
        <v>#DIV/0!</v>
      </c>
      <c r="DO376" s="55" t="e">
        <f>VaveBetaz*VKl-2*VHl*$BH376</f>
        <v>#DIV/0!</v>
      </c>
      <c r="DP376" s="442" t="e">
        <f>IMPRODUCT(-1/8*VaveBetax*(VKl-2*VHl*$AY376),COMPLEX(COS(2*VmidMux),SIN(2*VmidMux)))</f>
        <v>#DIV/0!</v>
      </c>
      <c r="DQ376" s="430" t="e">
        <f>IMPRODUCT(1/8*VaveBetaz*(VKl-2*VHl*$AY376),COMPLEX(COS(2*VmidMuz),SIN(2*VmidMuz)))</f>
        <v>#DIV/0!</v>
      </c>
      <c r="DR376" s="430" t="e">
        <f>IMPRODUCT(-1/2*SQRT(VaveBetax)*(VKl-2*VHl*$AY376)*AY376,COMPLEX(COS(VmidMux),SIN(VmidMux)))</f>
        <v>#DIV/0!</v>
      </c>
      <c r="DS376" s="430" t="e">
        <f>IMPRODUCT(-1/8*VHl*VaveBetax^(3/2),COMPLEX(COS(VmidMux),SIN(VmidMux)))</f>
        <v>#DIV/0!</v>
      </c>
      <c r="DT376" s="430" t="e">
        <f>IMPRODUCT(-1/24*VHl*VaveBetax^(3/2),COMPLEX(COS(3*VmidMux),SIN(3*VmidMux)))</f>
        <v>#DIV/0!</v>
      </c>
      <c r="DU376" s="430" t="e">
        <f>IMPRODUCT(1/4*VHl*VaveBetax^(1/2)*VaveBetaz,COMPLEX(COS(VmidMux),SIN(VmidMux)))</f>
        <v>#DIV/0!</v>
      </c>
      <c r="DV376" s="430" t="e">
        <f>IMPRODUCT(1/8*VHl*VaveBetax^(1/2)*VaveBetaz,COMPLEX(COS(VmidMux-2*VmidMuz),SIN(VmidMux-2*VmidMuz)))</f>
        <v>#DIV/0!</v>
      </c>
      <c r="DW376" s="430" t="e">
        <f>IMPRODUCT(1/8*VHl*VaveBetax^(1/2)*VaveBetaz,COMPLEX(COS(VmidMux+2*VmidMuz),SIN(VmidMux+2*VmidMuz)))</f>
        <v>#DIV/0!</v>
      </c>
      <c r="DX376" s="430"/>
      <c r="DY376" s="430"/>
      <c r="DZ376" s="430"/>
      <c r="EA376" s="430"/>
      <c r="EB376" s="57"/>
      <c r="EC376" s="57"/>
      <c r="ED376" s="57"/>
      <c r="EE376" s="58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W376" s="61" t="e">
        <f>IMPRODUCT(VKl*VaveBetax^(ABS(EW$5)/2)*VaveBetaz^(ABS(EW$6)/2),COMPLEX(COS(EW$5*VmidMux+EW$6*VmidMuz+EW$23*$R376),SIN(EW$5*VmidMux+EW$6*VmidMuz+EW$23*$R376)))</f>
        <v>#DIV/0!</v>
      </c>
      <c r="EX376" s="61" t="e">
        <f>IMPRODUCT(VKl*VaveBetax^(ABS(EX$5)/2)*VaveBetaz^(ABS(EX$6)/2),COMPLEX(COS(EX$5*VmidMux+EX$6*VmidMuz+EX$23*$R376),SIN(EX$5*VmidMux+EX$6*VmidMuz+EX$23*$R376)))</f>
        <v>#DIV/0!</v>
      </c>
      <c r="EY376" s="61" t="e">
        <f t="shared" ref="EY376:FA377" si="233">IMPRODUCT(VHl*VaveBetax^(ABS(EY$5)/2)*VaveBetaz^(ABS(EY$6)/2),COMPLEX(COS(EY$5*VmidMux+EY$6*VmidMuz+EY$23*$R376),SIN(EY$5*VmidMux+EY$6*VmidMuz+EY$23*$R376)))</f>
        <v>#DIV/0!</v>
      </c>
      <c r="EZ376" s="61" t="e">
        <f t="shared" si="233"/>
        <v>#DIV/0!</v>
      </c>
      <c r="FA376" s="61" t="e">
        <f t="shared" si="233"/>
        <v>#DIV/0!</v>
      </c>
      <c r="FB376" s="61"/>
    </row>
    <row r="377" spans="1:158" s="54" customFormat="1" ht="15.75" customHeight="1" outlineLevel="1">
      <c r="A377" s="51"/>
      <c r="B377" s="51"/>
      <c r="C377" s="52" t="s">
        <v>1178</v>
      </c>
      <c r="D377" s="53" t="s">
        <v>777</v>
      </c>
      <c r="E377" s="397">
        <v>5</v>
      </c>
      <c r="G377" s="399"/>
      <c r="H377" s="399"/>
      <c r="I377" s="548"/>
      <c r="K377" s="398"/>
      <c r="L377" s="398"/>
      <c r="M377" s="509"/>
      <c r="N377" s="528"/>
      <c r="O377" s="430"/>
      <c r="P377" s="465"/>
      <c r="Q377" s="465"/>
      <c r="R377" s="56">
        <f t="shared" si="231"/>
        <v>0</v>
      </c>
      <c r="S377" s="56">
        <f t="shared" si="231"/>
        <v>0</v>
      </c>
      <c r="T377" s="56">
        <f t="shared" si="231"/>
        <v>0</v>
      </c>
      <c r="U377" s="56">
        <f t="shared" si="231"/>
        <v>0</v>
      </c>
      <c r="V377" s="57" t="e">
        <f>V376*CK377*CK377-2*W376*CK377*CL377+X376*CL377*CL377</f>
        <v>#DIV/0!</v>
      </c>
      <c r="W377" s="57" t="e">
        <f>-CM377*CK377*V376+(CK377*CN377+CL377*CM377)*W376-X376*CL377*CN377</f>
        <v>#DIV/0!</v>
      </c>
      <c r="X377" s="57" t="e">
        <f>(1+W377^2)/V377</f>
        <v>#DIV/0!</v>
      </c>
      <c r="Y377" s="57" t="e">
        <f>ATAN2(CN377*V377+CL377*W377,CL377)+Y376</f>
        <v>#DIV/0!</v>
      </c>
      <c r="Z377" s="57" t="e">
        <f>Z376*CR377*CR377-2*AA376*CR377*CS377+AB376*CS377*CS377</f>
        <v>#DIV/0!</v>
      </c>
      <c r="AA377" s="57" t="e">
        <f>-CT377*CR377*Z376+(CR377*CU377+CS377*CT377)*AA376-AB376*CS377*CU377</f>
        <v>#DIV/0!</v>
      </c>
      <c r="AB377" s="57" t="e">
        <f>(1+AA377^2)/Z377</f>
        <v>#DIV/0!</v>
      </c>
      <c r="AC377" s="57" t="e">
        <f>ATAN2(CU377*Z377+CS377*AA377,CS377)+AC376</f>
        <v>#DIV/0!</v>
      </c>
      <c r="AD377" s="56">
        <f>AD376</f>
        <v>0</v>
      </c>
      <c r="AE377" s="57">
        <f>AD376*$CM377+AE376</f>
        <v>0</v>
      </c>
      <c r="AF377" s="58">
        <f t="shared" si="232"/>
        <v>0</v>
      </c>
      <c r="AG377" s="57">
        <f t="shared" si="232"/>
        <v>0</v>
      </c>
      <c r="AH377" s="57">
        <f>AG376*$CM377+AH376</f>
        <v>0</v>
      </c>
      <c r="AI377" s="57">
        <f>AI376*$CK377+AJ376*$CL377+0.001*(1-$CK377)*$K377</f>
        <v>0</v>
      </c>
      <c r="AJ377" s="57">
        <f>AI376*$CM377+AJ376*$CN377-0.001*$CM377*$K377</f>
        <v>0</v>
      </c>
      <c r="AK377" s="57">
        <f>AK376*$CK377+AL376*$CL377+0.001*(1-$CK377)*$K377</f>
        <v>0</v>
      </c>
      <c r="AL377" s="57">
        <f>AK376*$CM377+AL376*$CN377-0.001*$CM377*$K377</f>
        <v>0</v>
      </c>
      <c r="AM377" s="57">
        <f>AM376*$CR377+AN376*$CS377+0.001*(1-$CR377)*$L377</f>
        <v>0</v>
      </c>
      <c r="AN377" s="57">
        <f>AM376*$CT377+AN376*$CU377-0.001*$CT377*$L377</f>
        <v>0</v>
      </c>
      <c r="AO377" s="57">
        <f>AO376*$CR377+AP376*$CS377+0.001*(1-$CR377)*$L377</f>
        <v>0</v>
      </c>
      <c r="AP377" s="57">
        <f>AO376*$CT377+AP376*$CU377-0.001*$CT377*$L377</f>
        <v>0</v>
      </c>
      <c r="AQ377" s="56" t="e">
        <f>SQRT(AV377*V377/1000000000+AX377*AX377*AD377*AD377)*1000</f>
        <v>#DIV/0!</v>
      </c>
      <c r="AR377" s="56" t="e">
        <f>SQRT(AW377*Z377/1000000000)*1000</f>
        <v>#DIV/0!</v>
      </c>
      <c r="AS377" s="56" t="e">
        <f>SQRT(AV377/1000000000*X377+AX377*AX377*AE377*AE377)*1000</f>
        <v>#DIV/0!</v>
      </c>
      <c r="AT377" s="56" t="e">
        <f>SQRT(AW377/1000000000*AB377)*1000</f>
        <v>#DIV/0!</v>
      </c>
      <c r="AU377" s="56" t="e">
        <f>SQRT((V377*AV377*0.000000001+AD377*AD377*AX377^2)*(X377*AV377*0.000000001+AE377*AE377*AX377^2)-(W377*AV377*0.000000001+AD377*AE377*AX377^2)^2)*1000000000</f>
        <v>#DIV/0!</v>
      </c>
      <c r="AV377" s="59">
        <f t="shared" si="230"/>
        <v>0</v>
      </c>
      <c r="AW377" s="59">
        <f t="shared" si="230"/>
        <v>0</v>
      </c>
      <c r="AX377" s="59">
        <f t="shared" si="230"/>
        <v>0</v>
      </c>
      <c r="AY377" s="55">
        <f>AD377</f>
        <v>0</v>
      </c>
      <c r="AZ377" s="55">
        <f>0.5*(AE376+AE377)</f>
        <v>0</v>
      </c>
      <c r="BA377" s="430" t="e">
        <f>V377</f>
        <v>#DIV/0!</v>
      </c>
      <c r="BB377" s="55" t="e">
        <f>0.5*(Y377+Y376)</f>
        <v>#DIV/0!</v>
      </c>
      <c r="BC377" s="442" t="e">
        <f>VaveBetax*AY377</f>
        <v>#DIV/0!</v>
      </c>
      <c r="BD377" s="442"/>
      <c r="BE377" s="442"/>
      <c r="BF377" s="430" t="e">
        <f>Z377</f>
        <v>#DIV/0!</v>
      </c>
      <c r="BG377" s="442" t="e">
        <f>0.5*(AC377+AC376)</f>
        <v>#DIV/0!</v>
      </c>
      <c r="BH377" s="442" t="e">
        <f>VaveBetaz*AY377</f>
        <v>#DIV/0!</v>
      </c>
      <c r="BI377" s="442"/>
      <c r="BJ377" s="442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 t="e">
        <f>AY377^2*VaveBetaz*VHl^2</f>
        <v>#DIV/0!</v>
      </c>
      <c r="CB377" s="57"/>
      <c r="CC377" s="57" t="e">
        <f>VaveBetax*VaveBetaz*VKl^2</f>
        <v>#DIV/0!</v>
      </c>
      <c r="CD377" s="57" t="e">
        <f>(VaveBetax*VKl)^2</f>
        <v>#DIV/0!</v>
      </c>
      <c r="CE377" s="57" t="e">
        <f>(VaveBetaz*VKl)^2</f>
        <v>#DIV/0!</v>
      </c>
      <c r="CF377" s="56">
        <f>-0.001*$E377*$K377</f>
        <v>0</v>
      </c>
      <c r="CG377" s="56">
        <f>$E377</f>
        <v>5</v>
      </c>
      <c r="CH377" s="57"/>
      <c r="CI377" s="60"/>
      <c r="CJ377" s="57"/>
      <c r="CK377" s="61">
        <v>1</v>
      </c>
      <c r="CL377" s="61">
        <v>0</v>
      </c>
      <c r="CM377" s="56">
        <f>-VKl</f>
        <v>0</v>
      </c>
      <c r="CN377" s="61">
        <v>1</v>
      </c>
      <c r="CO377" s="57"/>
      <c r="CP377" s="57"/>
      <c r="CQ377" s="57"/>
      <c r="CR377" s="61">
        <v>1</v>
      </c>
      <c r="CS377" s="61">
        <v>0</v>
      </c>
      <c r="CT377" s="61">
        <f>VKl</f>
        <v>0</v>
      </c>
      <c r="CU377" s="61">
        <v>1</v>
      </c>
      <c r="CV377" s="57"/>
      <c r="CW377" s="61">
        <f>CW376*CK377+CY376*CL377</f>
        <v>0</v>
      </c>
      <c r="CX377" s="61">
        <f>CX376*CK377+CZ376*CL377</f>
        <v>0</v>
      </c>
      <c r="CY377" s="61">
        <f>CW376*CM377+CY376*CN377</f>
        <v>0</v>
      </c>
      <c r="CZ377" s="61">
        <f>CX376*CM377+CZ376*CN377</f>
        <v>0</v>
      </c>
      <c r="DA377" s="57"/>
      <c r="DB377" s="61">
        <f>DB376*CR377+DD376*CS377</f>
        <v>0</v>
      </c>
      <c r="DC377" s="61">
        <f>DC376*CR377+DE376*CS377</f>
        <v>0</v>
      </c>
      <c r="DD377" s="61">
        <f>DB376*CT377+DD376*CU377</f>
        <v>0</v>
      </c>
      <c r="DE377" s="61">
        <f>DC376*CT377+DE376*CU377</f>
        <v>0</v>
      </c>
      <c r="DF377" s="61"/>
      <c r="DG377" s="57"/>
      <c r="DH377" s="57"/>
      <c r="DI377" s="57"/>
      <c r="DJ377" s="57"/>
      <c r="DK377" s="57"/>
      <c r="DL377" s="62"/>
      <c r="DM377" s="62"/>
      <c r="DN377" s="55" t="e">
        <f>-VaveBetax*VKl+2*VHl*$BC377</f>
        <v>#DIV/0!</v>
      </c>
      <c r="DO377" s="55" t="e">
        <f>VaveBetaz*VKl-2*VHl*$BH377</f>
        <v>#DIV/0!</v>
      </c>
      <c r="DP377" s="430" t="e">
        <f>IMPRODUCT(1/8*V377*(-CM377+2*VHl*AD377),COMPLEX(COS(2*VmidMux),SIN(2*VmidMux)))</f>
        <v>#DIV/0!</v>
      </c>
      <c r="DQ377" s="430" t="e">
        <f>IMPRODUCT(-1/8*Z377*(-CM377+2*VHl*AD377),COMPLEX(COS(2*VmidMuz),SIN(2*VmidMuz)))</f>
        <v>#DIV/0!</v>
      </c>
      <c r="DR377" s="430" t="e">
        <f>IMPRODUCT(1/2*SQRT(V377)*AD377*(-CM377+2*VHl*AD377),COMPLEX(COS(Y377),SIN(Y377)))</f>
        <v>#DIV/0!</v>
      </c>
      <c r="DS377" s="430" t="e">
        <f>IMPRODUCT(-1/8*VHl*V377^(3/2),COMPLEX(COS(Y377),SIN(Y377)))</f>
        <v>#DIV/0!</v>
      </c>
      <c r="DT377" s="430" t="e">
        <f>IMPRODUCT(-1/24*VHl*V377^(3/2),COMPLEX(COS(3*Y377),SIN(3*Y377)))</f>
        <v>#DIV/0!</v>
      </c>
      <c r="DU377" s="430" t="e">
        <f>IMPRODUCT(1/4*VHl*V377^(1/2)*Z377,COMPLEX(COS(Y377),SIN(Y377)))</f>
        <v>#DIV/0!</v>
      </c>
      <c r="DV377" s="430" t="e">
        <f>IMPRODUCT(1/8*VHl*V377^(1/2)*Z377,COMPLEX(COS(Y377-2*AC377),SIN(Y377-2*AC377)))</f>
        <v>#DIV/0!</v>
      </c>
      <c r="DW377" s="430" t="e">
        <f>IMPRODUCT(1/8*VHl*V377^(1/2)*Z377,COMPLEX(COS(Y377+2*AC377),SIN(Y377+2*AC377)))</f>
        <v>#DIV/0!</v>
      </c>
      <c r="DX377" s="430"/>
      <c r="DY377" s="430"/>
      <c r="DZ377" s="430"/>
      <c r="EA377" s="430"/>
      <c r="EB377" s="57"/>
      <c r="EC377" s="57"/>
      <c r="ED377" s="57"/>
      <c r="EE377" s="58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W377" s="61" t="e">
        <f>IMPRODUCT(VKl*VaveBetax^(ABS(EW$5)/2)*VaveBetaz^(ABS(EW$6)/2),COMPLEX(COS(EW$5*VmidMux+EW$6*VmidMuz+EW$23*$R377),SIN(EW$5*VmidMux+EW$6*VmidMuz+EW$23*$R377)))</f>
        <v>#DIV/0!</v>
      </c>
      <c r="EX377" s="61" t="e">
        <f>IMPRODUCT(VKl*VaveBetax^(ABS(EX$5)/2)*VaveBetaz^(ABS(EX$6)/2),COMPLEX(COS(EX$5*VmidMux+EX$6*VmidMuz+EX$23*$R377),SIN(EX$5*VmidMux+EX$6*VmidMuz+EX$23*$R377)))</f>
        <v>#DIV/0!</v>
      </c>
      <c r="EY377" s="61" t="e">
        <f t="shared" si="233"/>
        <v>#DIV/0!</v>
      </c>
      <c r="EZ377" s="61" t="e">
        <f t="shared" si="233"/>
        <v>#DIV/0!</v>
      </c>
      <c r="FA377" s="61" t="e">
        <f t="shared" si="233"/>
        <v>#DIV/0!</v>
      </c>
      <c r="FB377" s="61"/>
    </row>
    <row r="378" spans="1:158" s="54" customFormat="1" ht="15.75" customHeight="1" outlineLevel="1">
      <c r="A378" s="51"/>
      <c r="B378" s="51"/>
      <c r="C378" s="476"/>
      <c r="D378" s="53"/>
      <c r="E378" s="477"/>
      <c r="G378" s="399"/>
      <c r="H378" s="399"/>
      <c r="I378" s="399"/>
      <c r="J378" s="399"/>
      <c r="K378" s="477"/>
      <c r="L378" s="477"/>
      <c r="M378" s="477"/>
      <c r="N378" s="62"/>
      <c r="O378" s="430"/>
      <c r="P378" s="465"/>
      <c r="Q378" s="465"/>
      <c r="R378" s="56"/>
      <c r="S378" s="56"/>
      <c r="T378" s="56"/>
      <c r="U378" s="56"/>
      <c r="V378" s="57"/>
      <c r="W378" s="57"/>
      <c r="X378" s="57"/>
      <c r="Y378" s="57"/>
      <c r="Z378" s="57"/>
      <c r="AA378" s="57"/>
      <c r="AB378" s="57"/>
      <c r="AC378" s="57"/>
      <c r="AD378" s="56"/>
      <c r="AE378" s="57"/>
      <c r="AF378" s="58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6"/>
      <c r="AR378" s="56"/>
      <c r="AS378" s="56"/>
      <c r="AT378" s="56"/>
      <c r="AU378" s="56"/>
      <c r="AV378" s="59"/>
      <c r="AW378" s="59"/>
      <c r="AX378" s="59"/>
      <c r="AY378" s="55"/>
      <c r="AZ378" s="55"/>
      <c r="BA378" s="430"/>
      <c r="BB378" s="55"/>
      <c r="BC378" s="442"/>
      <c r="BD378" s="442"/>
      <c r="BE378" s="442"/>
      <c r="BF378" s="430"/>
      <c r="BG378" s="442"/>
      <c r="BH378" s="442"/>
      <c r="BI378" s="442"/>
      <c r="BJ378" s="442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G378" s="56"/>
      <c r="CH378" s="57"/>
      <c r="CI378" s="60"/>
      <c r="CJ378" s="57"/>
      <c r="CK378" s="61"/>
      <c r="CL378" s="61"/>
      <c r="CM378" s="61"/>
      <c r="CN378" s="61"/>
      <c r="CO378" s="57"/>
      <c r="CP378" s="57"/>
      <c r="CQ378" s="57"/>
      <c r="CR378" s="61"/>
      <c r="CS378" s="61"/>
      <c r="CT378" s="61"/>
      <c r="CU378" s="61"/>
      <c r="CV378" s="57"/>
      <c r="CW378" s="61"/>
      <c r="CX378" s="61"/>
      <c r="CY378" s="61"/>
      <c r="CZ378" s="61"/>
      <c r="DA378" s="57"/>
      <c r="DB378" s="61"/>
      <c r="DC378" s="61"/>
      <c r="DD378" s="61"/>
      <c r="DE378" s="61"/>
      <c r="DF378" s="61"/>
      <c r="DG378" s="57"/>
      <c r="DH378" s="57"/>
      <c r="DI378" s="57"/>
      <c r="DJ378" s="57"/>
      <c r="DK378" s="57"/>
      <c r="DL378" s="62"/>
      <c r="DM378" s="62"/>
      <c r="DN378" s="55"/>
      <c r="DO378" s="55"/>
      <c r="DP378" s="430"/>
      <c r="DQ378" s="430"/>
      <c r="DR378" s="430"/>
      <c r="DS378" s="430"/>
      <c r="DT378" s="430"/>
      <c r="DU378" s="430"/>
      <c r="DV378" s="430"/>
      <c r="DW378" s="430"/>
      <c r="DX378" s="430"/>
      <c r="DY378" s="430"/>
      <c r="DZ378" s="430"/>
      <c r="EA378" s="430"/>
      <c r="EB378" s="57"/>
      <c r="EC378" s="57"/>
      <c r="ED378" s="57"/>
      <c r="EE378" s="58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W378" s="61"/>
      <c r="EX378" s="61"/>
      <c r="EY378" s="61"/>
      <c r="EZ378" s="61"/>
      <c r="FA378" s="61"/>
      <c r="FB378" s="61"/>
    </row>
    <row r="379" spans="1:158" ht="15.75" customHeight="1" outlineLevel="1">
      <c r="AY379" s="396"/>
      <c r="AZ379" s="396"/>
      <c r="BA379" s="436"/>
      <c r="BB379" s="409"/>
      <c r="BC379" s="396"/>
      <c r="BD379" s="396"/>
      <c r="BE379" s="396"/>
      <c r="BF379" s="436"/>
      <c r="BG379" s="396"/>
      <c r="BH379" s="396"/>
      <c r="BI379" s="396"/>
      <c r="BJ379" s="396"/>
    </row>
    <row r="380" spans="1:158" ht="15.75" customHeight="1" outlineLevel="1">
      <c r="D380" s="473" t="s">
        <v>439</v>
      </c>
      <c r="AY380" s="396"/>
      <c r="AZ380" s="396"/>
      <c r="BA380" s="436"/>
      <c r="BB380" s="409"/>
      <c r="BC380" s="396"/>
      <c r="BD380" s="396"/>
      <c r="BE380" s="396"/>
      <c r="BF380" s="436"/>
      <c r="BG380" s="396"/>
      <c r="BH380" s="396"/>
      <c r="BI380" s="396"/>
      <c r="BJ380" s="396"/>
    </row>
    <row r="381" spans="1:158" s="129" customFormat="1" ht="15.75" customHeight="1" outlineLevel="1">
      <c r="A381" s="119"/>
      <c r="B381" s="119"/>
      <c r="C381" s="120"/>
      <c r="D381" s="121" t="s">
        <v>729</v>
      </c>
      <c r="E381" s="521"/>
      <c r="F381" s="400"/>
      <c r="G381" s="400"/>
      <c r="H381" s="400"/>
      <c r="I381" s="511"/>
      <c r="J381" s="400"/>
      <c r="K381" s="400"/>
      <c r="L381" s="400"/>
      <c r="M381" s="512"/>
      <c r="N381" s="526"/>
      <c r="O381" s="128"/>
      <c r="P381" s="457"/>
      <c r="Q381" s="457"/>
      <c r="R381" s="122">
        <f t="shared" ref="R381:AE382" si="234">R380</f>
        <v>0</v>
      </c>
      <c r="S381" s="122">
        <f t="shared" si="234"/>
        <v>0</v>
      </c>
      <c r="T381" s="122">
        <f t="shared" si="234"/>
        <v>0</v>
      </c>
      <c r="U381" s="122">
        <f t="shared" si="234"/>
        <v>0</v>
      </c>
      <c r="V381" s="123">
        <f t="shared" si="234"/>
        <v>0</v>
      </c>
      <c r="W381" s="123">
        <f t="shared" si="234"/>
        <v>0</v>
      </c>
      <c r="X381" s="123">
        <f t="shared" si="234"/>
        <v>0</v>
      </c>
      <c r="Y381" s="123">
        <f t="shared" si="234"/>
        <v>0</v>
      </c>
      <c r="Z381" s="123">
        <f t="shared" si="234"/>
        <v>0</v>
      </c>
      <c r="AA381" s="123">
        <f t="shared" si="234"/>
        <v>0</v>
      </c>
      <c r="AB381" s="123">
        <f t="shared" si="234"/>
        <v>0</v>
      </c>
      <c r="AC381" s="123">
        <f t="shared" si="234"/>
        <v>0</v>
      </c>
      <c r="AD381" s="123">
        <f t="shared" si="234"/>
        <v>0</v>
      </c>
      <c r="AE381" s="123">
        <f t="shared" si="234"/>
        <v>0</v>
      </c>
      <c r="AF381" s="124">
        <f>AF380</f>
        <v>0</v>
      </c>
      <c r="AG381" s="123">
        <f t="shared" ref="AG381:AP382" si="235">AG380</f>
        <v>0</v>
      </c>
      <c r="AH381" s="123">
        <f t="shared" si="235"/>
        <v>0</v>
      </c>
      <c r="AI381" s="123">
        <f t="shared" si="235"/>
        <v>0</v>
      </c>
      <c r="AJ381" s="123">
        <f t="shared" si="235"/>
        <v>0</v>
      </c>
      <c r="AK381" s="123">
        <f t="shared" si="235"/>
        <v>0</v>
      </c>
      <c r="AL381" s="123">
        <f t="shared" si="235"/>
        <v>0</v>
      </c>
      <c r="AM381" s="123">
        <f t="shared" si="235"/>
        <v>0</v>
      </c>
      <c r="AN381" s="123">
        <f t="shared" si="235"/>
        <v>0</v>
      </c>
      <c r="AO381" s="123">
        <f t="shared" si="235"/>
        <v>0</v>
      </c>
      <c r="AP381" s="123">
        <f t="shared" si="235"/>
        <v>0</v>
      </c>
      <c r="AQ381" s="122">
        <f>SQRT(AV381*V381/1000000000+AX381*AX381*AD381*AD381)*1000</f>
        <v>0</v>
      </c>
      <c r="AR381" s="122">
        <f>SQRT(AW381*Z381/1000000000)*1000</f>
        <v>0</v>
      </c>
      <c r="AS381" s="122">
        <f>SQRT(AV381/1000000000*X381+AX381*AX381*AE381*AE381)*1000</f>
        <v>0</v>
      </c>
      <c r="AT381" s="122">
        <f>SQRT(AW381/1000000000*AB381)*1000</f>
        <v>0</v>
      </c>
      <c r="AU381" s="122">
        <f>SQRT((V381*AV381*0.000000001+AD381*AD381*AX381^2)*(X381*AV381*0.000000001+AE381*AE381*AX381^2)-(W381*AV381*0.000000001+AD381*AE381*AX381^2)^2)*1000000000</f>
        <v>0</v>
      </c>
      <c r="AV381" s="125">
        <f t="shared" ref="AV381:AX382" si="236">AV380</f>
        <v>0</v>
      </c>
      <c r="AW381" s="125">
        <f t="shared" si="236"/>
        <v>0</v>
      </c>
      <c r="AX381" s="125">
        <f t="shared" si="236"/>
        <v>0</v>
      </c>
      <c r="AY381" s="426">
        <f>AD381</f>
        <v>0</v>
      </c>
      <c r="AZ381" s="426">
        <f>0.5*(AE380+AE381)</f>
        <v>0</v>
      </c>
      <c r="BA381" s="427">
        <f>V381</f>
        <v>0</v>
      </c>
      <c r="BB381" s="426">
        <f>0.5*(Y381+Y380)</f>
        <v>0</v>
      </c>
      <c r="BC381" s="467"/>
      <c r="BD381" s="467"/>
      <c r="BE381" s="467"/>
      <c r="BF381" s="427">
        <f>Z381</f>
        <v>0</v>
      </c>
      <c r="BG381" s="467">
        <f>0.5*(AC381+AC380)</f>
        <v>0</v>
      </c>
      <c r="BH381" s="467"/>
      <c r="BI381" s="467"/>
      <c r="BJ381" s="467"/>
      <c r="BK381" s="123"/>
      <c r="BL381" s="123"/>
      <c r="BM381" s="123"/>
      <c r="BN381" s="123"/>
      <c r="BO381" s="123"/>
      <c r="BP381" s="123"/>
      <c r="BQ381" s="123"/>
      <c r="BR381" s="123"/>
      <c r="BS381" s="123"/>
      <c r="BT381" s="123"/>
      <c r="BU381" s="123"/>
      <c r="BV381" s="123"/>
      <c r="BW381" s="123"/>
      <c r="BX381" s="123"/>
      <c r="BY381" s="123"/>
      <c r="BZ381" s="123"/>
      <c r="CA381" s="123"/>
      <c r="CB381" s="123"/>
      <c r="CC381" s="123"/>
      <c r="CD381" s="123"/>
      <c r="CE381" s="123"/>
      <c r="CF381" s="122"/>
      <c r="CG381" s="122"/>
      <c r="CH381" s="123"/>
      <c r="CI381" s="126"/>
      <c r="CJ381" s="123"/>
      <c r="CK381" s="127"/>
      <c r="CL381" s="127"/>
      <c r="CM381" s="127"/>
      <c r="CN381" s="127"/>
      <c r="CO381" s="123"/>
      <c r="CP381" s="123"/>
      <c r="CQ381" s="123"/>
      <c r="CR381" s="127"/>
      <c r="CS381" s="127"/>
      <c r="CT381" s="127"/>
      <c r="CU381" s="127"/>
      <c r="CV381" s="123"/>
      <c r="CW381" s="127">
        <f t="shared" ref="CW381:CZ382" si="237">CW380</f>
        <v>0</v>
      </c>
      <c r="CX381" s="127">
        <f t="shared" si="237"/>
        <v>0</v>
      </c>
      <c r="CY381" s="127">
        <f t="shared" si="237"/>
        <v>0</v>
      </c>
      <c r="CZ381" s="127">
        <f t="shared" si="237"/>
        <v>0</v>
      </c>
      <c r="DA381" s="123"/>
      <c r="DB381" s="127">
        <f t="shared" ref="DB381:DE382" si="238">DB380</f>
        <v>0</v>
      </c>
      <c r="DC381" s="127">
        <f t="shared" si="238"/>
        <v>0</v>
      </c>
      <c r="DD381" s="127">
        <f t="shared" si="238"/>
        <v>0</v>
      </c>
      <c r="DE381" s="127">
        <f t="shared" si="238"/>
        <v>0</v>
      </c>
      <c r="DF381" s="127"/>
      <c r="DG381" s="123"/>
      <c r="DH381" s="123"/>
      <c r="DI381" s="123"/>
      <c r="DJ381" s="123"/>
      <c r="DK381" s="123"/>
      <c r="DL381" s="128"/>
      <c r="DM381" s="128"/>
      <c r="DN381" s="426"/>
      <c r="DO381" s="426"/>
      <c r="DP381" s="427"/>
      <c r="DQ381" s="427"/>
      <c r="DR381" s="427"/>
      <c r="DS381" s="427"/>
      <c r="DT381" s="427"/>
      <c r="DU381" s="427"/>
      <c r="DV381" s="427"/>
      <c r="DW381" s="427"/>
      <c r="DX381" s="427"/>
      <c r="DY381" s="427"/>
      <c r="DZ381" s="427"/>
      <c r="EA381" s="427"/>
      <c r="EB381" s="123"/>
      <c r="EC381" s="123"/>
      <c r="ED381" s="123"/>
      <c r="EE381" s="124"/>
      <c r="EF381" s="123"/>
      <c r="EG381" s="123"/>
      <c r="EH381" s="123"/>
      <c r="EI381" s="123"/>
      <c r="EJ381" s="123"/>
      <c r="EK381" s="123"/>
      <c r="EL381" s="123"/>
      <c r="EM381" s="123"/>
      <c r="EN381" s="123"/>
      <c r="EO381" s="123"/>
      <c r="EP381" s="123"/>
      <c r="EQ381" s="123"/>
      <c r="ER381" s="123"/>
      <c r="ES381" s="123"/>
      <c r="ET381" s="123"/>
      <c r="EU381" s="123"/>
      <c r="EW381" s="127"/>
      <c r="EX381" s="127"/>
      <c r="EY381" s="127"/>
      <c r="EZ381" s="127"/>
      <c r="FA381" s="127"/>
      <c r="FB381" s="127"/>
    </row>
    <row r="382" spans="1:158" s="129" customFormat="1" ht="15.75" customHeight="1" outlineLevel="1">
      <c r="A382" s="119"/>
      <c r="B382" s="119"/>
      <c r="C382" s="120"/>
      <c r="D382" s="121" t="s">
        <v>240</v>
      </c>
      <c r="E382" s="410">
        <v>-5.0000000000000001E-3</v>
      </c>
      <c r="F382" s="411">
        <v>5.0000000000000001E-3</v>
      </c>
      <c r="G382" s="411">
        <v>-5.0000000000000001E-3</v>
      </c>
      <c r="H382" s="411">
        <v>-5.0000000000000001E-3</v>
      </c>
      <c r="I382" s="511"/>
      <c r="J382" s="400"/>
      <c r="K382" s="400"/>
      <c r="L382" s="400"/>
      <c r="M382" s="512"/>
      <c r="N382" s="526"/>
      <c r="O382" s="128"/>
      <c r="P382" s="457"/>
      <c r="Q382" s="457"/>
      <c r="R382" s="122">
        <f t="shared" si="234"/>
        <v>0</v>
      </c>
      <c r="S382" s="122">
        <f t="shared" si="234"/>
        <v>0</v>
      </c>
      <c r="T382" s="122">
        <f t="shared" si="234"/>
        <v>0</v>
      </c>
      <c r="U382" s="122">
        <f t="shared" si="234"/>
        <v>0</v>
      </c>
      <c r="V382" s="123">
        <f t="shared" si="234"/>
        <v>0</v>
      </c>
      <c r="W382" s="123">
        <f t="shared" si="234"/>
        <v>0</v>
      </c>
      <c r="X382" s="123">
        <f t="shared" si="234"/>
        <v>0</v>
      </c>
      <c r="Y382" s="123">
        <f t="shared" si="234"/>
        <v>0</v>
      </c>
      <c r="Z382" s="123">
        <f t="shared" si="234"/>
        <v>0</v>
      </c>
      <c r="AA382" s="123">
        <f t="shared" si="234"/>
        <v>0</v>
      </c>
      <c r="AB382" s="123">
        <f t="shared" si="234"/>
        <v>0</v>
      </c>
      <c r="AC382" s="123">
        <f t="shared" si="234"/>
        <v>0</v>
      </c>
      <c r="AD382" s="123">
        <f t="shared" si="234"/>
        <v>0</v>
      </c>
      <c r="AE382" s="123">
        <f t="shared" si="234"/>
        <v>0</v>
      </c>
      <c r="AF382" s="124">
        <f>AF381</f>
        <v>0</v>
      </c>
      <c r="AG382" s="123">
        <f t="shared" si="235"/>
        <v>0</v>
      </c>
      <c r="AH382" s="123">
        <f t="shared" si="235"/>
        <v>0</v>
      </c>
      <c r="AI382" s="123">
        <f t="shared" si="235"/>
        <v>0</v>
      </c>
      <c r="AJ382" s="123">
        <f t="shared" si="235"/>
        <v>0</v>
      </c>
      <c r="AK382" s="123">
        <f t="shared" si="235"/>
        <v>0</v>
      </c>
      <c r="AL382" s="123">
        <f t="shared" si="235"/>
        <v>0</v>
      </c>
      <c r="AM382" s="123">
        <f t="shared" si="235"/>
        <v>0</v>
      </c>
      <c r="AN382" s="123">
        <f t="shared" si="235"/>
        <v>0</v>
      </c>
      <c r="AO382" s="123">
        <f t="shared" si="235"/>
        <v>0</v>
      </c>
      <c r="AP382" s="123">
        <f t="shared" si="235"/>
        <v>0</v>
      </c>
      <c r="AQ382" s="122">
        <f>SQRT(AV382*V382/1000000000+AX382*AX382*AD382*AD382)*1000</f>
        <v>0</v>
      </c>
      <c r="AR382" s="122">
        <f>SQRT(AW382*Z382/1000000000)*1000</f>
        <v>0</v>
      </c>
      <c r="AS382" s="122">
        <f>SQRT(AV382/1000000000*X382+AX382*AX382*AE382*AE382)*1000</f>
        <v>0</v>
      </c>
      <c r="AT382" s="122">
        <f>SQRT(AW382/1000000000*AB382)*1000</f>
        <v>0</v>
      </c>
      <c r="AU382" s="122">
        <f>SQRT((V382*AV382*0.000000001+AD382*AD382*AX382^2)*(X382*AV382*0.000000001+AE382*AE382*AX382^2)-(W382*AV382*0.000000001+AD382*AE382*AX382^2)^2)*1000000000</f>
        <v>0</v>
      </c>
      <c r="AV382" s="125">
        <f t="shared" si="236"/>
        <v>0</v>
      </c>
      <c r="AW382" s="125">
        <f t="shared" si="236"/>
        <v>0</v>
      </c>
      <c r="AX382" s="125">
        <f t="shared" si="236"/>
        <v>0</v>
      </c>
      <c r="AY382" s="426">
        <f>AD382</f>
        <v>0</v>
      </c>
      <c r="AZ382" s="426">
        <f>0.5*(AE381+AE382)</f>
        <v>0</v>
      </c>
      <c r="BA382" s="427">
        <f>V382</f>
        <v>0</v>
      </c>
      <c r="BB382" s="426">
        <f>0.5*(Y382+Y381)</f>
        <v>0</v>
      </c>
      <c r="BC382" s="467"/>
      <c r="BD382" s="467"/>
      <c r="BE382" s="467"/>
      <c r="BF382" s="427">
        <f>Z382</f>
        <v>0</v>
      </c>
      <c r="BG382" s="467">
        <f>0.5*(AC382+AC381)</f>
        <v>0</v>
      </c>
      <c r="BH382" s="467"/>
      <c r="BI382" s="467"/>
      <c r="BJ382" s="467"/>
      <c r="BK382" s="123"/>
      <c r="BL382" s="123"/>
      <c r="BM382" s="123"/>
      <c r="BN382" s="123"/>
      <c r="BO382" s="123"/>
      <c r="BP382" s="123"/>
      <c r="BQ382" s="123"/>
      <c r="BR382" s="123"/>
      <c r="BS382" s="123"/>
      <c r="BT382" s="123"/>
      <c r="BU382" s="123"/>
      <c r="BV382" s="123"/>
      <c r="BW382" s="123"/>
      <c r="BX382" s="123"/>
      <c r="BY382" s="123"/>
      <c r="BZ382" s="123"/>
      <c r="CA382" s="123"/>
      <c r="CB382" s="123"/>
      <c r="CC382" s="123"/>
      <c r="CD382" s="123"/>
      <c r="CE382" s="123"/>
      <c r="CF382" s="122"/>
      <c r="CG382" s="122"/>
      <c r="CH382" s="123"/>
      <c r="CI382" s="126"/>
      <c r="CJ382" s="123"/>
      <c r="CK382" s="127"/>
      <c r="CL382" s="127"/>
      <c r="CM382" s="127"/>
      <c r="CN382" s="127"/>
      <c r="CO382" s="123"/>
      <c r="CP382" s="123"/>
      <c r="CQ382" s="123"/>
      <c r="CR382" s="127"/>
      <c r="CS382" s="127"/>
      <c r="CT382" s="127"/>
      <c r="CU382" s="127"/>
      <c r="CV382" s="123"/>
      <c r="CW382" s="127">
        <f t="shared" si="237"/>
        <v>0</v>
      </c>
      <c r="CX382" s="127">
        <f t="shared" si="237"/>
        <v>0</v>
      </c>
      <c r="CY382" s="127">
        <f t="shared" si="237"/>
        <v>0</v>
      </c>
      <c r="CZ382" s="127">
        <f t="shared" si="237"/>
        <v>0</v>
      </c>
      <c r="DA382" s="123"/>
      <c r="DB382" s="127">
        <f t="shared" si="238"/>
        <v>0</v>
      </c>
      <c r="DC382" s="127">
        <f t="shared" si="238"/>
        <v>0</v>
      </c>
      <c r="DD382" s="127">
        <f t="shared" si="238"/>
        <v>0</v>
      </c>
      <c r="DE382" s="127">
        <f t="shared" si="238"/>
        <v>0</v>
      </c>
      <c r="DF382" s="127"/>
      <c r="DG382" s="123"/>
      <c r="DH382" s="123"/>
      <c r="DI382" s="123"/>
      <c r="DJ382" s="123"/>
      <c r="DK382" s="123"/>
      <c r="DL382" s="128"/>
      <c r="DM382" s="128"/>
      <c r="DN382" s="426"/>
      <c r="DO382" s="426"/>
      <c r="DP382" s="427"/>
      <c r="DQ382" s="427"/>
      <c r="DR382" s="427"/>
      <c r="DS382" s="427"/>
      <c r="DT382" s="427"/>
      <c r="DU382" s="427"/>
      <c r="DV382" s="427"/>
      <c r="DW382" s="427"/>
      <c r="DX382" s="427"/>
      <c r="DY382" s="427"/>
      <c r="DZ382" s="427"/>
      <c r="EA382" s="427"/>
      <c r="EB382" s="123"/>
      <c r="EC382" s="123"/>
      <c r="ED382" s="123"/>
      <c r="EE382" s="124"/>
      <c r="EF382" s="123"/>
      <c r="EG382" s="123"/>
      <c r="EH382" s="123"/>
      <c r="EI382" s="123"/>
      <c r="EJ382" s="123"/>
      <c r="EK382" s="123"/>
      <c r="EL382" s="123"/>
      <c r="EM382" s="123"/>
      <c r="EN382" s="123"/>
      <c r="EO382" s="123"/>
      <c r="EP382" s="123"/>
      <c r="EQ382" s="123"/>
      <c r="ER382" s="123"/>
      <c r="ES382" s="123"/>
      <c r="ET382" s="123"/>
      <c r="EU382" s="123"/>
      <c r="EW382" s="127"/>
      <c r="EX382" s="127"/>
      <c r="EY382" s="127"/>
      <c r="EZ382" s="127"/>
      <c r="FA382" s="127"/>
      <c r="FB382" s="127"/>
    </row>
    <row r="383" spans="1:158" ht="15.75" customHeight="1" outlineLevel="1">
      <c r="AY383" s="396"/>
      <c r="AZ383" s="396"/>
      <c r="BA383" s="436"/>
      <c r="BB383" s="409"/>
      <c r="BC383" s="396"/>
      <c r="BD383" s="396"/>
      <c r="BE383" s="396"/>
      <c r="BF383" s="436"/>
      <c r="BG383" s="396"/>
      <c r="BH383" s="396"/>
      <c r="BI383" s="396"/>
      <c r="BJ383" s="396"/>
    </row>
    <row r="384" spans="1:158" ht="15.75" customHeight="1" outlineLevel="1">
      <c r="AY384" s="396"/>
      <c r="AZ384" s="396"/>
      <c r="BA384" s="436"/>
      <c r="BB384" s="409"/>
      <c r="BC384" s="396"/>
      <c r="BD384" s="396"/>
      <c r="BE384" s="396"/>
      <c r="BF384" s="436"/>
      <c r="BG384" s="396"/>
      <c r="BH384" s="396"/>
      <c r="BI384" s="396"/>
      <c r="BJ384" s="396"/>
    </row>
    <row r="385" spans="1:158" ht="15.75" customHeight="1" outlineLevel="1">
      <c r="D385" s="474" t="s">
        <v>273</v>
      </c>
      <c r="AY385" s="396"/>
      <c r="AZ385" s="396"/>
      <c r="BA385" s="436"/>
      <c r="BB385" s="409"/>
      <c r="BC385" s="396"/>
      <c r="BD385" s="396"/>
      <c r="BE385" s="396"/>
      <c r="BF385" s="436"/>
      <c r="BG385" s="396"/>
      <c r="BH385" s="396"/>
      <c r="BI385" s="396"/>
      <c r="BJ385" s="396"/>
    </row>
    <row r="386" spans="1:158" s="151" customFormat="1" ht="15.75" customHeight="1" outlineLevel="1">
      <c r="A386" s="141"/>
      <c r="B386" s="141"/>
      <c r="C386" s="142"/>
      <c r="D386" s="143" t="s">
        <v>879</v>
      </c>
      <c r="E386" s="408">
        <v>15</v>
      </c>
      <c r="F386" s="408">
        <v>35</v>
      </c>
      <c r="G386" s="408">
        <v>0.5</v>
      </c>
      <c r="H386" s="408">
        <v>0.3</v>
      </c>
      <c r="I386" s="549"/>
      <c r="J386" s="513"/>
      <c r="K386" s="506"/>
      <c r="L386" s="506"/>
      <c r="M386" s="514"/>
      <c r="N386" s="534"/>
      <c r="O386" s="145"/>
      <c r="P386" s="466"/>
      <c r="Q386" s="466"/>
      <c r="R386" s="44">
        <f>R385+Vlength</f>
        <v>4.1833001326703778</v>
      </c>
      <c r="S386" s="44">
        <f>S385+U385*Vlength/SQRT(1+(U385)^2)</f>
        <v>0</v>
      </c>
      <c r="T386" s="44">
        <f>T385+Vlength/SQRT(1+(U385)^2)</f>
        <v>4.1833001326703778</v>
      </c>
      <c r="U386" s="144">
        <f>U385</f>
        <v>0</v>
      </c>
      <c r="V386" s="145">
        <f>V385*CK386*CK386-2*W385*CK386*CL386+X385*CL386*CL386</f>
        <v>0</v>
      </c>
      <c r="W386" s="145">
        <f>-CM386*CK386*V385+(CK386*CN386+CL386*CM386)*W385-X385*CL386*CN386</f>
        <v>0</v>
      </c>
      <c r="X386" s="145" t="e">
        <f>(1+W386^2)/V386</f>
        <v>#DIV/0!</v>
      </c>
      <c r="Y386" s="145" t="e">
        <f>ASIN(CL386/SQRT(V386*V385))+Y385</f>
        <v>#DIV/0!</v>
      </c>
      <c r="Z386" s="145"/>
      <c r="AA386" s="145"/>
      <c r="AB386" s="145"/>
      <c r="AC386" s="145"/>
      <c r="AD386" s="144">
        <f>AD385*$CK386+AE385*$CL386</f>
        <v>0</v>
      </c>
      <c r="AE386" s="145">
        <f>AD385*$CM386+AE385*$CN386</f>
        <v>0</v>
      </c>
      <c r="AF386" s="146">
        <f>AF385</f>
        <v>0</v>
      </c>
      <c r="AG386" s="145">
        <f>AG385*$CK386+AH385*$CL386</f>
        <v>0</v>
      </c>
      <c r="AH386" s="145">
        <f>AG385*$CM386+AH385*$CN386</f>
        <v>0</v>
      </c>
      <c r="AI386" s="145">
        <f>AI385*$CK386+AJ385*$CL386</f>
        <v>0</v>
      </c>
      <c r="AJ386" s="145">
        <f>AI385*$CM386+AJ385*$CN386+$E386</f>
        <v>15</v>
      </c>
      <c r="AK386" s="145">
        <f>AK385*$CK386+AL385*$CL386</f>
        <v>0</v>
      </c>
      <c r="AL386" s="145">
        <f>AK385*$CM386+AL385*$CN386+$E386</f>
        <v>15</v>
      </c>
      <c r="AM386" s="145"/>
      <c r="AN386" s="145"/>
      <c r="AO386" s="145"/>
      <c r="AP386" s="145"/>
      <c r="AQ386" s="144">
        <f>SQRT(AV386*V386/1000000000+AX386*AX386*AD386*AD386)*1000</f>
        <v>0</v>
      </c>
      <c r="AR386" s="144"/>
      <c r="AS386" s="144" t="e">
        <f>SQRT(AV386/1000000000*X386+AX386*AX386*AE386*AE386)*1000</f>
        <v>#DIV/0!</v>
      </c>
      <c r="AT386" s="144"/>
      <c r="AU386" s="144" t="e">
        <f>SQRT((V386*AV386*0.000000001+AD386*AD386*AX386^2)*(X386*AV386*0.000000001+AE386*AE386*AX386^2)-(W386*AV386*0.000000001+AD386*AE386*AX386^2)^2)*1000000000</f>
        <v>#DIV/0!</v>
      </c>
      <c r="AV386" s="147">
        <f t="shared" ref="AV386:AX387" si="239">AV385</f>
        <v>0</v>
      </c>
      <c r="AW386" s="147">
        <f t="shared" si="239"/>
        <v>0</v>
      </c>
      <c r="AX386" s="147">
        <f t="shared" si="239"/>
        <v>0</v>
      </c>
      <c r="AY386" s="77">
        <f>AD386</f>
        <v>0</v>
      </c>
      <c r="AZ386" s="77">
        <f>(AE386+AE385)/2</f>
        <v>0</v>
      </c>
      <c r="BA386" s="441"/>
      <c r="BB386" s="428">
        <f>0.5*(Z386+Z385)</f>
        <v>0</v>
      </c>
      <c r="BC386" s="43"/>
      <c r="BD386" s="43"/>
      <c r="BE386" s="43"/>
      <c r="BF386" s="441"/>
      <c r="BG386" s="43">
        <f>0.5*(AC386+AC385)</f>
        <v>0</v>
      </c>
      <c r="BH386" s="43"/>
      <c r="BI386" s="43"/>
      <c r="BJ386" s="43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4"/>
      <c r="CG386" s="144"/>
      <c r="CH386" s="145">
        <f>SQRT(F386*G386)</f>
        <v>4.1833001326703778</v>
      </c>
      <c r="CI386" s="148">
        <f>SQRT(F386/G386)</f>
        <v>8.3666002653407556</v>
      </c>
      <c r="CJ386" s="145">
        <f>2*PI()*H386</f>
        <v>1.8849555921538759</v>
      </c>
      <c r="CK386" s="149">
        <f>COS(CJ386)/CI386</f>
        <v>-3.6934595244746245E-2</v>
      </c>
      <c r="CL386" s="149">
        <f>Vlength*SIN(CJ386)</f>
        <v>3.9785548507945436</v>
      </c>
      <c r="CM386" s="149">
        <f>-SIN(CJ386)/Vlength</f>
        <v>-0.22734599147397391</v>
      </c>
      <c r="CN386" s="149">
        <f>CI386*COS(CJ386)</f>
        <v>-2.5854216671322372</v>
      </c>
      <c r="CO386" s="145"/>
      <c r="CP386" s="145"/>
      <c r="CQ386" s="145"/>
      <c r="CR386" s="149">
        <v>1</v>
      </c>
      <c r="CS386" s="149">
        <v>0</v>
      </c>
      <c r="CT386" s="149">
        <v>0</v>
      </c>
      <c r="CU386" s="149">
        <v>1</v>
      </c>
      <c r="CV386" s="145"/>
      <c r="CW386" s="149">
        <f>CW385*CK386+CY385*CL386</f>
        <v>0</v>
      </c>
      <c r="CX386" s="149">
        <f>CX385*CK386+CZ385*CL386</f>
        <v>0</v>
      </c>
      <c r="CY386" s="149">
        <f>CW385*CM386+CY385*CN386</f>
        <v>0</v>
      </c>
      <c r="CZ386" s="149">
        <f>CX385*CM386+CZ385*CN386</f>
        <v>0</v>
      </c>
      <c r="DA386" s="145"/>
      <c r="DB386" s="149">
        <f>DB385*CR386+DD385*CS386</f>
        <v>0</v>
      </c>
      <c r="DC386" s="149">
        <f>DC385*CR386+DE385*CS386</f>
        <v>0</v>
      </c>
      <c r="DD386" s="149">
        <f>DB385*CT386+DD385*CU386</f>
        <v>0</v>
      </c>
      <c r="DE386" s="149">
        <f>DC385*CT386+DE385*CU386</f>
        <v>0</v>
      </c>
      <c r="DF386" s="149"/>
      <c r="DG386" s="145"/>
      <c r="DH386" s="145"/>
      <c r="DI386" s="145"/>
      <c r="DJ386" s="145"/>
      <c r="DK386" s="145"/>
      <c r="DL386" s="150"/>
      <c r="DM386" s="150"/>
      <c r="DN386" s="440"/>
      <c r="DO386" s="440"/>
      <c r="DP386" s="441"/>
      <c r="DQ386" s="441"/>
      <c r="DR386" s="441"/>
      <c r="DS386" s="441"/>
      <c r="DT386" s="441"/>
      <c r="DU386" s="441"/>
      <c r="DV386" s="441"/>
      <c r="DW386" s="441"/>
      <c r="DX386" s="441"/>
      <c r="DY386" s="441"/>
      <c r="DZ386" s="441"/>
      <c r="EA386" s="441"/>
      <c r="EB386" s="145"/>
      <c r="EC386" s="145"/>
      <c r="ED386" s="145"/>
      <c r="EE386" s="146"/>
      <c r="EF386" s="146"/>
      <c r="EG386" s="146"/>
      <c r="EH386" s="145"/>
      <c r="EI386" s="145"/>
      <c r="EJ386" s="145"/>
      <c r="EK386" s="145"/>
      <c r="EL386" s="145"/>
      <c r="EM386" s="145"/>
      <c r="EN386" s="145"/>
      <c r="EO386" s="145"/>
      <c r="EP386" s="145"/>
      <c r="EQ386" s="145"/>
      <c r="ER386" s="145"/>
      <c r="ES386" s="145"/>
      <c r="ET386" s="145"/>
      <c r="EU386" s="145"/>
      <c r="EW386" s="149"/>
      <c r="EX386" s="149"/>
      <c r="EY386" s="149"/>
      <c r="EZ386" s="149"/>
      <c r="FA386" s="149"/>
      <c r="FB386" s="149"/>
    </row>
    <row r="387" spans="1:158" s="151" customFormat="1" ht="15.75" customHeight="1" outlineLevel="1">
      <c r="A387" s="141"/>
      <c r="B387" s="141"/>
      <c r="C387" s="142"/>
      <c r="D387" s="143" t="s">
        <v>705</v>
      </c>
      <c r="E387" s="408">
        <v>15</v>
      </c>
      <c r="F387" s="408">
        <v>35</v>
      </c>
      <c r="G387" s="408">
        <v>0.5</v>
      </c>
      <c r="H387" s="408">
        <v>0.3</v>
      </c>
      <c r="I387" s="549"/>
      <c r="J387" s="513"/>
      <c r="K387" s="506"/>
      <c r="L387" s="506"/>
      <c r="M387" s="514"/>
      <c r="N387" s="534"/>
      <c r="O387" s="145"/>
      <c r="P387" s="466"/>
      <c r="Q387" s="466"/>
      <c r="R387" s="44">
        <f>R386+Vlength</f>
        <v>8.3666002653407556</v>
      </c>
      <c r="S387" s="44">
        <f>S386+U386*Vlength/SQRT(1+(U386)^2)</f>
        <v>0</v>
      </c>
      <c r="T387" s="44">
        <f>T386+Vlength/SQRT(1+(U386)^2)</f>
        <v>8.3666002653407556</v>
      </c>
      <c r="U387" s="144">
        <f>U386</f>
        <v>0</v>
      </c>
      <c r="V387" s="145"/>
      <c r="W387" s="145"/>
      <c r="X387" s="145"/>
      <c r="Y387" s="145"/>
      <c r="Z387" s="145">
        <f>Z386*CR387*CR387-2*AA386*CR387*CS387+AB386*CS387*CS387</f>
        <v>0</v>
      </c>
      <c r="AA387" s="145">
        <f>-CT387*CR387*Z386+(CR387*CU387+CS387*CT387)*AA386-AB386*CS387*CU387</f>
        <v>0</v>
      </c>
      <c r="AB387" s="145" t="e">
        <f>(1+AA387^2)/Z387</f>
        <v>#DIV/0!</v>
      </c>
      <c r="AC387" s="145" t="e">
        <f>ASIN(CS387/SQRT(Z387*Z386))+AC386</f>
        <v>#DIV/0!</v>
      </c>
      <c r="AD387" s="144"/>
      <c r="AE387" s="145"/>
      <c r="AF387" s="146"/>
      <c r="AG387" s="145"/>
      <c r="AH387" s="145"/>
      <c r="AI387" s="145"/>
      <c r="AJ387" s="145"/>
      <c r="AK387" s="145"/>
      <c r="AL387" s="145"/>
      <c r="AM387" s="145">
        <f>AM386*$CR387+AN386*$CS387</f>
        <v>0</v>
      </c>
      <c r="AN387" s="145">
        <f>AM386*$CT387+AN386*$CU387+$F387</f>
        <v>35</v>
      </c>
      <c r="AO387" s="145">
        <f>AO386*$CR387+AP386*$CS387</f>
        <v>0</v>
      </c>
      <c r="AP387" s="145">
        <f>AO386*$CT387+AP386*$CU387+$F387</f>
        <v>35</v>
      </c>
      <c r="AQ387" s="144"/>
      <c r="AR387" s="144">
        <f>SQRT(AW387*Z387/1000000000)*1000</f>
        <v>0</v>
      </c>
      <c r="AS387" s="144"/>
      <c r="AT387" s="144" t="e">
        <f>SQRT(AW387/1000000000*AB387)*1000</f>
        <v>#DIV/0!</v>
      </c>
      <c r="AU387" s="144">
        <f>SQRT((V387*AV387*0.000000001+AD387*AD387*AX387^2)*(X387*AV387*0.000000001+AE387*AE387*AX387^2)-(W387*AV387*0.000000001+AD387*AE387*AX387^2)^2)*1000000000</f>
        <v>0</v>
      </c>
      <c r="AV387" s="147">
        <f t="shared" si="239"/>
        <v>0</v>
      </c>
      <c r="AW387" s="147">
        <f t="shared" si="239"/>
        <v>0</v>
      </c>
      <c r="AX387" s="147">
        <f t="shared" si="239"/>
        <v>0</v>
      </c>
      <c r="AY387" s="77">
        <f>AD387</f>
        <v>0</v>
      </c>
      <c r="AZ387" s="77">
        <f>(AE387+AE386)/2</f>
        <v>0</v>
      </c>
      <c r="BA387" s="441"/>
      <c r="BB387" s="428">
        <f>0.5*(Z387+Z386)</f>
        <v>0</v>
      </c>
      <c r="BC387" s="43"/>
      <c r="BD387" s="43"/>
      <c r="BE387" s="43"/>
      <c r="BF387" s="441"/>
      <c r="BG387" s="43" t="e">
        <f>0.5*(AC387+AC386)</f>
        <v>#DIV/0!</v>
      </c>
      <c r="BH387" s="43"/>
      <c r="BI387" s="43"/>
      <c r="BJ387" s="43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4"/>
      <c r="CG387" s="144"/>
      <c r="CH387" s="145">
        <f>SQRT(F387*G387)</f>
        <v>4.1833001326703778</v>
      </c>
      <c r="CI387" s="148">
        <f>SQRT(F387/G387)</f>
        <v>8.3666002653407556</v>
      </c>
      <c r="CK387" s="149">
        <v>1</v>
      </c>
      <c r="CL387" s="149">
        <v>0</v>
      </c>
      <c r="CM387" s="149">
        <v>0</v>
      </c>
      <c r="CN387" s="149">
        <v>1</v>
      </c>
      <c r="CO387" s="145"/>
      <c r="CP387" s="145"/>
      <c r="CQ387" s="145">
        <f>2*PI()*H387</f>
        <v>1.8849555921538759</v>
      </c>
      <c r="CR387" s="149">
        <f>COS(CQ387)/CI387</f>
        <v>-3.6934595244746245E-2</v>
      </c>
      <c r="CS387" s="149">
        <f>Vlength*SIN(CQ387)</f>
        <v>3.9785548507945436</v>
      </c>
      <c r="CT387" s="149">
        <f>-SIN(CQ387)/Vlength</f>
        <v>-0.22734599147397391</v>
      </c>
      <c r="CU387" s="149">
        <f>CI387*COS(CQ387)</f>
        <v>-2.5854216671322372</v>
      </c>
      <c r="CV387" s="145"/>
      <c r="CW387" s="149">
        <f>CW386*CK387+CY386*CL387</f>
        <v>0</v>
      </c>
      <c r="CX387" s="149">
        <f>CX386*CK387+CZ386*CL387</f>
        <v>0</v>
      </c>
      <c r="CY387" s="149">
        <f>CW386*CM387+CY386*CN387</f>
        <v>0</v>
      </c>
      <c r="CZ387" s="149">
        <f>CX386*CM387+CZ386*CN387</f>
        <v>0</v>
      </c>
      <c r="DA387" s="145"/>
      <c r="DB387" s="149">
        <f>DB386*CR387+DD386*CS387</f>
        <v>0</v>
      </c>
      <c r="DC387" s="149">
        <f>DC386*CR387+DE386*CS387</f>
        <v>0</v>
      </c>
      <c r="DD387" s="149">
        <f>DB386*CT387+DD386*CU387</f>
        <v>0</v>
      </c>
      <c r="DE387" s="149">
        <f>DC386*CT387+DE386*CU387</f>
        <v>0</v>
      </c>
      <c r="DF387" s="149"/>
      <c r="DG387" s="145"/>
      <c r="DH387" s="145"/>
      <c r="DI387" s="145"/>
      <c r="DJ387" s="145"/>
      <c r="DK387" s="145"/>
      <c r="DL387" s="150"/>
      <c r="DM387" s="150"/>
      <c r="DN387" s="440"/>
      <c r="DO387" s="440"/>
      <c r="DP387" s="441"/>
      <c r="DQ387" s="441"/>
      <c r="DR387" s="441"/>
      <c r="DS387" s="441"/>
      <c r="DT387" s="441"/>
      <c r="DU387" s="441"/>
      <c r="DV387" s="441"/>
      <c r="DW387" s="441"/>
      <c r="DX387" s="441"/>
      <c r="DY387" s="441"/>
      <c r="DZ387" s="441"/>
      <c r="EA387" s="441"/>
      <c r="EB387" s="145"/>
      <c r="EC387" s="145"/>
      <c r="ED387" s="145"/>
      <c r="EE387" s="146"/>
      <c r="EF387" s="146"/>
      <c r="EG387" s="146"/>
      <c r="EH387" s="145"/>
      <c r="EI387" s="145"/>
      <c r="EJ387" s="145"/>
      <c r="EK387" s="145"/>
      <c r="EL387" s="145"/>
      <c r="EM387" s="145"/>
      <c r="EN387" s="145"/>
      <c r="EO387" s="145"/>
      <c r="EP387" s="145"/>
      <c r="EQ387" s="145"/>
      <c r="ER387" s="145"/>
      <c r="ES387" s="145"/>
      <c r="ET387" s="145"/>
      <c r="EU387" s="145"/>
      <c r="EW387" s="149"/>
      <c r="EX387" s="149"/>
      <c r="EY387" s="149"/>
      <c r="EZ387" s="149"/>
      <c r="FA387" s="149"/>
      <c r="FB387" s="149"/>
    </row>
    <row r="388" spans="1:158" ht="15.75" customHeight="1" outlineLevel="1"/>
    <row r="389" spans="1:158" ht="15.75" customHeight="1" outlineLevel="1"/>
  </sheetData>
  <sheetProtection formatCells="0" formatColumns="0" formatRows="0" insertColumns="0" insertRows="0" insertHyperlinks="0" deleteColumns="0" deleteRows="0"/>
  <phoneticPr fontId="3"/>
  <pageMargins left="0.75" right="0.75" top="1" bottom="1" header="0.5" footer="0.5"/>
  <pageSetup paperSize="9" orientation="portrait" horizontalDpi="360" verticalDpi="36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outlinePr summaryBelow="0" summaryRight="0"/>
    <pageSetUpPr autoPageBreaks="0"/>
  </sheetPr>
  <dimension ref="A1:CL200"/>
  <sheetViews>
    <sheetView zoomScaleNormal="100" workbookViewId="0">
      <selection activeCell="C28" sqref="C28"/>
    </sheetView>
  </sheetViews>
  <sheetFormatPr defaultColWidth="11.42578125" defaultRowHeight="12.75" outlineLevelRow="1"/>
  <cols>
    <col min="1" max="1" width="4.85546875" style="248" customWidth="1"/>
    <col min="2" max="2" width="10.7109375" customWidth="1"/>
    <col min="3" max="8" width="11" customWidth="1"/>
  </cols>
  <sheetData>
    <row r="1" spans="1:90" s="2" customFormat="1" ht="15.75" customHeight="1" collapsed="1">
      <c r="B1" s="1" t="s">
        <v>972</v>
      </c>
      <c r="D1" s="3"/>
    </row>
    <row r="2" spans="1:90" s="7" customFormat="1" ht="14.25" hidden="1" customHeight="1" outlineLevel="1">
      <c r="A2" s="2"/>
      <c r="B2" s="325" t="s">
        <v>700</v>
      </c>
      <c r="C2" s="25"/>
      <c r="D2" s="112"/>
      <c r="E2" s="112"/>
      <c r="F2" s="112"/>
      <c r="G2" s="17"/>
      <c r="H2" s="8"/>
      <c r="I2" s="8"/>
      <c r="J2" s="8"/>
      <c r="K2" s="8" t="s">
        <v>526</v>
      </c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</row>
    <row r="3" spans="1:90" s="7" customFormat="1" ht="14.25" hidden="1" customHeight="1" outlineLevel="1">
      <c r="A3" s="2"/>
      <c r="C3" s="326" t="s">
        <v>874</v>
      </c>
      <c r="D3" s="112"/>
      <c r="E3" s="112"/>
      <c r="F3" s="112"/>
      <c r="G3" s="17"/>
      <c r="H3" s="8"/>
      <c r="I3" s="8"/>
      <c r="J3" s="8"/>
      <c r="K3" s="274" t="s">
        <v>871</v>
      </c>
      <c r="L3" s="300">
        <f>Table!$V$24</f>
        <v>35.11760478118476</v>
      </c>
      <c r="M3" s="298"/>
      <c r="N3" s="300">
        <f>Table!$Z$24</f>
        <v>2.5242585406279678</v>
      </c>
      <c r="O3" s="297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</row>
    <row r="4" spans="1:90" s="7" customFormat="1" ht="14.25" hidden="1" customHeight="1" outlineLevel="1">
      <c r="A4" s="2"/>
      <c r="C4" s="7" t="s">
        <v>199</v>
      </c>
      <c r="D4" s="112"/>
      <c r="E4" s="112"/>
      <c r="F4" s="112"/>
      <c r="G4" s="17"/>
      <c r="H4" s="8"/>
      <c r="I4" s="8"/>
      <c r="J4" s="8"/>
      <c r="K4" s="275" t="s">
        <v>872</v>
      </c>
      <c r="L4" s="300">
        <f>Table!$W$24</f>
        <v>0</v>
      </c>
      <c r="M4" s="298"/>
      <c r="N4" s="300">
        <f>Table!$AA$24</f>
        <v>0</v>
      </c>
      <c r="O4" s="297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</row>
    <row r="5" spans="1:90" s="7" customFormat="1" ht="14.25" hidden="1" customHeight="1" outlineLevel="1">
      <c r="A5" s="2"/>
      <c r="C5" s="7" t="s">
        <v>200</v>
      </c>
      <c r="D5" s="112"/>
      <c r="E5" s="112"/>
      <c r="F5" s="112"/>
      <c r="G5" s="17"/>
      <c r="H5" s="8"/>
      <c r="I5" s="8"/>
      <c r="J5" s="8"/>
      <c r="K5" s="275" t="s">
        <v>873</v>
      </c>
      <c r="L5" s="301">
        <f>Table!$X$24</f>
        <v>2.8475746174345524E-2</v>
      </c>
      <c r="M5" s="302"/>
      <c r="N5" s="301">
        <f>Table!$AB$24</f>
        <v>0.39615593407132804</v>
      </c>
      <c r="O5" s="302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</row>
    <row r="6" spans="1:90" s="7" customFormat="1" ht="14.25" hidden="1" customHeight="1" outlineLevel="1">
      <c r="A6" s="2"/>
      <c r="C6" s="7" t="s">
        <v>147</v>
      </c>
      <c r="D6" s="112"/>
      <c r="E6" s="112"/>
      <c r="F6" s="112"/>
      <c r="G6" s="17"/>
      <c r="H6" s="8"/>
      <c r="I6" s="8"/>
      <c r="J6" s="8"/>
      <c r="K6" s="265" t="s">
        <v>527</v>
      </c>
      <c r="L6" s="294">
        <f>Table!AD24</f>
        <v>0.13486265405961981</v>
      </c>
      <c r="M6" s="294">
        <f>Table!AE24</f>
        <v>0</v>
      </c>
      <c r="N6" s="294">
        <v>0</v>
      </c>
      <c r="O6" s="294">
        <v>0</v>
      </c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</row>
    <row r="7" spans="1:90" s="7" customFormat="1" ht="14.25" hidden="1" customHeight="1" outlineLevel="1">
      <c r="A7" s="2"/>
      <c r="C7" s="7" t="s">
        <v>306</v>
      </c>
      <c r="D7" s="112"/>
      <c r="E7" s="112"/>
      <c r="F7" s="112"/>
      <c r="G7" s="17"/>
      <c r="H7" s="8"/>
      <c r="I7" s="8"/>
      <c r="J7" s="8"/>
      <c r="K7" s="268" t="s">
        <v>135</v>
      </c>
      <c r="L7" s="295">
        <f>Table!H119</f>
        <v>0.27934449360335156</v>
      </c>
      <c r="M7" s="295"/>
      <c r="N7" s="296">
        <f>Table!H121</f>
        <v>0.89901090954628393</v>
      </c>
      <c r="O7" s="26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</row>
    <row r="8" spans="1:90" s="7" customFormat="1" ht="14.25" hidden="1" customHeight="1" outlineLevel="1">
      <c r="A8" s="2"/>
      <c r="C8" s="7" t="s">
        <v>462</v>
      </c>
      <c r="D8" s="112"/>
      <c r="E8" s="112"/>
      <c r="F8" s="112"/>
      <c r="G8" s="17"/>
      <c r="H8" s="8"/>
      <c r="I8" s="8"/>
      <c r="J8" s="8"/>
      <c r="K8" s="268" t="s">
        <v>193</v>
      </c>
      <c r="L8" s="296">
        <f>Table!D153</f>
        <v>36.469511897653589</v>
      </c>
      <c r="M8" s="297"/>
      <c r="N8" s="298">
        <f>Table!D154</f>
        <v>14.384174552740534</v>
      </c>
      <c r="O8" s="292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</row>
    <row r="9" spans="1:90" s="7" customFormat="1" ht="14.25" hidden="1" customHeight="1" outlineLevel="1">
      <c r="A9" s="2"/>
      <c r="C9" s="7" t="s">
        <v>461</v>
      </c>
      <c r="D9" s="112"/>
      <c r="E9" s="112"/>
      <c r="F9" s="112"/>
      <c r="G9" s="17"/>
      <c r="H9" s="8"/>
      <c r="I9" s="8"/>
      <c r="J9" s="8"/>
      <c r="K9" s="269" t="s">
        <v>1185</v>
      </c>
      <c r="L9" s="269">
        <f>Table!D149</f>
        <v>16</v>
      </c>
      <c r="M9" s="266"/>
      <c r="N9" s="292"/>
      <c r="O9" s="292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</row>
    <row r="10" spans="1:90" s="7" customFormat="1" ht="14.25" hidden="1" customHeight="1" outlineLevel="1">
      <c r="A10" s="2"/>
      <c r="C10" s="7" t="s">
        <v>307</v>
      </c>
      <c r="D10" s="112"/>
      <c r="E10" s="112"/>
      <c r="F10" s="112"/>
      <c r="G10" s="17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</row>
    <row r="11" spans="1:90" s="7" customFormat="1" ht="14.25" hidden="1" customHeight="1" outlineLevel="1">
      <c r="A11" s="2"/>
      <c r="D11" s="112"/>
      <c r="E11" s="112"/>
      <c r="F11" s="112"/>
      <c r="G11" s="17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</row>
    <row r="12" spans="1:90" s="7" customFormat="1" ht="14.25" hidden="1" customHeight="1" outlineLevel="1">
      <c r="A12" s="2"/>
      <c r="B12" s="325" t="s">
        <v>1051</v>
      </c>
      <c r="D12" s="112"/>
      <c r="E12" s="112"/>
      <c r="F12" s="112"/>
      <c r="G12" s="17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</row>
    <row r="13" spans="1:90" s="7" customFormat="1" ht="14.25" hidden="1" customHeight="1" outlineLevel="1">
      <c r="A13" s="2"/>
      <c r="C13" s="7" t="s">
        <v>274</v>
      </c>
      <c r="D13" s="112"/>
      <c r="E13" s="112"/>
      <c r="F13" s="112"/>
      <c r="G13" s="17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</row>
    <row r="14" spans="1:90" s="7" customFormat="1" ht="14.25" hidden="1" customHeight="1" outlineLevel="1">
      <c r="A14" s="2"/>
      <c r="C14" s="7" t="s">
        <v>897</v>
      </c>
      <c r="D14" s="112"/>
      <c r="E14" s="112"/>
      <c r="F14" s="112"/>
      <c r="G14" s="17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</row>
    <row r="15" spans="1:90" s="7" customFormat="1" ht="14.25" hidden="1" customHeight="1" outlineLevel="1">
      <c r="A15" s="2"/>
      <c r="D15" s="112"/>
      <c r="E15" s="112"/>
      <c r="F15" s="112"/>
      <c r="G15" s="17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</row>
    <row r="16" spans="1:90" s="7" customFormat="1" ht="14.25" hidden="1" customHeight="1" outlineLevel="1">
      <c r="A16" s="2"/>
      <c r="B16" s="7" t="s">
        <v>1172</v>
      </c>
      <c r="D16" s="112"/>
      <c r="E16" s="112"/>
      <c r="F16" s="112"/>
      <c r="G16" s="17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</row>
    <row r="17" spans="1:90" s="7" customFormat="1" ht="14.25" hidden="1" customHeight="1" outlineLevel="1">
      <c r="A17" s="2"/>
      <c r="B17" s="7" t="s">
        <v>304</v>
      </c>
      <c r="D17" s="112"/>
      <c r="E17" s="112"/>
      <c r="F17" s="112"/>
      <c r="G17" s="17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</row>
    <row r="18" spans="1:90" s="7" customFormat="1" ht="14.25" hidden="1" customHeight="1" outlineLevel="1">
      <c r="A18" s="2"/>
      <c r="D18" s="112"/>
      <c r="E18" s="112"/>
      <c r="F18" s="112"/>
      <c r="G18" s="17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</row>
    <row r="19" spans="1:90" s="7" customFormat="1" ht="14.25" hidden="1" customHeight="1" outlineLevel="1">
      <c r="A19" s="2"/>
      <c r="B19" s="7" t="s">
        <v>832</v>
      </c>
      <c r="D19" s="112"/>
      <c r="E19" s="112"/>
      <c r="F19" s="112"/>
      <c r="G19" s="17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</row>
    <row r="20" spans="1:90" s="7" customFormat="1" ht="14.25" hidden="1" customHeight="1" outlineLevel="1">
      <c r="A20" s="2"/>
      <c r="D20" s="112"/>
      <c r="E20" s="112"/>
      <c r="F20" s="112"/>
      <c r="G20" s="1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</row>
    <row r="21" spans="1:90" s="7" customFormat="1" ht="14.25" hidden="1" customHeight="1" outlineLevel="1">
      <c r="A21" s="2"/>
      <c r="B21" s="7" t="s">
        <v>889</v>
      </c>
      <c r="D21" s="112"/>
      <c r="E21" s="112"/>
      <c r="F21" s="112"/>
      <c r="G21" s="17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</row>
    <row r="22" spans="1:90" s="7" customFormat="1" ht="14.25" hidden="1" customHeight="1" outlineLevel="1">
      <c r="A22" s="2"/>
      <c r="C22" s="7" t="s">
        <v>82</v>
      </c>
      <c r="D22" s="112"/>
      <c r="E22" s="112"/>
      <c r="F22" s="112"/>
      <c r="G22" s="17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</row>
    <row r="23" spans="1:90" s="7" customFormat="1" ht="14.25" hidden="1" customHeight="1" outlineLevel="1">
      <c r="A23" s="2"/>
      <c r="C23" s="7" t="s">
        <v>397</v>
      </c>
      <c r="D23" s="112"/>
      <c r="E23" s="112"/>
      <c r="F23" s="112"/>
      <c r="G23" s="17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</row>
    <row r="24" spans="1:90" s="7" customFormat="1" ht="14.25" hidden="1" customHeight="1" outlineLevel="1">
      <c r="A24" s="2"/>
      <c r="C24" s="25"/>
      <c r="D24" s="112"/>
      <c r="E24" s="112"/>
      <c r="F24" s="112"/>
      <c r="G24" s="17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</row>
    <row r="25" spans="1:90" s="2" customFormat="1" ht="15.75" customHeight="1">
      <c r="B25" s="1" t="s">
        <v>246</v>
      </c>
      <c r="D25" s="3"/>
    </row>
    <row r="26" spans="1:90" s="7" customFormat="1" ht="14.25" customHeight="1">
      <c r="A26" s="2"/>
      <c r="C26" s="25"/>
      <c r="D26" s="112"/>
      <c r="E26" s="112"/>
      <c r="F26" s="112"/>
      <c r="G26" s="17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</row>
    <row r="27" spans="1:90" s="7" customFormat="1" ht="14.1" customHeight="1">
      <c r="A27" s="2"/>
      <c r="C27" s="25" t="s">
        <v>930</v>
      </c>
      <c r="D27" s="112"/>
      <c r="E27" s="260" t="s">
        <v>1</v>
      </c>
      <c r="F27" s="260" t="s">
        <v>1115</v>
      </c>
      <c r="G27" s="417"/>
      <c r="H27" s="261"/>
      <c r="J27" s="262" t="s">
        <v>862</v>
      </c>
      <c r="K27" s="333"/>
      <c r="L27" s="333"/>
      <c r="M27" s="263"/>
      <c r="N27" s="264"/>
      <c r="O27" s="332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</row>
    <row r="28" spans="1:90" s="7" customFormat="1" ht="14.1" customHeight="1">
      <c r="A28" s="2"/>
      <c r="C28" s="241">
        <f>atbuild(Table!C24:M94,E28:F39,F41,F42:K42,T_Energy,C40)</f>
        <v>201</v>
      </c>
      <c r="D28" s="112"/>
      <c r="E28" s="242" t="s">
        <v>567</v>
      </c>
      <c r="F28" s="250" t="s">
        <v>478</v>
      </c>
      <c r="G28" s="14"/>
      <c r="H28" s="249"/>
      <c r="I28" s="8"/>
      <c r="J28" s="250" t="s">
        <v>478</v>
      </c>
      <c r="K28" s="8"/>
      <c r="L28" s="416"/>
      <c r="M28" s="560" t="s">
        <v>1207</v>
      </c>
      <c r="N28" s="259"/>
      <c r="O28" s="345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</row>
    <row r="29" spans="1:90" s="7" customFormat="1" ht="14.1" customHeight="1">
      <c r="A29" s="2"/>
      <c r="C29" s="25"/>
      <c r="D29" s="112"/>
      <c r="E29" s="242" t="s">
        <v>670</v>
      </c>
      <c r="F29" s="250" t="s">
        <v>1055</v>
      </c>
      <c r="G29" s="17"/>
      <c r="H29" s="251"/>
      <c r="I29" s="8"/>
      <c r="J29" s="250" t="s">
        <v>736</v>
      </c>
      <c r="K29" s="8"/>
      <c r="L29" s="416"/>
      <c r="M29" s="250" t="s">
        <v>1055</v>
      </c>
      <c r="N29" s="9"/>
      <c r="O29" s="9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</row>
    <row r="30" spans="1:90" s="7" customFormat="1" ht="14.1" customHeight="1">
      <c r="A30" s="2"/>
      <c r="C30" s="25"/>
      <c r="D30" s="112"/>
      <c r="E30" s="242" t="s">
        <v>760</v>
      </c>
      <c r="F30" s="250" t="s">
        <v>719</v>
      </c>
      <c r="G30" s="17"/>
      <c r="H30" s="251"/>
      <c r="I30" s="8"/>
      <c r="J30" s="250" t="s">
        <v>419</v>
      </c>
      <c r="K30" s="8"/>
      <c r="L30" s="416"/>
      <c r="M30" s="250" t="s">
        <v>719</v>
      </c>
      <c r="N30" s="9"/>
      <c r="O30" s="9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</row>
    <row r="31" spans="1:90" s="7" customFormat="1" ht="14.1" customHeight="1">
      <c r="A31" s="2"/>
      <c r="C31" s="25"/>
      <c r="D31" s="112"/>
      <c r="E31" s="242" t="s">
        <v>1125</v>
      </c>
      <c r="F31" s="250" t="s">
        <v>846</v>
      </c>
      <c r="G31" s="17"/>
      <c r="H31" s="251"/>
      <c r="I31" s="8"/>
      <c r="J31" s="250" t="s">
        <v>846</v>
      </c>
      <c r="K31" s="8"/>
      <c r="L31" s="416"/>
      <c r="M31" s="250" t="s">
        <v>817</v>
      </c>
      <c r="N31" s="8"/>
      <c r="O31" s="9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</row>
    <row r="32" spans="1:90" s="7" customFormat="1" ht="14.1" customHeight="1">
      <c r="A32" s="2"/>
      <c r="C32" s="25"/>
      <c r="D32" s="112"/>
      <c r="E32" s="242" t="s">
        <v>770</v>
      </c>
      <c r="F32" s="250" t="s">
        <v>846</v>
      </c>
      <c r="G32" s="17"/>
      <c r="H32" s="251"/>
      <c r="I32" s="8"/>
      <c r="J32" s="250" t="s">
        <v>846</v>
      </c>
      <c r="K32" s="8"/>
      <c r="L32" s="416"/>
      <c r="M32" s="250" t="s">
        <v>817</v>
      </c>
      <c r="N32" s="8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</row>
    <row r="33" spans="1:90" s="7" customFormat="1" ht="14.1" customHeight="1">
      <c r="A33" s="2"/>
      <c r="C33" s="25"/>
      <c r="D33" s="112"/>
      <c r="E33" s="242" t="s">
        <v>79</v>
      </c>
      <c r="F33" s="250" t="s">
        <v>1207</v>
      </c>
      <c r="G33" s="17"/>
      <c r="H33" s="251"/>
      <c r="I33" s="8"/>
      <c r="J33" s="250" t="s">
        <v>1055</v>
      </c>
      <c r="K33" s="8"/>
      <c r="L33" s="416"/>
      <c r="M33" s="250" t="s">
        <v>478</v>
      </c>
      <c r="N33" s="8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</row>
    <row r="34" spans="1:90" s="7" customFormat="1" ht="14.1" customHeight="1">
      <c r="A34" s="2"/>
      <c r="C34" s="25"/>
      <c r="D34" s="112"/>
      <c r="E34" s="242" t="s">
        <v>1200</v>
      </c>
      <c r="F34" s="250" t="s">
        <v>817</v>
      </c>
      <c r="G34" s="17"/>
      <c r="H34" s="251"/>
      <c r="I34" s="8"/>
      <c r="J34" s="250" t="s">
        <v>1201</v>
      </c>
      <c r="K34" s="8"/>
      <c r="L34" s="416"/>
      <c r="M34" s="250" t="s">
        <v>1203</v>
      </c>
      <c r="N34" s="8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</row>
    <row r="35" spans="1:90" s="7" customFormat="1" ht="14.1" customHeight="1">
      <c r="A35" s="2"/>
      <c r="C35" s="25"/>
      <c r="D35" s="112"/>
      <c r="E35" s="242" t="s">
        <v>238</v>
      </c>
      <c r="F35" s="250" t="s">
        <v>392</v>
      </c>
      <c r="G35" s="17"/>
      <c r="H35" s="251"/>
      <c r="I35" s="8"/>
      <c r="J35" s="250" t="s">
        <v>392</v>
      </c>
      <c r="K35" s="8"/>
      <c r="L35" s="416"/>
      <c r="M35" s="250" t="s">
        <v>817</v>
      </c>
      <c r="N35" s="8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</row>
    <row r="36" spans="1:90" s="7" customFormat="1" ht="14.1" customHeight="1">
      <c r="A36" s="2"/>
      <c r="C36" s="25"/>
      <c r="D36" s="112"/>
      <c r="E36" s="242" t="s">
        <v>239</v>
      </c>
      <c r="F36" s="250" t="s">
        <v>1034</v>
      </c>
      <c r="G36" s="17"/>
      <c r="H36" s="251"/>
      <c r="I36" s="8"/>
      <c r="J36" s="250" t="s">
        <v>1034</v>
      </c>
      <c r="K36" s="8"/>
      <c r="L36" s="416"/>
      <c r="M36" s="250" t="s">
        <v>817</v>
      </c>
      <c r="N36" s="8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</row>
    <row r="37" spans="1:90" s="7" customFormat="1" ht="14.1" customHeight="1">
      <c r="A37" s="2"/>
      <c r="C37" s="25"/>
      <c r="D37" s="112"/>
      <c r="E37" s="242" t="s">
        <v>240</v>
      </c>
      <c r="F37" s="250" t="s">
        <v>1134</v>
      </c>
      <c r="G37" s="17"/>
      <c r="H37" s="251"/>
      <c r="I37" s="8"/>
      <c r="J37" s="250" t="s">
        <v>1134</v>
      </c>
      <c r="K37" s="8"/>
      <c r="L37" s="416"/>
      <c r="M37" s="250" t="s">
        <v>817</v>
      </c>
      <c r="N37" s="8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</row>
    <row r="38" spans="1:90" s="7" customFormat="1" ht="14.1" customHeight="1">
      <c r="A38" s="2"/>
      <c r="C38" s="25"/>
      <c r="D38" s="112"/>
      <c r="E38" s="242" t="s">
        <v>881</v>
      </c>
      <c r="F38" s="250" t="s">
        <v>735</v>
      </c>
      <c r="G38" s="17"/>
      <c r="H38" s="251"/>
      <c r="I38" s="8"/>
      <c r="J38" s="250" t="s">
        <v>735</v>
      </c>
      <c r="K38" s="8"/>
      <c r="L38" s="416"/>
      <c r="M38" s="250" t="s">
        <v>478</v>
      </c>
      <c r="N38" s="8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</row>
    <row r="39" spans="1:90" s="7" customFormat="1" ht="14.1" customHeight="1">
      <c r="A39" s="2"/>
      <c r="B39" s="7" t="s">
        <v>278</v>
      </c>
      <c r="C39" s="25">
        <f>T_Energy</f>
        <v>6.04</v>
      </c>
      <c r="D39" s="112"/>
      <c r="E39" s="243" t="s">
        <v>698</v>
      </c>
      <c r="F39" s="252" t="s">
        <v>1135</v>
      </c>
      <c r="G39" s="418"/>
      <c r="H39" s="253"/>
      <c r="I39" s="8"/>
      <c r="J39" s="252" t="s">
        <v>1135</v>
      </c>
      <c r="K39" s="10"/>
      <c r="L39" s="82"/>
      <c r="M39" s="252" t="s">
        <v>817</v>
      </c>
      <c r="N39" s="10"/>
      <c r="O39" s="11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</row>
    <row r="40" spans="1:90" s="7" customFormat="1" ht="14.1" customHeight="1">
      <c r="A40" s="2"/>
      <c r="B40" s="7" t="s">
        <v>1202</v>
      </c>
      <c r="C40" s="25">
        <f>299792458/Table!D159</f>
        <v>355041.05972239375</v>
      </c>
      <c r="D40" s="112"/>
      <c r="G40" s="17"/>
      <c r="I40" s="8"/>
      <c r="J40" s="17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</row>
    <row r="41" spans="1:90" s="7" customFormat="1" ht="14.1" customHeight="1">
      <c r="A41" s="2"/>
      <c r="C41" s="25"/>
      <c r="D41" s="112"/>
      <c r="E41" s="245" t="s">
        <v>898</v>
      </c>
      <c r="F41" s="246">
        <v>1</v>
      </c>
      <c r="G41" s="17"/>
      <c r="I41" s="8"/>
      <c r="J41" s="17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</row>
    <row r="42" spans="1:90" s="7" customFormat="1" ht="14.1" customHeight="1">
      <c r="A42" s="2"/>
      <c r="C42" s="25"/>
      <c r="D42" s="112"/>
      <c r="E42" s="244" t="s">
        <v>842</v>
      </c>
      <c r="F42" s="112">
        <v>1</v>
      </c>
      <c r="G42" s="112">
        <v>1</v>
      </c>
      <c r="H42" s="112">
        <v>1</v>
      </c>
      <c r="I42" s="112">
        <v>1</v>
      </c>
      <c r="J42" s="112">
        <v>1</v>
      </c>
      <c r="K42" s="112">
        <v>1000</v>
      </c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</row>
    <row r="43" spans="1:90" s="7" customFormat="1" ht="14.1" customHeight="1">
      <c r="A43" s="2"/>
      <c r="C43" s="25"/>
      <c r="D43" s="112"/>
      <c r="E43" s="244" t="s">
        <v>865</v>
      </c>
      <c r="F43" s="553" t="s">
        <v>816</v>
      </c>
      <c r="G43" s="553" t="s">
        <v>925</v>
      </c>
      <c r="H43" s="553" t="s">
        <v>749</v>
      </c>
      <c r="I43" s="553" t="s">
        <v>1096</v>
      </c>
      <c r="J43" s="553" t="s">
        <v>320</v>
      </c>
      <c r="K43" s="553" t="s">
        <v>446</v>
      </c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</row>
    <row r="44" spans="1:90" s="2" customFormat="1" ht="15.75" customHeight="1">
      <c r="B44" s="1" t="s">
        <v>601</v>
      </c>
      <c r="D44" s="3"/>
      <c r="F44" s="254" t="s">
        <v>472</v>
      </c>
    </row>
    <row r="45" spans="1:90" s="7" customFormat="1" ht="14.1" customHeight="1" outlineLevel="1">
      <c r="A45" s="2"/>
      <c r="D45" s="112"/>
      <c r="G45" s="17"/>
      <c r="H45" s="8"/>
      <c r="I45" s="17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</row>
    <row r="46" spans="1:90" s="7" customFormat="1" ht="14.1" customHeight="1" outlineLevel="1">
      <c r="A46" s="2"/>
      <c r="D46" s="112"/>
      <c r="E46" s="245" t="s">
        <v>773</v>
      </c>
      <c r="F46" s="284">
        <v>512</v>
      </c>
      <c r="G46" s="17"/>
      <c r="H46" s="8"/>
      <c r="I46" s="17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</row>
    <row r="47" spans="1:90" s="7" customFormat="1" ht="14.1" customHeight="1" outlineLevel="1">
      <c r="A47" s="2"/>
      <c r="C47" s="25"/>
      <c r="D47" s="112"/>
      <c r="E47" s="245" t="s">
        <v>320</v>
      </c>
      <c r="F47" s="285">
        <v>0</v>
      </c>
      <c r="G47" s="17"/>
      <c r="H47" s="8"/>
      <c r="I47" s="17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</row>
    <row r="48" spans="1:90" s="7" customFormat="1" ht="14.1" customHeight="1" outlineLevel="1">
      <c r="A48" s="2"/>
      <c r="C48" s="25"/>
      <c r="D48" s="112"/>
      <c r="E48" s="245" t="s">
        <v>321</v>
      </c>
      <c r="F48" s="285">
        <v>2.0000000000000001E-4</v>
      </c>
      <c r="G48" s="17"/>
      <c r="H48" s="8"/>
      <c r="I48" s="17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</row>
    <row r="49" spans="1:90" s="7" customFormat="1" ht="14.1" customHeight="1" outlineLevel="1">
      <c r="A49" s="2"/>
      <c r="G49" s="17"/>
      <c r="H49" s="8"/>
      <c r="I49" s="17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</row>
    <row r="50" spans="1:90" s="7" customFormat="1" ht="14.1" customHeight="1" outlineLevel="1">
      <c r="A50" s="2"/>
      <c r="C50" s="258" t="s">
        <v>156</v>
      </c>
      <c r="D50" s="244" t="s">
        <v>433</v>
      </c>
      <c r="E50" s="244" t="s">
        <v>816</v>
      </c>
      <c r="F50" s="244" t="s">
        <v>749</v>
      </c>
      <c r="G50" s="17"/>
      <c r="H50" s="8"/>
      <c r="I50" s="17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</row>
    <row r="51" spans="1:90" s="7" customFormat="1" ht="14.1" customHeight="1" outlineLevel="1">
      <c r="A51" s="2"/>
      <c r="C51" s="256">
        <f>PI()</f>
        <v>3.1415926535897931</v>
      </c>
      <c r="D51" s="552">
        <f t="shared" ref="D51:D57" si="0">atdynap($C$28,$F$47,$F$46,C51,$F$48)</f>
        <v>9.1718749999999988E-2</v>
      </c>
      <c r="E51" s="255">
        <f t="shared" ref="E51:E56" si="1">D51*COS(C51)</f>
        <v>-9.1718749999999988E-2</v>
      </c>
      <c r="F51" s="255">
        <f t="shared" ref="F51:F56" si="2">D51*SIN(C51)</f>
        <v>1.1236908484864998E-17</v>
      </c>
      <c r="G51" s="17"/>
      <c r="H51" s="8"/>
      <c r="I51" s="17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</row>
    <row r="52" spans="1:90" s="7" customFormat="1" ht="14.1" customHeight="1" outlineLevel="1">
      <c r="A52" s="2"/>
      <c r="C52" s="256">
        <f>ATAN2(0.66*E51,0.33*F54)</f>
        <v>3.0659281815793813</v>
      </c>
      <c r="D52" s="552">
        <f t="shared" si="0"/>
        <v>7.0937500000000014E-2</v>
      </c>
      <c r="E52" s="255">
        <f t="shared" si="1"/>
        <v>-7.0734534283422218E-2</v>
      </c>
      <c r="F52" s="255">
        <f t="shared" si="2"/>
        <v>5.3623284081980999E-3</v>
      </c>
      <c r="G52" s="17"/>
      <c r="H52" s="8"/>
      <c r="I52" s="17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</row>
    <row r="53" spans="1:90" s="7" customFormat="1" ht="14.1" customHeight="1" outlineLevel="1">
      <c r="A53" s="2"/>
      <c r="C53" s="256">
        <f>ATAN2(0.33*E51,0.66*F54)</f>
        <v>2.8471689721270232</v>
      </c>
      <c r="D53" s="552">
        <f t="shared" si="0"/>
        <v>3.4375000000000003E-2</v>
      </c>
      <c r="E53" s="255">
        <f t="shared" si="1"/>
        <v>-3.2895828012412975E-2</v>
      </c>
      <c r="F53" s="255">
        <f t="shared" si="2"/>
        <v>9.9752255301695254E-3</v>
      </c>
      <c r="G53" s="17"/>
      <c r="H53" s="8"/>
      <c r="I53" s="17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</row>
    <row r="54" spans="1:90" s="7" customFormat="1" ht="14.1" customHeight="1" outlineLevel="1">
      <c r="A54" s="2"/>
      <c r="C54" s="257">
        <f>PI()/2</f>
        <v>1.5707963267948966</v>
      </c>
      <c r="D54" s="552">
        <f t="shared" si="0"/>
        <v>1.3906249999999998E-2</v>
      </c>
      <c r="E54" s="255">
        <f t="shared" si="1"/>
        <v>8.5186103505364979E-19</v>
      </c>
      <c r="F54" s="255">
        <f t="shared" si="2"/>
        <v>1.3906249999999998E-2</v>
      </c>
      <c r="G54" s="17"/>
      <c r="H54" s="8"/>
      <c r="I54" s="17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</row>
    <row r="55" spans="1:90" s="7" customFormat="1" ht="14.1" customHeight="1" outlineLevel="1">
      <c r="A55" s="2"/>
      <c r="C55" s="257">
        <f>ATAN2(0.33*E57,0.66*F54)</f>
        <v>0.53114695002378687</v>
      </c>
      <c r="D55" s="552">
        <f t="shared" si="0"/>
        <v>2.5781250000000002E-2</v>
      </c>
      <c r="E55" s="255">
        <f t="shared" si="1"/>
        <v>2.2229281636426023E-2</v>
      </c>
      <c r="F55" s="255">
        <f t="shared" si="2"/>
        <v>1.3058785911827825E-2</v>
      </c>
      <c r="G55" s="17"/>
      <c r="H55" s="8"/>
      <c r="I55" s="17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</row>
    <row r="56" spans="1:90" s="7" customFormat="1" ht="14.1" customHeight="1" outlineLevel="1">
      <c r="A56" s="2"/>
      <c r="C56" s="257">
        <f>ATAN2(0.66*E57,0.33*F54)</f>
        <v>0.14582222493290822</v>
      </c>
      <c r="D56" s="552">
        <f t="shared" si="0"/>
        <v>3.7343750000000009E-2</v>
      </c>
      <c r="E56" s="255">
        <f t="shared" si="1"/>
        <v>3.69474120475866E-2</v>
      </c>
      <c r="F56" s="255">
        <f t="shared" si="2"/>
        <v>5.4262700861967108E-3</v>
      </c>
      <c r="G56" s="17"/>
      <c r="H56" s="8"/>
      <c r="I56" s="17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</row>
    <row r="57" spans="1:90" s="7" customFormat="1" ht="14.1" customHeight="1" outlineLevel="1">
      <c r="A57" s="2"/>
      <c r="C57" s="257">
        <v>0</v>
      </c>
      <c r="D57" s="552">
        <f t="shared" si="0"/>
        <v>4.7343750000000004E-2</v>
      </c>
      <c r="E57" s="255">
        <f>D57*COS(C57)</f>
        <v>4.7343750000000004E-2</v>
      </c>
      <c r="F57" s="255">
        <f>D57*SIN(C57)</f>
        <v>0</v>
      </c>
      <c r="G57" s="17"/>
      <c r="H57" s="8"/>
      <c r="I57" s="17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</row>
    <row r="58" spans="1:90" s="7" customFormat="1" ht="14.1" customHeight="1" outlineLevel="1">
      <c r="A58" s="2"/>
      <c r="D58" s="255"/>
      <c r="E58" s="255"/>
      <c r="F58" s="255"/>
      <c r="G58" s="17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</row>
    <row r="59" spans="1:90" s="7" customFormat="1" ht="14.1" customHeight="1" outlineLevel="1">
      <c r="A59" s="2"/>
      <c r="D59" s="255"/>
      <c r="E59" s="255"/>
      <c r="F59" s="255"/>
      <c r="G59" s="17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</row>
    <row r="60" spans="1:90" s="7" customFormat="1" ht="14.25" customHeight="1" outlineLevel="1">
      <c r="A60" s="2"/>
      <c r="C60" s="25"/>
      <c r="D60" s="112"/>
      <c r="E60" s="112"/>
      <c r="F60" s="112"/>
      <c r="G60" s="17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</row>
    <row r="61" spans="1:90" s="2" customFormat="1" ht="15.75" customHeight="1">
      <c r="B61" s="1" t="s">
        <v>194</v>
      </c>
      <c r="D61" s="3"/>
    </row>
    <row r="62" spans="1:90" s="7" customFormat="1" ht="14.25" customHeight="1" outlineLevel="1">
      <c r="A62" s="2"/>
      <c r="C62" s="25"/>
      <c r="D62" s="112"/>
      <c r="E62" s="112"/>
      <c r="F62" s="112"/>
      <c r="G62" s="17"/>
      <c r="H62" s="8"/>
      <c r="I62" s="8"/>
      <c r="J62" s="8"/>
      <c r="P62" s="266"/>
      <c r="Q62" s="266" t="s">
        <v>727</v>
      </c>
      <c r="R62" s="266" t="s">
        <v>1151</v>
      </c>
      <c r="S62" s="266"/>
      <c r="T62" s="266"/>
      <c r="U62" s="266"/>
      <c r="V62" s="8"/>
      <c r="W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</row>
    <row r="63" spans="1:90" s="7" customFormat="1" ht="14.25" customHeight="1" outlineLevel="1">
      <c r="A63" s="2"/>
      <c r="C63" s="25"/>
      <c r="D63" s="112"/>
      <c r="E63" s="245" t="s">
        <v>773</v>
      </c>
      <c r="F63" s="284">
        <v>512</v>
      </c>
      <c r="G63" s="17"/>
      <c r="H63" s="8"/>
      <c r="I63" s="274"/>
      <c r="J63" s="272"/>
      <c r="P63" s="266" t="s">
        <v>650</v>
      </c>
      <c r="Q63" s="292">
        <f t="array" ref="Q63:R63">attune($C$28,P92:U92,$F$63)</f>
        <v>0.27931232837644221</v>
      </c>
      <c r="R63" s="292">
        <v>0.10098452654275124</v>
      </c>
      <c r="S63" s="266"/>
      <c r="T63" s="266"/>
      <c r="U63" s="266"/>
      <c r="V63" s="8"/>
      <c r="W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</row>
    <row r="64" spans="1:90" s="7" customFormat="1" ht="14.25" customHeight="1" outlineLevel="1">
      <c r="A64" s="2"/>
      <c r="C64" s="25"/>
      <c r="D64" s="270"/>
      <c r="E64" s="288" t="s">
        <v>49</v>
      </c>
      <c r="F64" s="303">
        <v>9.9999999999999995E-7</v>
      </c>
      <c r="G64" s="17"/>
      <c r="H64" s="8"/>
      <c r="I64" s="275"/>
      <c r="J64" s="272"/>
      <c r="P64" s="292" t="s">
        <v>1152</v>
      </c>
      <c r="Q64" s="276">
        <f>L7-Q63</f>
        <v>3.2165226909353084E-5</v>
      </c>
      <c r="R64" s="292">
        <f>N7-R63</f>
        <v>0.79802638300353268</v>
      </c>
      <c r="S64" s="292"/>
      <c r="T64" s="292"/>
      <c r="U64" s="292"/>
      <c r="V64" s="8"/>
      <c r="W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</row>
    <row r="65" spans="1:90" s="270" customFormat="1" ht="15.75" outlineLevel="1">
      <c r="A65" s="271"/>
      <c r="I65" s="275"/>
      <c r="J65" s="273"/>
      <c r="P65" s="269" t="s">
        <v>8</v>
      </c>
      <c r="Q65" s="293">
        <f>1-L7-Q63</f>
        <v>0.44134317802020623</v>
      </c>
      <c r="R65" s="269">
        <f>1-N7-R63</f>
        <v>4.5639109648304421E-6</v>
      </c>
      <c r="S65" s="269"/>
      <c r="T65" s="269"/>
      <c r="U65" s="269"/>
    </row>
    <row r="66" spans="1:90" s="7" customFormat="1" ht="14.25" customHeight="1" outlineLevel="1">
      <c r="A66" s="2"/>
      <c r="B66" s="269"/>
      <c r="P66" s="292" t="s">
        <v>651</v>
      </c>
      <c r="Q66" s="292">
        <f>IF(Q64&lt;Q65,$L$9,-$L$9)</f>
        <v>16</v>
      </c>
      <c r="R66" s="292">
        <f>IF(R64&lt;R65,$L$9,-$L$9)</f>
        <v>-16</v>
      </c>
      <c r="S66" s="292"/>
      <c r="T66" s="292"/>
      <c r="U66" s="292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</row>
    <row r="67" spans="1:90" s="7" customFormat="1" ht="14.25" customHeight="1" outlineLevel="1">
      <c r="A67" s="2"/>
      <c r="B67" s="269"/>
      <c r="C67" s="281"/>
      <c r="D67" s="281"/>
      <c r="E67" s="281"/>
      <c r="F67" s="281"/>
      <c r="G67" s="281"/>
      <c r="H67" s="281"/>
      <c r="I67" s="269"/>
      <c r="J67" s="276"/>
      <c r="P67" s="292" t="s">
        <v>725</v>
      </c>
      <c r="Q67" s="292">
        <f>ROUND(L8-Q66*Q63,0)</f>
        <v>32</v>
      </c>
      <c r="R67" s="292">
        <f>ROUND(N8-R66*R63,0)</f>
        <v>16</v>
      </c>
      <c r="S67" s="292"/>
      <c r="T67" s="292"/>
      <c r="U67" s="292"/>
      <c r="V67" s="8"/>
      <c r="W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</row>
    <row r="68" spans="1:90" s="7" customFormat="1" ht="14.25" customHeight="1" outlineLevel="1">
      <c r="A68" s="2"/>
      <c r="B68" s="267"/>
      <c r="C68" s="288" t="s">
        <v>50</v>
      </c>
      <c r="D68" s="282"/>
      <c r="F68" s="288"/>
      <c r="G68" s="282"/>
      <c r="H68" s="282"/>
      <c r="I68" s="267"/>
      <c r="J68" s="267"/>
      <c r="K68" s="8"/>
      <c r="P68" s="276"/>
      <c r="Q68" s="292"/>
      <c r="R68" s="276"/>
      <c r="S68" s="292"/>
      <c r="T68" s="292"/>
      <c r="U68" s="292"/>
      <c r="V68" s="8"/>
      <c r="W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</row>
    <row r="69" spans="1:90" s="7" customFormat="1" ht="14.25" customHeight="1" outlineLevel="1">
      <c r="A69" s="2"/>
      <c r="B69" s="267"/>
      <c r="C69" s="291">
        <v>0.05</v>
      </c>
      <c r="D69" s="282"/>
      <c r="F69" s="288"/>
      <c r="G69" s="282"/>
      <c r="H69" s="282"/>
      <c r="I69" s="267"/>
      <c r="J69" s="267"/>
      <c r="K69" s="8"/>
      <c r="P69" s="328" t="s">
        <v>119</v>
      </c>
      <c r="Q69" s="329"/>
      <c r="R69" s="329"/>
      <c r="S69" s="329"/>
      <c r="T69" s="329"/>
      <c r="U69" s="330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</row>
    <row r="70" spans="1:90" s="7" customFormat="1" ht="14.25" customHeight="1" outlineLevel="1">
      <c r="A70" s="2"/>
      <c r="B70" s="267"/>
      <c r="C70" s="446" t="s">
        <v>320</v>
      </c>
      <c r="D70" s="446" t="s">
        <v>860</v>
      </c>
      <c r="E70" s="446" t="s">
        <v>794</v>
      </c>
      <c r="F70" s="277"/>
      <c r="G70" s="289"/>
      <c r="H70" s="277"/>
      <c r="I70" s="267"/>
      <c r="J70" s="267"/>
      <c r="K70" s="8"/>
      <c r="P70" s="305" t="s">
        <v>816</v>
      </c>
      <c r="Q70" s="277" t="s">
        <v>925</v>
      </c>
      <c r="R70" s="277" t="s">
        <v>749</v>
      </c>
      <c r="S70" s="277" t="s">
        <v>1096</v>
      </c>
      <c r="T70" s="277" t="s">
        <v>320</v>
      </c>
      <c r="U70" s="306" t="s">
        <v>446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</row>
    <row r="71" spans="1:90" s="7" customFormat="1" ht="14.25" customHeight="1" outlineLevel="1">
      <c r="A71" s="2"/>
      <c r="B71" s="282">
        <v>-1</v>
      </c>
      <c r="C71" s="290">
        <f>C$69*$B71</f>
        <v>-0.05</v>
      </c>
      <c r="D71" s="444">
        <f t="shared" ref="D71:D81" si="3">Q$67+Q$66*V87</f>
        <v>36.389026292209813</v>
      </c>
      <c r="E71" s="444">
        <f t="shared" ref="E71:E81" si="4">R$67+R$66*W87</f>
        <v>14.103713382288195</v>
      </c>
      <c r="F71" s="283"/>
      <c r="G71" s="283"/>
      <c r="H71" s="283"/>
      <c r="I71" s="267"/>
      <c r="J71" s="267"/>
      <c r="K71" s="8"/>
      <c r="P71" s="307">
        <f t="array" ref="P71:U71">atorbit4($C$28,C71,$L$6:$O$6)</f>
        <v>-9.1099522079209441E-4</v>
      </c>
      <c r="Q71" s="266">
        <v>3.0727216841552516E-8</v>
      </c>
      <c r="R71" s="266">
        <v>0</v>
      </c>
      <c r="S71" s="266">
        <v>0</v>
      </c>
      <c r="T71" s="266">
        <v>-0.05</v>
      </c>
      <c r="U71" s="308"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</row>
    <row r="72" spans="1:90" s="7" customFormat="1" ht="14.25" customHeight="1" outlineLevel="1">
      <c r="A72" s="2"/>
      <c r="B72" s="282">
        <v>-0.8</v>
      </c>
      <c r="C72" s="290">
        <f t="shared" ref="C72:C81" si="5">C$69*$B72</f>
        <v>-4.0000000000000008E-2</v>
      </c>
      <c r="D72" s="444">
        <f t="shared" si="3"/>
        <v>36.22854072902792</v>
      </c>
      <c r="E72" s="444">
        <f t="shared" si="4"/>
        <v>14.123562387861512</v>
      </c>
      <c r="F72" s="283"/>
      <c r="G72" s="283"/>
      <c r="H72" s="283"/>
      <c r="I72" s="267"/>
      <c r="J72" s="267"/>
      <c r="K72" s="8"/>
      <c r="P72" s="307">
        <f t="array" ref="P72:U72">atorbit4($C$28,C72,$L$6:$O$6)</f>
        <v>-1.5955269975065946E-3</v>
      </c>
      <c r="Q72" s="266">
        <v>1.2813222326100493E-8</v>
      </c>
      <c r="R72" s="266">
        <v>0</v>
      </c>
      <c r="S72" s="266">
        <v>0</v>
      </c>
      <c r="T72" s="266">
        <v>-4.0000000000000008E-2</v>
      </c>
      <c r="U72" s="308"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</row>
    <row r="73" spans="1:90" s="7" customFormat="1" ht="14.25" customHeight="1" outlineLevel="1">
      <c r="A73" s="2"/>
      <c r="B73" s="282">
        <v>-0.6</v>
      </c>
      <c r="C73" s="290">
        <f t="shared" si="5"/>
        <v>-0.03</v>
      </c>
      <c r="D73" s="444">
        <f t="shared" si="3"/>
        <v>36.240159263040489</v>
      </c>
      <c r="E73" s="444">
        <f t="shared" si="4"/>
        <v>14.178321660155632</v>
      </c>
      <c r="F73" s="283"/>
      <c r="G73" s="283"/>
      <c r="H73" s="283"/>
      <c r="I73" s="267"/>
      <c r="J73" s="267"/>
      <c r="K73" s="8"/>
      <c r="P73" s="307">
        <f t="array" ref="P73:U73">atorbit4($C$28,C73,$L$6:$O$6)</f>
        <v>-1.9531131284368172E-3</v>
      </c>
      <c r="Q73" s="266">
        <v>7.4812351165286897E-9</v>
      </c>
      <c r="R73" s="266">
        <v>0</v>
      </c>
      <c r="S73" s="266">
        <v>0</v>
      </c>
      <c r="T73" s="266">
        <v>-0.03</v>
      </c>
      <c r="U73" s="308"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</row>
    <row r="74" spans="1:90" s="7" customFormat="1" ht="14.25" customHeight="1" outlineLevel="1">
      <c r="A74" s="2"/>
      <c r="B74" s="282">
        <v>-0.4</v>
      </c>
      <c r="C74" s="290">
        <f t="shared" si="5"/>
        <v>-2.0000000000000004E-2</v>
      </c>
      <c r="D74" s="444">
        <f t="shared" si="3"/>
        <v>36.321255167952984</v>
      </c>
      <c r="E74" s="444">
        <f t="shared" si="4"/>
        <v>14.246221246277896</v>
      </c>
      <c r="F74" s="283"/>
      <c r="G74" s="283"/>
      <c r="H74" s="283"/>
      <c r="I74" s="267"/>
      <c r="J74" s="267"/>
      <c r="K74" s="8"/>
      <c r="P74" s="307">
        <f t="array" ref="P74:U74">atorbit4($C$28,C74,$L$6:$O$6)</f>
        <v>-1.8071796195111779E-3</v>
      </c>
      <c r="Q74" s="266">
        <v>1.7200668962459288E-8</v>
      </c>
      <c r="R74" s="266">
        <v>0</v>
      </c>
      <c r="S74" s="266">
        <v>0</v>
      </c>
      <c r="T74" s="266">
        <v>-2.0000000000000004E-2</v>
      </c>
      <c r="U74" s="308"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</row>
    <row r="75" spans="1:90" s="7" customFormat="1" ht="14.25" customHeight="1" outlineLevel="1">
      <c r="A75" s="2"/>
      <c r="B75" s="282">
        <v>-0.2</v>
      </c>
      <c r="C75" s="290">
        <f t="shared" si="5"/>
        <v>-1.0000000000000002E-2</v>
      </c>
      <c r="D75" s="444">
        <f t="shared" si="3"/>
        <v>36.408778790030908</v>
      </c>
      <c r="E75" s="444">
        <f t="shared" si="4"/>
        <v>14.316199142180551</v>
      </c>
      <c r="F75" s="283"/>
      <c r="G75" s="283"/>
      <c r="H75" s="283"/>
      <c r="I75" s="267"/>
      <c r="J75" s="267"/>
      <c r="K75" s="8"/>
      <c r="P75" s="307">
        <f t="array" ref="P75:U75">atorbit4($C$28,C75,$L$6:$O$6)</f>
        <v>-1.1383468443586136E-3</v>
      </c>
      <c r="Q75" s="266">
        <v>1.9500531814997592E-8</v>
      </c>
      <c r="R75" s="266">
        <v>0</v>
      </c>
      <c r="S75" s="266">
        <v>0</v>
      </c>
      <c r="T75" s="266">
        <v>-1.0000000000000002E-2</v>
      </c>
      <c r="U75" s="308"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</row>
    <row r="76" spans="1:90" s="7" customFormat="1" ht="14.25" customHeight="1" outlineLevel="1">
      <c r="A76" s="2"/>
      <c r="B76" s="445">
        <v>0</v>
      </c>
      <c r="C76" s="290">
        <f t="shared" si="5"/>
        <v>0</v>
      </c>
      <c r="D76" s="444">
        <f t="shared" si="3"/>
        <v>36.468997254023073</v>
      </c>
      <c r="E76" s="444">
        <f t="shared" si="4"/>
        <v>14.38424757531598</v>
      </c>
      <c r="F76" s="283"/>
      <c r="G76" s="282"/>
      <c r="H76" s="282"/>
      <c r="I76" s="8"/>
      <c r="J76" s="8"/>
      <c r="K76" s="8"/>
      <c r="P76" s="307">
        <f t="array" ref="P76:U76">atorbit4($C$28,C76,$L$6:$O$6)</f>
        <v>0</v>
      </c>
      <c r="Q76" s="266">
        <v>0</v>
      </c>
      <c r="R76" s="266">
        <v>0</v>
      </c>
      <c r="S76" s="266">
        <v>0</v>
      </c>
      <c r="T76" s="266">
        <v>0</v>
      </c>
      <c r="U76" s="308"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</row>
    <row r="77" spans="1:90" s="7" customFormat="1" ht="14.25" customHeight="1" outlineLevel="1">
      <c r="A77" s="2"/>
      <c r="B77" s="445">
        <v>0.2</v>
      </c>
      <c r="C77" s="290">
        <f t="shared" si="5"/>
        <v>1.0000000000000002E-2</v>
      </c>
      <c r="D77" s="444">
        <f t="shared" si="3"/>
        <v>36.48491053398962</v>
      </c>
      <c r="E77" s="444">
        <f t="shared" si="4"/>
        <v>14.449796158385086</v>
      </c>
      <c r="F77" s="353"/>
      <c r="I77" s="8"/>
      <c r="J77" s="8"/>
      <c r="K77" s="8"/>
      <c r="P77" s="307">
        <f t="array" ref="P77:U77">atorbit4($C$28,C77,$L$6:$O$6)</f>
        <v>1.5343785798377901E-3</v>
      </c>
      <c r="Q77" s="266">
        <v>2.0690587852939206E-8</v>
      </c>
      <c r="R77" s="266">
        <v>0</v>
      </c>
      <c r="S77" s="266">
        <v>0</v>
      </c>
      <c r="T77" s="266">
        <v>1.0000000000000002E-2</v>
      </c>
      <c r="U77" s="308"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</row>
    <row r="78" spans="1:90" s="7" customFormat="1" ht="14.25" customHeight="1" outlineLevel="1">
      <c r="A78" s="2"/>
      <c r="B78" s="445">
        <v>0.4</v>
      </c>
      <c r="C78" s="290">
        <f t="shared" si="5"/>
        <v>2.0000000000000004E-2</v>
      </c>
      <c r="D78" s="444">
        <f t="shared" si="3"/>
        <v>36.44839635100729</v>
      </c>
      <c r="E78" s="444">
        <f t="shared" si="4"/>
        <v>14.513698333792904</v>
      </c>
      <c r="F78" s="353"/>
      <c r="I78" s="8"/>
      <c r="J78" s="8"/>
      <c r="K78" s="8"/>
      <c r="P78" s="307">
        <f t="array" ref="P78:U78">atorbit4($C$28,C78,$L$6:$O$6)</f>
        <v>3.3942430183763633E-3</v>
      </c>
      <c r="Q78" s="266">
        <v>1.958163511351777E-8</v>
      </c>
      <c r="R78" s="266">
        <v>0</v>
      </c>
      <c r="S78" s="266">
        <v>0</v>
      </c>
      <c r="T78" s="266">
        <v>2.0000000000000004E-2</v>
      </c>
      <c r="U78" s="308"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</row>
    <row r="79" spans="1:90" s="7" customFormat="1" ht="14.25" customHeight="1" outlineLevel="1">
      <c r="A79" s="2"/>
      <c r="B79" s="445">
        <v>0.6</v>
      </c>
      <c r="C79" s="290">
        <f t="shared" si="5"/>
        <v>0.03</v>
      </c>
      <c r="D79" s="444">
        <f t="shared" si="3"/>
        <v>36.356060464655513</v>
      </c>
      <c r="E79" s="444">
        <f t="shared" si="4"/>
        <v>14.577305442664352</v>
      </c>
      <c r="F79" s="283"/>
      <c r="G79" s="283"/>
      <c r="H79" s="283"/>
      <c r="I79" s="8"/>
      <c r="J79" s="8"/>
      <c r="K79" s="8"/>
      <c r="P79" s="307">
        <f t="array" ref="P79:U79">atorbit4($C$28,C79,$L$6:$O$6)</f>
        <v>5.5166607114485932E-3</v>
      </c>
      <c r="Q79" s="266">
        <v>4.0762298914870949E-8</v>
      </c>
      <c r="R79" s="266">
        <v>0</v>
      </c>
      <c r="S79" s="266">
        <v>0</v>
      </c>
      <c r="T79" s="266">
        <v>0.03</v>
      </c>
      <c r="U79" s="308"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</row>
    <row r="80" spans="1:90" s="7" customFormat="1" ht="14.25" customHeight="1" outlineLevel="1">
      <c r="A80" s="2"/>
      <c r="B80" s="445">
        <v>0.8</v>
      </c>
      <c r="C80" s="290">
        <f t="shared" si="5"/>
        <v>4.0000000000000008E-2</v>
      </c>
      <c r="D80" s="444">
        <f t="shared" si="3"/>
        <v>36.20689829140975</v>
      </c>
      <c r="E80" s="444">
        <f t="shared" si="4"/>
        <v>14.642084092440516</v>
      </c>
      <c r="F80" s="283"/>
      <c r="G80" s="283"/>
      <c r="H80" s="283"/>
      <c r="I80" s="8"/>
      <c r="J80" s="8"/>
      <c r="K80" s="8"/>
      <c r="P80" s="307">
        <f t="array" ref="P80:U80">atorbit4($C$28,C80,$L$6:$O$6)</f>
        <v>7.8499041664378683E-3</v>
      </c>
      <c r="Q80" s="266">
        <v>1.1037322642626563E-8</v>
      </c>
      <c r="R80" s="266">
        <v>0</v>
      </c>
      <c r="S80" s="266">
        <v>0</v>
      </c>
      <c r="T80" s="266">
        <v>4.0000000000000008E-2</v>
      </c>
      <c r="U80" s="308"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</row>
    <row r="81" spans="1:90" s="7" customFormat="1" ht="14.25" customHeight="1" outlineLevel="1">
      <c r="A81" s="2"/>
      <c r="B81" s="445">
        <v>1</v>
      </c>
      <c r="C81" s="290">
        <f t="shared" si="5"/>
        <v>0.05</v>
      </c>
      <c r="D81" s="444">
        <f t="shared" si="3"/>
        <v>36.002754283024387</v>
      </c>
      <c r="E81" s="444">
        <f t="shared" si="4"/>
        <v>14.709509531199172</v>
      </c>
      <c r="F81" s="283"/>
      <c r="G81" s="283"/>
      <c r="H81" s="283"/>
      <c r="I81" s="8"/>
      <c r="J81" s="8"/>
      <c r="K81" s="8"/>
      <c r="P81" s="309">
        <f t="array" ref="P81:U81">atorbit4($C$28,C81,$L$6:$O$6)</f>
        <v>1.0350038432020682E-2</v>
      </c>
      <c r="Q81" s="310">
        <v>-7.963690354469436E-11</v>
      </c>
      <c r="R81" s="310">
        <v>0</v>
      </c>
      <c r="S81" s="310">
        <v>0</v>
      </c>
      <c r="T81" s="310">
        <v>0.05</v>
      </c>
      <c r="U81" s="311"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</row>
    <row r="82" spans="1:90" s="7" customFormat="1" ht="14.25" customHeight="1" outlineLevel="1">
      <c r="A82" s="2"/>
      <c r="B82" s="265"/>
      <c r="C82" s="290"/>
      <c r="D82" s="354"/>
      <c r="E82" s="354"/>
      <c r="F82" s="283"/>
      <c r="G82" s="283"/>
      <c r="H82" s="283"/>
      <c r="I82" s="8"/>
      <c r="J82" s="8"/>
      <c r="K82" s="8"/>
      <c r="L82" s="266"/>
      <c r="M82" s="266"/>
      <c r="N82" s="266"/>
      <c r="O82" s="266"/>
      <c r="P82" s="281"/>
      <c r="Q82" s="281"/>
      <c r="R82" s="281"/>
      <c r="S82" s="281"/>
      <c r="T82" s="281"/>
      <c r="U82" s="281"/>
      <c r="V82" s="317"/>
      <c r="W82" s="299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</row>
    <row r="83" spans="1:90" s="7" customFormat="1" ht="14.25" customHeight="1" outlineLevel="1">
      <c r="A83" s="2"/>
      <c r="F83" s="283"/>
      <c r="G83" s="283"/>
      <c r="H83" s="283"/>
      <c r="I83" s="8"/>
      <c r="J83" s="8"/>
      <c r="K83" s="8"/>
      <c r="L83" s="266"/>
      <c r="M83" s="266"/>
      <c r="N83" s="266"/>
      <c r="O83" s="266"/>
      <c r="P83" s="281"/>
      <c r="Q83" s="281"/>
      <c r="R83" s="281"/>
      <c r="S83" s="281"/>
      <c r="T83" s="281"/>
      <c r="U83" s="281"/>
      <c r="V83" s="317"/>
      <c r="W83" s="299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</row>
    <row r="84" spans="1:90" s="7" customFormat="1" ht="14.25" customHeight="1" outlineLevel="1">
      <c r="A84" s="2"/>
      <c r="C84" s="443" t="s">
        <v>775</v>
      </c>
      <c r="D84" s="102">
        <f>(D77-D75)/D76/($C77-$C75)</f>
        <v>0.10437871848850083</v>
      </c>
      <c r="E84" s="102">
        <f>(E77-E75)/E76/($C77-$C75)</f>
        <v>0.46438652944834274</v>
      </c>
      <c r="F84" s="283"/>
      <c r="G84" s="283"/>
      <c r="H84" s="283"/>
      <c r="I84" s="8"/>
      <c r="J84" s="8"/>
      <c r="K84" s="8"/>
      <c r="L84" s="266"/>
      <c r="M84" s="266"/>
      <c r="N84" s="266"/>
      <c r="O84" s="266"/>
      <c r="P84" s="281"/>
      <c r="Q84" s="281"/>
      <c r="R84" s="281"/>
      <c r="S84" s="281"/>
      <c r="T84" s="281"/>
      <c r="U84" s="281"/>
      <c r="V84" s="317"/>
      <c r="W84" s="299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</row>
    <row r="85" spans="1:90" s="7" customFormat="1" ht="14.25" customHeight="1" outlineLevel="1">
      <c r="A85" s="2"/>
      <c r="B85" s="265"/>
      <c r="C85" s="283"/>
      <c r="D85" s="283"/>
      <c r="E85" s="283"/>
      <c r="H85" s="283"/>
      <c r="I85" s="8"/>
      <c r="J85" s="8"/>
      <c r="K85" s="8"/>
      <c r="L85" s="266"/>
      <c r="M85" s="266"/>
      <c r="N85" s="266"/>
      <c r="O85" s="266"/>
      <c r="P85" s="331" t="s">
        <v>421</v>
      </c>
      <c r="Q85" s="264"/>
      <c r="R85" s="264"/>
      <c r="S85" s="264"/>
      <c r="T85" s="264"/>
      <c r="U85" s="264"/>
      <c r="V85" s="264"/>
      <c r="W85" s="332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</row>
    <row r="86" spans="1:90" s="7" customFormat="1" ht="14.25" customHeight="1" outlineLevel="1">
      <c r="A86" s="2"/>
      <c r="B86" s="265"/>
      <c r="C86" s="283"/>
      <c r="D86" s="283"/>
      <c r="E86" s="283"/>
      <c r="H86" s="283"/>
      <c r="I86" s="8"/>
      <c r="J86" s="8"/>
      <c r="K86" s="8"/>
      <c r="L86" s="266"/>
      <c r="M86" s="266"/>
      <c r="N86" s="266"/>
      <c r="O86" s="266"/>
      <c r="P86" s="315" t="s">
        <v>816</v>
      </c>
      <c r="Q86" s="316" t="s">
        <v>925</v>
      </c>
      <c r="R86" s="316" t="s">
        <v>749</v>
      </c>
      <c r="S86" s="316" t="s">
        <v>1096</v>
      </c>
      <c r="T86" s="316" t="s">
        <v>320</v>
      </c>
      <c r="U86" s="316" t="s">
        <v>446</v>
      </c>
      <c r="V86" s="321" t="s">
        <v>528</v>
      </c>
      <c r="W86" s="322" t="s">
        <v>529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</row>
    <row r="87" spans="1:90" s="7" customFormat="1" ht="14.25" customHeight="1" outlineLevel="1">
      <c r="A87" s="2"/>
      <c r="B87" s="265"/>
      <c r="C87" s="283"/>
      <c r="D87" s="283"/>
      <c r="E87" s="283"/>
      <c r="H87" s="283"/>
      <c r="I87" s="8"/>
      <c r="J87" s="8"/>
      <c r="K87" s="8"/>
      <c r="L87" s="266"/>
      <c r="M87" s="266"/>
      <c r="N87" s="266"/>
      <c r="O87" s="266"/>
      <c r="P87" s="312">
        <f t="shared" ref="P87:P97" si="6">P71+$F$64</f>
        <v>-9.0999522079209438E-4</v>
      </c>
      <c r="Q87" s="281">
        <f t="shared" ref="Q87:Q97" si="7">Q71</f>
        <v>3.0727216841552516E-8</v>
      </c>
      <c r="R87" s="281">
        <f t="shared" ref="R87:R97" si="8">R71+$F$64</f>
        <v>9.9999999999999995E-7</v>
      </c>
      <c r="S87" s="281">
        <f t="shared" ref="S87:U97" si="9">S71</f>
        <v>0</v>
      </c>
      <c r="T87" s="281">
        <f t="shared" si="9"/>
        <v>-0.05</v>
      </c>
      <c r="U87" s="281">
        <f t="shared" si="9"/>
        <v>0</v>
      </c>
      <c r="V87" s="317">
        <f t="array" ref="V87:W87">attune($C$28,P87:U87,$F$63)</f>
        <v>0.27431414326311321</v>
      </c>
      <c r="W87" s="318">
        <v>0.11851791360698777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</row>
    <row r="88" spans="1:90" s="7" customFormat="1" ht="14.25" customHeight="1" outlineLevel="1">
      <c r="A88" s="2"/>
      <c r="B88" s="265"/>
      <c r="C88" s="283"/>
      <c r="D88" s="283"/>
      <c r="E88" s="283"/>
      <c r="F88" s="283"/>
      <c r="G88" s="283"/>
      <c r="H88" s="283"/>
      <c r="I88" s="8"/>
      <c r="J88" s="8"/>
      <c r="K88" s="8"/>
      <c r="L88" s="266"/>
      <c r="M88" s="266"/>
      <c r="N88" s="266"/>
      <c r="O88" s="266"/>
      <c r="P88" s="312">
        <f t="shared" si="6"/>
        <v>-1.5945269975065947E-3</v>
      </c>
      <c r="Q88" s="281">
        <f t="shared" si="7"/>
        <v>1.2813222326100493E-8</v>
      </c>
      <c r="R88" s="281">
        <f t="shared" si="8"/>
        <v>9.9999999999999995E-7</v>
      </c>
      <c r="S88" s="281">
        <f t="shared" si="9"/>
        <v>0</v>
      </c>
      <c r="T88" s="281">
        <f t="shared" si="9"/>
        <v>-4.0000000000000008E-2</v>
      </c>
      <c r="U88" s="281">
        <f t="shared" si="9"/>
        <v>0</v>
      </c>
      <c r="V88" s="317">
        <f t="array" ref="V88:W88">attune($C$28,P88:U88,$F$63)</f>
        <v>0.26428379556424503</v>
      </c>
      <c r="W88" s="318">
        <v>0.11727735075865554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</row>
    <row r="89" spans="1:90" s="7" customFormat="1" ht="14.25" customHeight="1" outlineLevel="1">
      <c r="A89" s="2"/>
      <c r="B89" s="265"/>
      <c r="C89" s="289"/>
      <c r="D89" s="355"/>
      <c r="E89" s="355"/>
      <c r="F89" s="283"/>
      <c r="G89" s="283"/>
      <c r="H89" s="283"/>
      <c r="I89" s="8"/>
      <c r="J89" s="8"/>
      <c r="K89" s="8"/>
      <c r="L89" s="266"/>
      <c r="M89" s="266"/>
      <c r="N89" s="266"/>
      <c r="O89" s="266"/>
      <c r="P89" s="312">
        <f t="shared" si="6"/>
        <v>-1.9521131284368173E-3</v>
      </c>
      <c r="Q89" s="281">
        <f t="shared" si="7"/>
        <v>7.4812351165286897E-9</v>
      </c>
      <c r="R89" s="281">
        <f t="shared" si="8"/>
        <v>9.9999999999999995E-7</v>
      </c>
      <c r="S89" s="281">
        <f t="shared" si="9"/>
        <v>0</v>
      </c>
      <c r="T89" s="281">
        <f t="shared" si="9"/>
        <v>-0.03</v>
      </c>
      <c r="U89" s="281">
        <f t="shared" si="9"/>
        <v>0</v>
      </c>
      <c r="V89" s="317">
        <f t="array" ref="V89:W89">attune($C$28,P89:U89,$F$63)</f>
        <v>0.26500995394003046</v>
      </c>
      <c r="W89" s="318">
        <v>0.11385489624027306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</row>
    <row r="90" spans="1:90" s="7" customFormat="1" ht="14.25" customHeight="1" outlineLevel="1">
      <c r="A90" s="2"/>
      <c r="B90" s="265"/>
      <c r="C90" s="289"/>
      <c r="D90" s="355"/>
      <c r="E90" s="355"/>
      <c r="F90" s="283"/>
      <c r="G90" s="283"/>
      <c r="H90" s="283"/>
      <c r="I90" s="8"/>
      <c r="J90" s="8"/>
      <c r="K90" s="8"/>
      <c r="L90" s="266"/>
      <c r="M90" s="266"/>
      <c r="N90" s="266"/>
      <c r="O90" s="266"/>
      <c r="P90" s="312">
        <f t="shared" si="6"/>
        <v>-1.806179619511178E-3</v>
      </c>
      <c r="Q90" s="281">
        <f t="shared" si="7"/>
        <v>1.7200668962459288E-8</v>
      </c>
      <c r="R90" s="281">
        <f t="shared" si="8"/>
        <v>9.9999999999999995E-7</v>
      </c>
      <c r="S90" s="281">
        <f t="shared" si="9"/>
        <v>0</v>
      </c>
      <c r="T90" s="281">
        <f t="shared" si="9"/>
        <v>-2.0000000000000004E-2</v>
      </c>
      <c r="U90" s="281">
        <f t="shared" si="9"/>
        <v>0</v>
      </c>
      <c r="V90" s="317">
        <f t="array" ref="V90:W90">attune($C$28,P90:U90,$F$63)</f>
        <v>0.27007844799706127</v>
      </c>
      <c r="W90" s="318">
        <v>0.10961117210763145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</row>
    <row r="91" spans="1:90" s="7" customFormat="1" ht="14.25" customHeight="1" outlineLevel="1">
      <c r="A91" s="2"/>
      <c r="B91" s="265"/>
      <c r="C91" s="283"/>
      <c r="D91" s="283"/>
      <c r="E91" s="283"/>
      <c r="F91" s="283"/>
      <c r="G91" s="283"/>
      <c r="H91" s="283"/>
      <c r="I91" s="8"/>
      <c r="J91" s="8"/>
      <c r="K91" s="8"/>
      <c r="L91" s="266"/>
      <c r="M91" s="266"/>
      <c r="N91" s="266"/>
      <c r="O91" s="266"/>
      <c r="P91" s="312">
        <f t="shared" si="6"/>
        <v>-1.1373468443586136E-3</v>
      </c>
      <c r="Q91" s="281">
        <f t="shared" si="7"/>
        <v>1.9500531814997592E-8</v>
      </c>
      <c r="R91" s="281">
        <f t="shared" si="8"/>
        <v>9.9999999999999995E-7</v>
      </c>
      <c r="S91" s="281">
        <f t="shared" si="9"/>
        <v>0</v>
      </c>
      <c r="T91" s="281">
        <f t="shared" si="9"/>
        <v>-1.0000000000000002E-2</v>
      </c>
      <c r="U91" s="281">
        <f t="shared" si="9"/>
        <v>0</v>
      </c>
      <c r="V91" s="317">
        <f t="array" ref="V91:W91">attune($C$28,P91:U91,$F$63)</f>
        <v>0.27554867437693153</v>
      </c>
      <c r="W91" s="318">
        <v>0.10523755361371555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</row>
    <row r="92" spans="1:90" s="7" customFormat="1" ht="14.25" customHeight="1" outlineLevel="1">
      <c r="A92" s="2"/>
      <c r="B92" s="265"/>
      <c r="C92" s="283"/>
      <c r="D92" s="283"/>
      <c r="E92" s="283"/>
      <c r="F92" s="283"/>
      <c r="G92" s="283"/>
      <c r="H92" s="283"/>
      <c r="I92" s="8"/>
      <c r="J92" s="8"/>
      <c r="K92" s="8"/>
      <c r="L92" s="266"/>
      <c r="M92" s="266"/>
      <c r="N92" s="266"/>
      <c r="O92" s="266"/>
      <c r="P92" s="312">
        <f t="shared" si="6"/>
        <v>9.9999999999999995E-7</v>
      </c>
      <c r="Q92" s="281">
        <f t="shared" si="7"/>
        <v>0</v>
      </c>
      <c r="R92" s="281">
        <f t="shared" si="8"/>
        <v>9.9999999999999995E-7</v>
      </c>
      <c r="S92" s="281">
        <f t="shared" si="9"/>
        <v>0</v>
      </c>
      <c r="T92" s="281">
        <f t="shared" si="9"/>
        <v>0</v>
      </c>
      <c r="U92" s="281">
        <f t="shared" si="9"/>
        <v>0</v>
      </c>
      <c r="V92" s="317">
        <f t="array" ref="V92:W92">attune($C$28,P92:U92,$F$63)</f>
        <v>0.27931232837644221</v>
      </c>
      <c r="W92" s="318">
        <v>0.10098452654275124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</row>
    <row r="93" spans="1:90" s="7" customFormat="1" ht="14.25" customHeight="1" outlineLevel="1">
      <c r="A93" s="2"/>
      <c r="B93" s="265"/>
      <c r="C93" s="283"/>
      <c r="D93" s="283"/>
      <c r="E93" s="283"/>
      <c r="F93" s="283"/>
      <c r="G93" s="283"/>
      <c r="H93" s="283"/>
      <c r="I93" s="8"/>
      <c r="J93" s="8"/>
      <c r="K93" s="8"/>
      <c r="L93" s="266"/>
      <c r="M93" s="266"/>
      <c r="N93" s="266"/>
      <c r="O93" s="266"/>
      <c r="P93" s="312">
        <f t="shared" si="6"/>
        <v>1.53537857983779E-3</v>
      </c>
      <c r="Q93" s="281">
        <f t="shared" si="7"/>
        <v>2.0690587852939206E-8</v>
      </c>
      <c r="R93" s="281">
        <f t="shared" si="8"/>
        <v>9.9999999999999995E-7</v>
      </c>
      <c r="S93" s="281">
        <f t="shared" si="9"/>
        <v>0</v>
      </c>
      <c r="T93" s="281">
        <f t="shared" si="9"/>
        <v>1.0000000000000002E-2</v>
      </c>
      <c r="U93" s="281">
        <f t="shared" si="9"/>
        <v>0</v>
      </c>
      <c r="V93" s="317">
        <f t="array" ref="V93:W93">attune($C$28,P93:U93,$F$63)</f>
        <v>0.28030690837435135</v>
      </c>
      <c r="W93" s="318">
        <v>9.6887740100932138E-2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</row>
    <row r="94" spans="1:90" s="7" customFormat="1" ht="14.25" customHeight="1" outlineLevel="1">
      <c r="A94" s="2"/>
      <c r="B94" s="265"/>
      <c r="C94" s="283"/>
      <c r="D94" s="283"/>
      <c r="E94" s="283"/>
      <c r="F94" s="283"/>
      <c r="G94" s="283"/>
      <c r="H94" s="283"/>
      <c r="I94" s="8"/>
      <c r="J94" s="8"/>
      <c r="K94" s="8"/>
      <c r="L94" s="266"/>
      <c r="M94" s="266"/>
      <c r="N94" s="266"/>
      <c r="O94" s="266"/>
      <c r="P94" s="312">
        <f t="shared" si="6"/>
        <v>3.3952430183763634E-3</v>
      </c>
      <c r="Q94" s="281">
        <f t="shared" si="7"/>
        <v>1.958163511351777E-8</v>
      </c>
      <c r="R94" s="281">
        <f t="shared" si="8"/>
        <v>9.9999999999999995E-7</v>
      </c>
      <c r="S94" s="281">
        <f t="shared" si="9"/>
        <v>0</v>
      </c>
      <c r="T94" s="281">
        <f t="shared" si="9"/>
        <v>2.0000000000000004E-2</v>
      </c>
      <c r="U94" s="281">
        <f t="shared" si="9"/>
        <v>0</v>
      </c>
      <c r="V94" s="317">
        <f t="array" ref="V94:W94">attune($C$28,P94:U94,$F$63)</f>
        <v>0.27802477193795538</v>
      </c>
      <c r="W94" s="318">
        <v>9.2893854137943474E-2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</row>
    <row r="95" spans="1:90" s="7" customFormat="1" ht="14.25" customHeight="1" outlineLevel="1">
      <c r="A95" s="2"/>
      <c r="B95" s="265"/>
      <c r="C95" s="283"/>
      <c r="D95" s="283"/>
      <c r="E95" s="283"/>
      <c r="F95" s="283"/>
      <c r="G95" s="283"/>
      <c r="H95" s="283"/>
      <c r="I95" s="8"/>
      <c r="J95" s="8"/>
      <c r="K95" s="8"/>
      <c r="L95" s="266"/>
      <c r="M95" s="266"/>
      <c r="N95" s="266"/>
      <c r="O95" s="266"/>
      <c r="P95" s="312">
        <f t="shared" si="6"/>
        <v>5.5176607114485934E-3</v>
      </c>
      <c r="Q95" s="281">
        <f t="shared" si="7"/>
        <v>4.0762298914870949E-8</v>
      </c>
      <c r="R95" s="281">
        <f t="shared" si="8"/>
        <v>9.9999999999999995E-7</v>
      </c>
      <c r="S95" s="281">
        <f t="shared" si="9"/>
        <v>0</v>
      </c>
      <c r="T95" s="281">
        <f t="shared" si="9"/>
        <v>0.03</v>
      </c>
      <c r="U95" s="281">
        <f t="shared" si="9"/>
        <v>0</v>
      </c>
      <c r="V95" s="317">
        <f t="array" ref="V95:W95">attune($C$28,P95:U95,$F$63)</f>
        <v>0.27225377904096937</v>
      </c>
      <c r="W95" s="318">
        <v>8.8918409833477971E-2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</row>
    <row r="96" spans="1:90" s="7" customFormat="1" ht="14.25" customHeight="1" outlineLevel="1">
      <c r="A96" s="2"/>
      <c r="B96" s="265"/>
      <c r="C96" s="290"/>
      <c r="D96" s="354"/>
      <c r="E96" s="354"/>
      <c r="F96" s="283"/>
      <c r="G96" s="283"/>
      <c r="H96" s="283"/>
      <c r="I96" s="8"/>
      <c r="J96" s="8"/>
      <c r="K96" s="8"/>
      <c r="L96" s="266"/>
      <c r="M96" s="266"/>
      <c r="N96" s="266"/>
      <c r="O96" s="266"/>
      <c r="P96" s="312">
        <f t="shared" si="6"/>
        <v>7.8509041664378675E-3</v>
      </c>
      <c r="Q96" s="281">
        <f t="shared" si="7"/>
        <v>1.1037322642626563E-8</v>
      </c>
      <c r="R96" s="281">
        <f t="shared" si="8"/>
        <v>9.9999999999999995E-7</v>
      </c>
      <c r="S96" s="281">
        <f t="shared" si="9"/>
        <v>0</v>
      </c>
      <c r="T96" s="281">
        <f t="shared" si="9"/>
        <v>4.0000000000000008E-2</v>
      </c>
      <c r="U96" s="281">
        <f t="shared" si="9"/>
        <v>0</v>
      </c>
      <c r="V96" s="317">
        <f t="array" ref="V96:W96">attune($C$28,P96:U96,$F$63)</f>
        <v>0.26293114321310956</v>
      </c>
      <c r="W96" s="318">
        <v>8.4869744222467736E-2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</row>
    <row r="97" spans="1:90" s="7" customFormat="1" ht="14.25" customHeight="1" outlineLevel="1">
      <c r="A97" s="2"/>
      <c r="B97" s="265"/>
      <c r="C97" s="290"/>
      <c r="D97" s="354"/>
      <c r="E97" s="354"/>
      <c r="F97" s="283"/>
      <c r="G97" s="283"/>
      <c r="H97" s="283"/>
      <c r="I97" s="8"/>
      <c r="J97" s="8"/>
      <c r="K97" s="8"/>
      <c r="L97" s="266"/>
      <c r="M97" s="266"/>
      <c r="N97" s="266"/>
      <c r="O97" s="266"/>
      <c r="P97" s="313">
        <f t="shared" si="6"/>
        <v>1.0351038432020681E-2</v>
      </c>
      <c r="Q97" s="314">
        <f t="shared" si="7"/>
        <v>-7.963690354469436E-11</v>
      </c>
      <c r="R97" s="314">
        <f t="shared" si="8"/>
        <v>9.9999999999999995E-7</v>
      </c>
      <c r="S97" s="314">
        <f t="shared" si="9"/>
        <v>0</v>
      </c>
      <c r="T97" s="314">
        <f t="shared" si="9"/>
        <v>0.05</v>
      </c>
      <c r="U97" s="314">
        <f t="shared" si="9"/>
        <v>0</v>
      </c>
      <c r="V97" s="319">
        <f t="array" ref="V97:W97">attune($C$28,P97:U97,$F$63)</f>
        <v>0.2501721426890241</v>
      </c>
      <c r="W97" s="320">
        <v>8.0655654300051699E-2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</row>
    <row r="98" spans="1:90" s="7" customFormat="1" ht="14.25" customHeight="1" outlineLevel="1">
      <c r="A98" s="2"/>
      <c r="B98" s="265"/>
      <c r="C98" s="290"/>
      <c r="D98" s="354"/>
      <c r="E98" s="354"/>
      <c r="F98" s="283"/>
      <c r="G98" s="283"/>
      <c r="H98" s="283"/>
      <c r="I98" s="8"/>
      <c r="J98" s="8"/>
      <c r="K98" s="8"/>
      <c r="L98" s="266"/>
      <c r="M98" s="266"/>
      <c r="N98" s="266"/>
      <c r="O98" s="266"/>
      <c r="P98" s="266"/>
      <c r="Q98" s="266"/>
      <c r="T98" s="281"/>
      <c r="U98" s="281"/>
      <c r="V98" s="281"/>
      <c r="W98" s="281"/>
      <c r="X98" s="281"/>
      <c r="Y98" s="281"/>
      <c r="Z98" s="317"/>
      <c r="AA98" s="299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</row>
    <row r="99" spans="1:90" s="7" customFormat="1" ht="14.25" customHeight="1" outlineLevel="1">
      <c r="A99" s="2"/>
      <c r="C99" s="25"/>
      <c r="D99" s="112"/>
      <c r="E99" s="112"/>
      <c r="F99" s="112"/>
      <c r="G99" s="17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</row>
    <row r="100" spans="1:90" s="2" customFormat="1" ht="15.75" customHeight="1">
      <c r="B100" s="1" t="s">
        <v>522</v>
      </c>
      <c r="D100" s="3"/>
    </row>
    <row r="101" spans="1:90" s="7" customFormat="1" ht="14.25" customHeight="1" outlineLevel="1">
      <c r="A101" s="2"/>
      <c r="C101" s="25"/>
      <c r="D101" s="112"/>
      <c r="E101" s="112"/>
      <c r="F101" s="112"/>
      <c r="G101" s="17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</row>
    <row r="102" spans="1:90" s="7" customFormat="1" ht="14.25" customHeight="1" outlineLevel="1">
      <c r="A102" s="2"/>
      <c r="C102" s="25"/>
      <c r="D102" s="112"/>
      <c r="E102" s="245" t="s">
        <v>320</v>
      </c>
      <c r="F102" s="285">
        <v>0</v>
      </c>
      <c r="G102" s="17"/>
      <c r="H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</row>
    <row r="103" spans="1:90" s="7" customFormat="1" ht="14.25" customHeight="1" outlineLevel="1">
      <c r="A103" s="2"/>
      <c r="C103" s="25"/>
      <c r="D103" s="112"/>
      <c r="E103" s="286"/>
      <c r="F103" s="287"/>
      <c r="G103" s="17"/>
      <c r="H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</row>
    <row r="104" spans="1:90" s="7" customFormat="1" ht="14.25" customHeight="1" outlineLevel="1">
      <c r="A104" s="2"/>
      <c r="B104" s="267"/>
      <c r="C104" s="288" t="s">
        <v>739</v>
      </c>
      <c r="D104" s="282"/>
      <c r="G104" s="288" t="s">
        <v>740</v>
      </c>
      <c r="H104" s="282"/>
      <c r="I104" s="282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</row>
    <row r="105" spans="1:90" s="7" customFormat="1" ht="14.25" customHeight="1" outlineLevel="1">
      <c r="A105" s="2"/>
      <c r="B105" s="267"/>
      <c r="C105" s="288">
        <v>0.02</v>
      </c>
      <c r="D105" s="282"/>
      <c r="G105" s="288">
        <v>5.0000000000000001E-3</v>
      </c>
      <c r="H105" s="282"/>
      <c r="I105" s="282"/>
      <c r="L105" s="328" t="s">
        <v>627</v>
      </c>
      <c r="M105" s="329"/>
      <c r="N105" s="329"/>
      <c r="O105" s="329"/>
      <c r="P105" s="333"/>
      <c r="Q105" s="333"/>
      <c r="R105" s="329"/>
      <c r="S105" s="330"/>
      <c r="T105" s="334" t="s">
        <v>1107</v>
      </c>
      <c r="U105" s="264"/>
      <c r="V105" s="264"/>
      <c r="W105" s="264"/>
      <c r="X105" s="264"/>
      <c r="Y105" s="264"/>
      <c r="Z105" s="264"/>
      <c r="AA105" s="332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</row>
    <row r="106" spans="1:90" s="7" customFormat="1" ht="14.25" customHeight="1" outlineLevel="1">
      <c r="A106" s="2"/>
      <c r="B106" s="267"/>
      <c r="C106" s="277" t="s">
        <v>848</v>
      </c>
      <c r="D106" s="289" t="s">
        <v>1021</v>
      </c>
      <c r="E106" s="277" t="s">
        <v>860</v>
      </c>
      <c r="F106" s="278" t="s">
        <v>794</v>
      </c>
      <c r="G106" s="277" t="s">
        <v>849</v>
      </c>
      <c r="H106" s="289" t="s">
        <v>610</v>
      </c>
      <c r="I106" s="278" t="s">
        <v>860</v>
      </c>
      <c r="J106" s="277" t="s">
        <v>794</v>
      </c>
      <c r="K106" s="8"/>
      <c r="L106" s="315" t="s">
        <v>816</v>
      </c>
      <c r="M106" s="316" t="s">
        <v>925</v>
      </c>
      <c r="N106" s="316" t="s">
        <v>749</v>
      </c>
      <c r="O106" s="316" t="s">
        <v>1096</v>
      </c>
      <c r="P106" s="316" t="s">
        <v>320</v>
      </c>
      <c r="Q106" s="316" t="s">
        <v>446</v>
      </c>
      <c r="R106" s="323" t="s">
        <v>528</v>
      </c>
      <c r="S106" s="324" t="s">
        <v>529</v>
      </c>
      <c r="T106" s="316" t="s">
        <v>816</v>
      </c>
      <c r="U106" s="316" t="s">
        <v>925</v>
      </c>
      <c r="V106" s="316" t="s">
        <v>749</v>
      </c>
      <c r="W106" s="316" t="s">
        <v>1096</v>
      </c>
      <c r="X106" s="316" t="s">
        <v>320</v>
      </c>
      <c r="Y106" s="316" t="s">
        <v>446</v>
      </c>
      <c r="Z106" s="321" t="s">
        <v>528</v>
      </c>
      <c r="AA106" s="322" t="s">
        <v>529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</row>
    <row r="107" spans="1:90" s="7" customFormat="1" ht="14.25" customHeight="1" outlineLevel="1">
      <c r="A107" s="2"/>
      <c r="B107" s="268">
        <v>0</v>
      </c>
      <c r="C107" s="283">
        <v>9.9999999999999995E-7</v>
      </c>
      <c r="D107" s="276">
        <f t="shared" ref="D107:D118" si="10">L$5*$L107*$L107+2*L$4*$L107*$M107+L$3*$M107*$M107</f>
        <v>2.8475746174345522E-14</v>
      </c>
      <c r="E107" s="299">
        <f t="shared" ref="E107:E117" si="11">Q$67+Q$66*R107</f>
        <v>36.468997254023073</v>
      </c>
      <c r="F107" s="299">
        <f t="shared" ref="F107:F117" si="12">R$67+R$66*S107</f>
        <v>14.38424757531598</v>
      </c>
      <c r="G107" s="283">
        <v>9.9999999999999995E-7</v>
      </c>
      <c r="H107" s="276">
        <f t="shared" ref="H107:H118" si="13">N$5*$V107*$V107+2*N$4*$V107*$W107+N$3*$W107*$W107</f>
        <v>3.9615593407132796E-13</v>
      </c>
      <c r="I107" s="299">
        <f t="shared" ref="I107:I117" si="14">Q$67+Q$66*Z107</f>
        <v>36.468997254023073</v>
      </c>
      <c r="J107" s="299">
        <f t="shared" ref="J107:J117" si="15">R$67+R$66*AA107</f>
        <v>14.38424757531598</v>
      </c>
      <c r="K107" s="8"/>
      <c r="L107" s="312">
        <f>C107</f>
        <v>9.9999999999999995E-7</v>
      </c>
      <c r="M107" s="281">
        <v>0</v>
      </c>
      <c r="N107" s="281">
        <f>$F$64</f>
        <v>9.9999999999999995E-7</v>
      </c>
      <c r="O107" s="281">
        <v>0</v>
      </c>
      <c r="P107" s="281">
        <f t="shared" ref="P107:P118" si="16">$F$102</f>
        <v>0</v>
      </c>
      <c r="Q107" s="281">
        <v>0</v>
      </c>
      <c r="R107" s="317">
        <f t="array" ref="R107:S107">attune($C$28,L107:Q107,$F$63)</f>
        <v>0.27931232837644221</v>
      </c>
      <c r="S107" s="318">
        <v>0.10098452654275124</v>
      </c>
      <c r="T107" s="281">
        <f>$F$64</f>
        <v>9.9999999999999995E-7</v>
      </c>
      <c r="U107" s="281">
        <v>0</v>
      </c>
      <c r="V107" s="281">
        <f t="shared" ref="V107:V118" si="17">G107</f>
        <v>9.9999999999999995E-7</v>
      </c>
      <c r="W107" s="281">
        <v>0</v>
      </c>
      <c r="X107" s="281">
        <f t="shared" ref="X107:X118" si="18">$F$102</f>
        <v>0</v>
      </c>
      <c r="Y107" s="281">
        <v>0</v>
      </c>
      <c r="Z107" s="317">
        <f t="array" ref="Z107:AA107">attune($C$28,T107:Y107,$F$63)</f>
        <v>0.27931232837644221</v>
      </c>
      <c r="AA107" s="318">
        <v>0.10098452654275124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</row>
    <row r="108" spans="1:90" s="7" customFormat="1" ht="14.25" customHeight="1" outlineLevel="1">
      <c r="A108" s="2"/>
      <c r="B108" s="268">
        <v>0.31622776601683794</v>
      </c>
      <c r="C108" s="283">
        <f t="shared" ref="C108:C117" si="19">C$105*$B108</f>
        <v>6.3245553203367588E-3</v>
      </c>
      <c r="D108" s="276">
        <f t="shared" si="10"/>
        <v>1.1390298469738212E-6</v>
      </c>
      <c r="E108" s="299">
        <f t="shared" si="11"/>
        <v>36.458841226147008</v>
      </c>
      <c r="F108" s="299">
        <f t="shared" si="12"/>
        <v>14.377065008986968</v>
      </c>
      <c r="G108" s="283">
        <f t="shared" ref="G108:G117" si="20">G$105*$B108</f>
        <v>1.5811388300841897E-3</v>
      </c>
      <c r="H108" s="276">
        <f t="shared" si="13"/>
        <v>9.9038983517832008E-7</v>
      </c>
      <c r="I108" s="299">
        <f t="shared" si="14"/>
        <v>36.4634576765134</v>
      </c>
      <c r="J108" s="299">
        <f t="shared" si="15"/>
        <v>14.379356574956955</v>
      </c>
      <c r="K108" s="8"/>
      <c r="L108" s="312">
        <f t="shared" ref="L108:L118" si="21">C108</f>
        <v>6.3245553203367588E-3</v>
      </c>
      <c r="M108" s="281">
        <v>0</v>
      </c>
      <c r="N108" s="281">
        <f t="shared" ref="N108:N118" si="22">$F$64</f>
        <v>9.9999999999999995E-7</v>
      </c>
      <c r="O108" s="281">
        <v>0</v>
      </c>
      <c r="P108" s="281">
        <f t="shared" si="16"/>
        <v>0</v>
      </c>
      <c r="Q108" s="281">
        <v>0</v>
      </c>
      <c r="R108" s="317">
        <f t="array" ref="R108:S108">attune($C$28,L108:Q108,$F$63)</f>
        <v>0.27867757663418818</v>
      </c>
      <c r="S108" s="318">
        <v>0.10143343693831454</v>
      </c>
      <c r="T108" s="281">
        <f t="shared" ref="T108:T118" si="23">$F$64</f>
        <v>9.9999999999999995E-7</v>
      </c>
      <c r="U108" s="281">
        <v>0</v>
      </c>
      <c r="V108" s="281">
        <f t="shared" si="17"/>
        <v>1.5811388300841897E-3</v>
      </c>
      <c r="W108" s="281">
        <v>0</v>
      </c>
      <c r="X108" s="281">
        <f t="shared" si="18"/>
        <v>0</v>
      </c>
      <c r="Y108" s="281">
        <v>0</v>
      </c>
      <c r="Z108" s="317">
        <f t="array" ref="Z108:AA108">attune($C$28,T108:Y108,$F$63)</f>
        <v>0.27896610478208733</v>
      </c>
      <c r="AA108" s="318">
        <v>0.1012902140651904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</row>
    <row r="109" spans="1:90" s="7" customFormat="1" ht="14.25" customHeight="1" outlineLevel="1">
      <c r="A109" s="2"/>
      <c r="B109" s="268">
        <v>0.44721359549995793</v>
      </c>
      <c r="C109" s="283">
        <f t="shared" si="19"/>
        <v>8.9442719099991595E-3</v>
      </c>
      <c r="D109" s="276">
        <f t="shared" si="10"/>
        <v>2.2780596939476419E-6</v>
      </c>
      <c r="E109" s="299">
        <f t="shared" si="11"/>
        <v>36.447286673408939</v>
      </c>
      <c r="F109" s="299">
        <f t="shared" si="12"/>
        <v>14.369564650918077</v>
      </c>
      <c r="G109" s="283">
        <f t="shared" si="20"/>
        <v>2.2360679774997899E-3</v>
      </c>
      <c r="H109" s="276">
        <f t="shared" si="13"/>
        <v>1.9807796703566406E-6</v>
      </c>
      <c r="I109" s="299">
        <f t="shared" si="14"/>
        <v>36.458177396925358</v>
      </c>
      <c r="J109" s="299">
        <f t="shared" si="15"/>
        <v>14.374623180640125</v>
      </c>
      <c r="K109" s="8"/>
      <c r="L109" s="312">
        <f t="shared" si="21"/>
        <v>8.9442719099991595E-3</v>
      </c>
      <c r="M109" s="281">
        <v>0</v>
      </c>
      <c r="N109" s="281">
        <f t="shared" si="22"/>
        <v>9.9999999999999995E-7</v>
      </c>
      <c r="O109" s="281">
        <v>0</v>
      </c>
      <c r="P109" s="281">
        <f t="shared" si="16"/>
        <v>0</v>
      </c>
      <c r="Q109" s="281">
        <v>0</v>
      </c>
      <c r="R109" s="317">
        <f t="array" ref="R109:S109">attune($C$28,L109:Q109,$F$63)</f>
        <v>0.27795541708805871</v>
      </c>
      <c r="S109" s="318">
        <v>0.10190220931762015</v>
      </c>
      <c r="T109" s="281">
        <f t="shared" si="23"/>
        <v>9.9999999999999995E-7</v>
      </c>
      <c r="U109" s="281">
        <v>0</v>
      </c>
      <c r="V109" s="281">
        <f t="shared" si="17"/>
        <v>2.2360679774997899E-3</v>
      </c>
      <c r="W109" s="281">
        <v>0</v>
      </c>
      <c r="X109" s="281">
        <f t="shared" si="18"/>
        <v>0</v>
      </c>
      <c r="Y109" s="281">
        <v>0</v>
      </c>
      <c r="Z109" s="317">
        <f t="array" ref="Z109:AA109">attune($C$28,T109:Y109,$F$63)</f>
        <v>0.27863608730783501</v>
      </c>
      <c r="AA109" s="318">
        <v>0.1015860512099922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</row>
    <row r="110" spans="1:90" s="7" customFormat="1" ht="14.25" customHeight="1" outlineLevel="1">
      <c r="A110" s="2"/>
      <c r="B110" s="268">
        <v>0.54772255750516607</v>
      </c>
      <c r="C110" s="283">
        <f t="shared" si="19"/>
        <v>1.0954451150103321E-2</v>
      </c>
      <c r="D110" s="276">
        <f t="shared" si="10"/>
        <v>3.4170895409214622E-6</v>
      </c>
      <c r="E110" s="299">
        <f t="shared" si="11"/>
        <v>36.434846886477835</v>
      </c>
      <c r="F110" s="299">
        <f t="shared" si="12"/>
        <v>14.362114023978126</v>
      </c>
      <c r="G110" s="283">
        <f t="shared" si="20"/>
        <v>2.7386127875258302E-3</v>
      </c>
      <c r="H110" s="276">
        <f t="shared" si="13"/>
        <v>2.9711695055349596E-6</v>
      </c>
      <c r="I110" s="299">
        <f t="shared" si="14"/>
        <v>36.453149910422241</v>
      </c>
      <c r="J110" s="299">
        <f t="shared" si="15"/>
        <v>14.370044443656138</v>
      </c>
      <c r="K110" s="8"/>
      <c r="L110" s="312">
        <f t="shared" si="21"/>
        <v>1.0954451150103321E-2</v>
      </c>
      <c r="M110" s="281">
        <v>0</v>
      </c>
      <c r="N110" s="281">
        <f t="shared" si="22"/>
        <v>9.9999999999999995E-7</v>
      </c>
      <c r="O110" s="281">
        <v>0</v>
      </c>
      <c r="P110" s="281">
        <f t="shared" si="16"/>
        <v>0</v>
      </c>
      <c r="Q110" s="281">
        <v>0</v>
      </c>
      <c r="R110" s="317">
        <f t="array" ref="R110:S110">attune($C$28,L110:Q110,$F$63)</f>
        <v>0.27717793040486466</v>
      </c>
      <c r="S110" s="318">
        <v>0.10236787350136713</v>
      </c>
      <c r="T110" s="281">
        <f t="shared" si="23"/>
        <v>9.9999999999999995E-7</v>
      </c>
      <c r="U110" s="281">
        <v>0</v>
      </c>
      <c r="V110" s="281">
        <f t="shared" si="17"/>
        <v>2.7386127875258302E-3</v>
      </c>
      <c r="W110" s="281">
        <v>0</v>
      </c>
      <c r="X110" s="281">
        <f t="shared" si="18"/>
        <v>0</v>
      </c>
      <c r="Y110" s="281">
        <v>0</v>
      </c>
      <c r="Z110" s="317">
        <f t="array" ref="Z110:AA110">attune($C$28,T110:Y110,$F$63)</f>
        <v>0.27832186940138992</v>
      </c>
      <c r="AA110" s="318">
        <v>0.10187222227149136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</row>
    <row r="111" spans="1:90" s="7" customFormat="1" ht="14.25" customHeight="1" outlineLevel="1">
      <c r="A111" s="2"/>
      <c r="B111" s="268">
        <v>0.63245553203367588</v>
      </c>
      <c r="C111" s="283">
        <f t="shared" si="19"/>
        <v>1.2649110640673518E-2</v>
      </c>
      <c r="D111" s="276">
        <f t="shared" si="10"/>
        <v>4.5561193878952846E-6</v>
      </c>
      <c r="E111" s="299">
        <f t="shared" si="11"/>
        <v>36.421888929719771</v>
      </c>
      <c r="F111" s="299">
        <f t="shared" si="12"/>
        <v>14.354917292436012</v>
      </c>
      <c r="G111" s="283">
        <f t="shared" si="20"/>
        <v>3.1622776601683794E-3</v>
      </c>
      <c r="H111" s="276">
        <f t="shared" si="13"/>
        <v>3.9615593407132803E-6</v>
      </c>
      <c r="I111" s="299">
        <f t="shared" si="14"/>
        <v>36.448371208737633</v>
      </c>
      <c r="J111" s="299">
        <f t="shared" si="15"/>
        <v>14.365617714946611</v>
      </c>
      <c r="K111" s="8"/>
      <c r="L111" s="312">
        <f t="shared" si="21"/>
        <v>1.2649110640673518E-2</v>
      </c>
      <c r="M111" s="281">
        <v>0</v>
      </c>
      <c r="N111" s="281">
        <f t="shared" si="22"/>
        <v>9.9999999999999995E-7</v>
      </c>
      <c r="O111" s="281">
        <v>0</v>
      </c>
      <c r="P111" s="281">
        <f t="shared" si="16"/>
        <v>0</v>
      </c>
      <c r="Q111" s="281">
        <v>0</v>
      </c>
      <c r="R111" s="317">
        <f t="array" ref="R111:S111">attune($C$28,L111:Q111,$F$63)</f>
        <v>0.27636805810748549</v>
      </c>
      <c r="S111" s="318">
        <v>0.10281766922274928</v>
      </c>
      <c r="T111" s="281">
        <f t="shared" si="23"/>
        <v>9.9999999999999995E-7</v>
      </c>
      <c r="U111" s="281">
        <v>0</v>
      </c>
      <c r="V111" s="281">
        <f t="shared" si="17"/>
        <v>3.1622776601683794E-3</v>
      </c>
      <c r="W111" s="281">
        <v>0</v>
      </c>
      <c r="X111" s="281">
        <f t="shared" si="18"/>
        <v>0</v>
      </c>
      <c r="Y111" s="281">
        <v>0</v>
      </c>
      <c r="Z111" s="317">
        <f t="array" ref="Z111:AA111">attune($C$28,T111:Y111,$F$63)</f>
        <v>0.27802320054610213</v>
      </c>
      <c r="AA111" s="318">
        <v>0.10214889281583682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</row>
    <row r="112" spans="1:90" s="7" customFormat="1" ht="14.25" customHeight="1" outlineLevel="1">
      <c r="A112" s="2"/>
      <c r="B112" s="265">
        <v>0.70710678118654757</v>
      </c>
      <c r="C112" s="283">
        <f t="shared" si="19"/>
        <v>1.4142135623730952E-2</v>
      </c>
      <c r="D112" s="276">
        <f t="shared" si="10"/>
        <v>5.6951492348691062E-6</v>
      </c>
      <c r="E112" s="299">
        <f t="shared" si="11"/>
        <v>36.408725964736277</v>
      </c>
      <c r="F112" s="299">
        <f t="shared" si="12"/>
        <v>14.34812893848181</v>
      </c>
      <c r="G112" s="283">
        <f t="shared" si="20"/>
        <v>3.5355339059327381E-3</v>
      </c>
      <c r="H112" s="276">
        <f t="shared" si="13"/>
        <v>4.9519491758916023E-6</v>
      </c>
      <c r="I112" s="299">
        <f t="shared" si="14"/>
        <v>36.443839100146832</v>
      </c>
      <c r="J112" s="299">
        <f t="shared" si="15"/>
        <v>14.361340573222378</v>
      </c>
      <c r="K112" s="8"/>
      <c r="L112" s="312">
        <f t="shared" si="21"/>
        <v>1.4142135623730952E-2</v>
      </c>
      <c r="M112" s="281">
        <v>0</v>
      </c>
      <c r="N112" s="281">
        <f t="shared" si="22"/>
        <v>9.9999999999999995E-7</v>
      </c>
      <c r="O112" s="281">
        <v>0</v>
      </c>
      <c r="P112" s="281">
        <f t="shared" si="16"/>
        <v>0</v>
      </c>
      <c r="Q112" s="281">
        <v>0</v>
      </c>
      <c r="R112" s="317">
        <f t="array" ref="R112:S112">attune($C$28,L112:Q112,$F$63)</f>
        <v>0.27554537279601754</v>
      </c>
      <c r="S112" s="318">
        <v>0.10324194134488689</v>
      </c>
      <c r="T112" s="281">
        <f t="shared" si="23"/>
        <v>9.9999999999999995E-7</v>
      </c>
      <c r="U112" s="281">
        <v>0</v>
      </c>
      <c r="V112" s="281">
        <f t="shared" si="17"/>
        <v>3.5355339059327381E-3</v>
      </c>
      <c r="W112" s="281">
        <v>0</v>
      </c>
      <c r="X112" s="281">
        <f t="shared" si="18"/>
        <v>0</v>
      </c>
      <c r="Y112" s="281">
        <v>0</v>
      </c>
      <c r="Z112" s="317">
        <f t="array" ref="Z112:AA112">attune($C$28,T112:Y112,$F$63)</f>
        <v>0.27773994375917677</v>
      </c>
      <c r="AA112" s="318">
        <v>0.1024162141736014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</row>
    <row r="113" spans="1:90" s="7" customFormat="1" ht="14.25" customHeight="1" outlineLevel="1">
      <c r="A113" s="2"/>
      <c r="B113" s="265">
        <v>0.7745966692414834</v>
      </c>
      <c r="C113" s="283">
        <f t="shared" si="19"/>
        <v>1.5491933384829669E-2</v>
      </c>
      <c r="D113" s="276">
        <f t="shared" si="10"/>
        <v>6.8341790818429278E-6</v>
      </c>
      <c r="E113" s="299">
        <f t="shared" si="11"/>
        <v>36.395647148590662</v>
      </c>
      <c r="F113" s="299">
        <f t="shared" si="12"/>
        <v>14.341853641118229</v>
      </c>
      <c r="G113" s="283">
        <f t="shared" si="20"/>
        <v>3.8729833462074173E-3</v>
      </c>
      <c r="H113" s="276">
        <f t="shared" si="13"/>
        <v>5.9423390110699217E-6</v>
      </c>
      <c r="I113" s="299">
        <f t="shared" si="14"/>
        <v>36.439547637930168</v>
      </c>
      <c r="J113" s="299">
        <f t="shared" si="15"/>
        <v>14.357210702337293</v>
      </c>
      <c r="K113" s="8"/>
      <c r="L113" s="312">
        <f t="shared" si="21"/>
        <v>1.5491933384829669E-2</v>
      </c>
      <c r="M113" s="281">
        <v>0</v>
      </c>
      <c r="N113" s="281">
        <f t="shared" si="22"/>
        <v>9.9999999999999995E-7</v>
      </c>
      <c r="O113" s="281">
        <v>0</v>
      </c>
      <c r="P113" s="281">
        <f t="shared" si="16"/>
        <v>0</v>
      </c>
      <c r="Q113" s="281">
        <v>0</v>
      </c>
      <c r="R113" s="317">
        <f t="array" ref="R113:S113">attune($C$28,L113:Q113,$F$63)</f>
        <v>0.27472794678691626</v>
      </c>
      <c r="S113" s="318">
        <v>0.10363414743011067</v>
      </c>
      <c r="T113" s="281">
        <f t="shared" si="23"/>
        <v>9.9999999999999995E-7</v>
      </c>
      <c r="U113" s="281">
        <v>0</v>
      </c>
      <c r="V113" s="281">
        <f t="shared" si="17"/>
        <v>3.8729833462074173E-3</v>
      </c>
      <c r="W113" s="281">
        <v>0</v>
      </c>
      <c r="X113" s="281">
        <f t="shared" si="18"/>
        <v>0</v>
      </c>
      <c r="Y113" s="281">
        <v>0</v>
      </c>
      <c r="Z113" s="317">
        <f t="array" ref="Z113:AA113">attune($C$28,T113:Y113,$F$63)</f>
        <v>0.27747172737063569</v>
      </c>
      <c r="AA113" s="318">
        <v>0.10267433110391917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</row>
    <row r="114" spans="1:90" s="7" customFormat="1" ht="14.25" customHeight="1" outlineLevel="1">
      <c r="A114" s="2"/>
      <c r="B114" s="265">
        <v>0.83666002653407556</v>
      </c>
      <c r="C114" s="283">
        <f t="shared" si="19"/>
        <v>1.6733200530681513E-2</v>
      </c>
      <c r="D114" s="276">
        <f t="shared" si="10"/>
        <v>7.9732089288167485E-6</v>
      </c>
      <c r="E114" s="299">
        <f t="shared" si="11"/>
        <v>36.382902944949251</v>
      </c>
      <c r="F114" s="299">
        <f t="shared" si="12"/>
        <v>14.336193770977463</v>
      </c>
      <c r="G114" s="283">
        <f t="shared" si="20"/>
        <v>4.1833001326703782E-3</v>
      </c>
      <c r="H114" s="276">
        <f t="shared" si="13"/>
        <v>6.932728846248242E-6</v>
      </c>
      <c r="I114" s="299">
        <f t="shared" si="14"/>
        <v>36.435490237811308</v>
      </c>
      <c r="J114" s="299">
        <f t="shared" si="15"/>
        <v>14.353225965354245</v>
      </c>
      <c r="K114" s="8"/>
      <c r="L114" s="312">
        <f t="shared" si="21"/>
        <v>1.6733200530681513E-2</v>
      </c>
      <c r="M114" s="281">
        <v>0</v>
      </c>
      <c r="N114" s="281">
        <f t="shared" si="22"/>
        <v>9.9999999999999995E-7</v>
      </c>
      <c r="O114" s="281">
        <v>0</v>
      </c>
      <c r="P114" s="281">
        <f t="shared" si="16"/>
        <v>0</v>
      </c>
      <c r="Q114" s="281">
        <v>0</v>
      </c>
      <c r="R114" s="317">
        <f t="array" ref="R114:S114">attune($C$28,L114:Q114,$F$63)</f>
        <v>0.27393143405932824</v>
      </c>
      <c r="S114" s="318">
        <v>0.10398788931390857</v>
      </c>
      <c r="T114" s="281">
        <f t="shared" si="23"/>
        <v>9.9999999999999995E-7</v>
      </c>
      <c r="U114" s="281">
        <v>0</v>
      </c>
      <c r="V114" s="281">
        <f t="shared" si="17"/>
        <v>4.1833001326703782E-3</v>
      </c>
      <c r="W114" s="281">
        <v>0</v>
      </c>
      <c r="X114" s="281">
        <f t="shared" si="18"/>
        <v>0</v>
      </c>
      <c r="Y114" s="281">
        <v>0</v>
      </c>
      <c r="Z114" s="317">
        <f t="array" ref="Z114:AA114">attune($C$28,T114:Y114,$F$63)</f>
        <v>0.27721813986320687</v>
      </c>
      <c r="AA114" s="318">
        <v>0.10292337716535971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</row>
    <row r="115" spans="1:90" s="7" customFormat="1" ht="14.25" customHeight="1" outlineLevel="1">
      <c r="A115" s="2"/>
      <c r="B115" s="265">
        <v>0.89442719099991586</v>
      </c>
      <c r="C115" s="283">
        <f t="shared" si="19"/>
        <v>1.7888543819998319E-2</v>
      </c>
      <c r="D115" s="276">
        <f t="shared" si="10"/>
        <v>9.1122387757905675E-6</v>
      </c>
      <c r="E115" s="299">
        <f t="shared" si="11"/>
        <v>36.370734523259102</v>
      </c>
      <c r="F115" s="299">
        <f t="shared" si="12"/>
        <v>14.331224854268079</v>
      </c>
      <c r="G115" s="283">
        <f t="shared" si="20"/>
        <v>4.4721359549995798E-3</v>
      </c>
      <c r="H115" s="276">
        <f t="shared" si="13"/>
        <v>7.9231186814265623E-6</v>
      </c>
      <c r="I115" s="299">
        <f t="shared" si="14"/>
        <v>36.431660508366214</v>
      </c>
      <c r="J115" s="299">
        <f t="shared" si="15"/>
        <v>14.349384463129873</v>
      </c>
      <c r="K115" s="8"/>
      <c r="L115" s="312">
        <f t="shared" si="21"/>
        <v>1.7888543819998319E-2</v>
      </c>
      <c r="M115" s="281">
        <v>0</v>
      </c>
      <c r="N115" s="281">
        <f t="shared" si="22"/>
        <v>9.9999999999999995E-7</v>
      </c>
      <c r="O115" s="281">
        <v>0</v>
      </c>
      <c r="P115" s="281">
        <f t="shared" si="16"/>
        <v>0</v>
      </c>
      <c r="Q115" s="281">
        <v>0</v>
      </c>
      <c r="R115" s="317">
        <f t="array" ref="R115:S115">attune($C$28,L115:Q115,$F$63)</f>
        <v>0.27317090770369401</v>
      </c>
      <c r="S115" s="318">
        <v>0.10429844660824511</v>
      </c>
      <c r="T115" s="281">
        <f t="shared" si="23"/>
        <v>9.9999999999999995E-7</v>
      </c>
      <c r="U115" s="281">
        <v>0</v>
      </c>
      <c r="V115" s="281">
        <f t="shared" si="17"/>
        <v>4.4721359549995798E-3</v>
      </c>
      <c r="W115" s="281">
        <v>0</v>
      </c>
      <c r="X115" s="281">
        <f t="shared" si="18"/>
        <v>0</v>
      </c>
      <c r="Y115" s="281">
        <v>0</v>
      </c>
      <c r="Z115" s="317">
        <f t="array" ref="Z115:AA115">attune($C$28,T115:Y115,$F$63)</f>
        <v>0.27697878177288821</v>
      </c>
      <c r="AA115" s="318">
        <v>0.10316347105438292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</row>
    <row r="116" spans="1:90" s="7" customFormat="1" ht="14.25" customHeight="1" outlineLevel="1">
      <c r="A116" s="2"/>
      <c r="B116" s="265">
        <v>0.94868329805051377</v>
      </c>
      <c r="C116" s="283">
        <f t="shared" si="19"/>
        <v>1.8973665961010275E-2</v>
      </c>
      <c r="D116" s="276">
        <f t="shared" si="10"/>
        <v>1.0251268622764388E-5</v>
      </c>
      <c r="E116" s="299">
        <f t="shared" si="11"/>
        <v>36.358994867169038</v>
      </c>
      <c r="F116" s="299">
        <f t="shared" si="12"/>
        <v>14.326913330850845</v>
      </c>
      <c r="G116" s="283">
        <f t="shared" si="20"/>
        <v>4.7434164902525689E-3</v>
      </c>
      <c r="H116" s="276">
        <f t="shared" si="13"/>
        <v>8.91350851660488E-6</v>
      </c>
      <c r="I116" s="299">
        <f t="shared" si="14"/>
        <v>36.428054716743659</v>
      </c>
      <c r="J116" s="299">
        <f t="shared" si="15"/>
        <v>14.345684436538788</v>
      </c>
      <c r="K116" s="8"/>
      <c r="L116" s="312">
        <f t="shared" si="21"/>
        <v>1.8973665961010275E-2</v>
      </c>
      <c r="M116" s="281">
        <v>0</v>
      </c>
      <c r="N116" s="281">
        <f t="shared" si="22"/>
        <v>9.9999999999999995E-7</v>
      </c>
      <c r="O116" s="281">
        <v>0</v>
      </c>
      <c r="P116" s="281">
        <f t="shared" si="16"/>
        <v>0</v>
      </c>
      <c r="Q116" s="281">
        <v>0</v>
      </c>
      <c r="R116" s="317">
        <f t="array" ref="R116:S116">attune($C$28,L116:Q116,$F$63)</f>
        <v>0.27243717919806498</v>
      </c>
      <c r="S116" s="318">
        <v>0.10456791682182219</v>
      </c>
      <c r="T116" s="281">
        <f t="shared" si="23"/>
        <v>9.9999999999999995E-7</v>
      </c>
      <c r="U116" s="281">
        <v>0</v>
      </c>
      <c r="V116" s="281">
        <f t="shared" si="17"/>
        <v>4.7434164902525689E-3</v>
      </c>
      <c r="W116" s="281">
        <v>0</v>
      </c>
      <c r="X116" s="281">
        <f t="shared" si="18"/>
        <v>0</v>
      </c>
      <c r="Y116" s="281">
        <v>0</v>
      </c>
      <c r="Z116" s="317">
        <f t="array" ref="Z116:AA116">attune($C$28,T116:Y116,$F$63)</f>
        <v>0.27675341979647894</v>
      </c>
      <c r="AA116" s="318">
        <v>0.10339472271632577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</row>
    <row r="117" spans="1:90" s="7" customFormat="1" ht="14.25" customHeight="1" outlineLevel="1">
      <c r="A117" s="2"/>
      <c r="B117" s="265">
        <v>1</v>
      </c>
      <c r="C117" s="283">
        <f t="shared" si="19"/>
        <v>0.02</v>
      </c>
      <c r="D117" s="276">
        <f t="shared" si="10"/>
        <v>1.1390298469738209E-5</v>
      </c>
      <c r="E117" s="299">
        <f t="shared" si="11"/>
        <v>36.348365338243767</v>
      </c>
      <c r="F117" s="299">
        <f t="shared" si="12"/>
        <v>14.32339739657818</v>
      </c>
      <c r="G117" s="283">
        <f t="shared" si="20"/>
        <v>5.0000000000000001E-3</v>
      </c>
      <c r="H117" s="276">
        <f t="shared" si="13"/>
        <v>9.9038983517832012E-6</v>
      </c>
      <c r="I117" s="299">
        <f t="shared" si="14"/>
        <v>36.424668786513799</v>
      </c>
      <c r="J117" s="299">
        <f t="shared" si="15"/>
        <v>14.342124227742698</v>
      </c>
      <c r="K117" s="8"/>
      <c r="L117" s="313">
        <f t="shared" si="21"/>
        <v>0.02</v>
      </c>
      <c r="M117" s="314">
        <v>0</v>
      </c>
      <c r="N117" s="314">
        <f t="shared" si="22"/>
        <v>9.9999999999999995E-7</v>
      </c>
      <c r="O117" s="314">
        <v>0</v>
      </c>
      <c r="P117" s="314">
        <f t="shared" si="16"/>
        <v>0</v>
      </c>
      <c r="Q117" s="314">
        <v>0</v>
      </c>
      <c r="R117" s="319">
        <f t="array" ref="R117:S117">attune($C$28,L117:Q117,$F$63)</f>
        <v>0.27177283364023547</v>
      </c>
      <c r="S117" s="320">
        <v>0.10478766271386369</v>
      </c>
      <c r="T117" s="314">
        <f t="shared" si="23"/>
        <v>9.9999999999999995E-7</v>
      </c>
      <c r="U117" s="314">
        <v>0</v>
      </c>
      <c r="V117" s="314">
        <f t="shared" si="17"/>
        <v>5.0000000000000001E-3</v>
      </c>
      <c r="W117" s="314">
        <v>0</v>
      </c>
      <c r="X117" s="314">
        <f t="shared" si="18"/>
        <v>0</v>
      </c>
      <c r="Y117" s="314">
        <v>0</v>
      </c>
      <c r="Z117" s="319">
        <f t="array" ref="Z117:AA117">attune($C$28,T117:Y117,$F$63)</f>
        <v>0.27654179915711241</v>
      </c>
      <c r="AA117" s="320">
        <v>0.10361723576608135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</row>
    <row r="118" spans="1:90" s="368" customFormat="1">
      <c r="A118" s="248"/>
      <c r="B118" s="368" t="s">
        <v>774</v>
      </c>
      <c r="C118" s="503">
        <v>1E-4</v>
      </c>
      <c r="D118" s="276">
        <f t="shared" si="10"/>
        <v>2.8475746174345526E-10</v>
      </c>
      <c r="E118" s="299">
        <f>Q$67+Q$66*R118</f>
        <v>36.468995046331194</v>
      </c>
      <c r="F118" s="299">
        <f>R$67+R$66*S118</f>
        <v>14.384245941827661</v>
      </c>
      <c r="G118" s="503">
        <v>1E-4</v>
      </c>
      <c r="H118" s="276">
        <f t="shared" si="13"/>
        <v>3.9615593407132808E-9</v>
      </c>
      <c r="I118" s="299">
        <f>Q$67+Q$66*Z118</f>
        <v>36.468974632395238</v>
      </c>
      <c r="J118" s="299">
        <f>R$67+R$66*AA118</f>
        <v>14.384227695269857</v>
      </c>
      <c r="L118" s="313">
        <f t="shared" si="21"/>
        <v>1E-4</v>
      </c>
      <c r="M118" s="314">
        <v>0</v>
      </c>
      <c r="N118" s="314">
        <f t="shared" si="22"/>
        <v>9.9999999999999995E-7</v>
      </c>
      <c r="O118" s="314">
        <v>0</v>
      </c>
      <c r="P118" s="314">
        <f t="shared" si="16"/>
        <v>0</v>
      </c>
      <c r="Q118" s="314">
        <v>0</v>
      </c>
      <c r="R118" s="319">
        <f t="array" ref="R118:S118">attune($C$28,L118:Q118,$F$63)</f>
        <v>0.2793121903956996</v>
      </c>
      <c r="S118" s="320">
        <v>0.10098462863577118</v>
      </c>
      <c r="T118" s="314">
        <f t="shared" si="23"/>
        <v>9.9999999999999995E-7</v>
      </c>
      <c r="U118" s="314">
        <v>0</v>
      </c>
      <c r="V118" s="314">
        <f t="shared" si="17"/>
        <v>1E-4</v>
      </c>
      <c r="W118" s="314">
        <v>0</v>
      </c>
      <c r="X118" s="314">
        <f t="shared" si="18"/>
        <v>0</v>
      </c>
      <c r="Y118" s="314">
        <v>0</v>
      </c>
      <c r="Z118" s="319">
        <f t="array" ref="Z118:AA118">attune($C$28,T118:Y118,$F$63)</f>
        <v>0.27931091452470252</v>
      </c>
      <c r="AA118" s="320">
        <v>0.1009857690456339</v>
      </c>
    </row>
    <row r="119" spans="1:90" s="368" customFormat="1">
      <c r="A119" s="248"/>
      <c r="I119" s="503"/>
    </row>
    <row r="120" spans="1:90" s="368" customFormat="1" ht="15.75">
      <c r="A120" s="248"/>
      <c r="C120" s="504" t="s">
        <v>776</v>
      </c>
      <c r="E120" s="372">
        <f>(E118-E107)/D118/1000</f>
        <v>-7.7528850857178062</v>
      </c>
      <c r="F120" s="372">
        <f>(F118-F107)/D118/1000</f>
        <v>-5.7364197195378459</v>
      </c>
      <c r="J120" s="372">
        <f>(J118-J107)/H118/1000</f>
        <v>-5.0182376214256239</v>
      </c>
    </row>
    <row r="121" spans="1:90" s="7" customFormat="1" ht="14.25" customHeight="1" outlineLevel="1">
      <c r="A121" s="2"/>
      <c r="C121" s="25"/>
      <c r="D121" s="112"/>
      <c r="E121" s="112"/>
      <c r="F121" s="112"/>
      <c r="G121" s="17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</row>
    <row r="122" spans="1:90" s="2" customFormat="1" ht="15.75" customHeight="1">
      <c r="B122" s="1" t="s">
        <v>421</v>
      </c>
      <c r="D122" s="3"/>
    </row>
    <row r="124" spans="1:90">
      <c r="B124" t="s">
        <v>929</v>
      </c>
      <c r="C124" t="s">
        <v>816</v>
      </c>
      <c r="D124" t="s">
        <v>925</v>
      </c>
      <c r="E124" t="s">
        <v>749</v>
      </c>
      <c r="F124" t="s">
        <v>1096</v>
      </c>
      <c r="G124" t="s">
        <v>320</v>
      </c>
      <c r="H124" t="s">
        <v>446</v>
      </c>
      <c r="I124" t="s">
        <v>929</v>
      </c>
      <c r="J124" s="278" t="s">
        <v>1122</v>
      </c>
      <c r="K124" s="278" t="s">
        <v>1123</v>
      </c>
    </row>
    <row r="125" spans="1:90">
      <c r="C125" s="304">
        <v>9.9999999999999995E-7</v>
      </c>
      <c r="D125" s="304">
        <v>0</v>
      </c>
      <c r="E125" s="304">
        <v>9.9999999999999995E-7</v>
      </c>
      <c r="F125" s="304">
        <v>0</v>
      </c>
      <c r="G125" s="304">
        <v>1E-3</v>
      </c>
      <c r="H125" s="304">
        <v>1E-3</v>
      </c>
      <c r="I125" s="327">
        <v>0</v>
      </c>
      <c r="J125" s="279">
        <f t="shared" ref="J125:J156" si="24">L$5*$C125*$C125+2*L$4*$C125*$D125+L$3*$D125*$D125</f>
        <v>2.8475746174345522E-14</v>
      </c>
      <c r="K125" s="279">
        <f t="shared" ref="K125:K156" si="25">N$5*$E125*$E125+2*N$4*$E125*$F125+N$3*$F125*$F125</f>
        <v>3.9615593407132796E-13</v>
      </c>
    </row>
    <row r="126" spans="1:90">
      <c r="B126">
        <v>1</v>
      </c>
      <c r="C126" s="247">
        <f t="array" ref="C126:H126">attrack($C$28,C125:H125,B126)</f>
        <v>1.6207472837287697E-4</v>
      </c>
      <c r="D126" s="247">
        <v>3.8154688387148111E-6</v>
      </c>
      <c r="E126" s="247">
        <v>8.0689431766336262E-7</v>
      </c>
      <c r="F126" s="247">
        <v>2.3569126787837037E-7</v>
      </c>
      <c r="G126" s="247">
        <v>1E-3</v>
      </c>
      <c r="H126" s="247">
        <v>1.0091848570801421E-3</v>
      </c>
      <c r="I126" s="327">
        <f>I125+B126</f>
        <v>1</v>
      </c>
      <c r="J126" s="279">
        <f t="shared" si="24"/>
        <v>1.2592422494240496E-9</v>
      </c>
      <c r="K126" s="279">
        <f t="shared" si="25"/>
        <v>3.98152092887241E-13</v>
      </c>
    </row>
    <row r="127" spans="1:90">
      <c r="B127">
        <v>1</v>
      </c>
      <c r="C127" s="247">
        <f t="array" ref="C127:H127">attrack($C$28,C126:H126,B127)</f>
        <v>2.6313405372125254E-4</v>
      </c>
      <c r="D127" s="247">
        <v>-1.4111948535008739E-6</v>
      </c>
      <c r="E127" s="247">
        <v>3.0194393480814555E-7</v>
      </c>
      <c r="F127" s="247">
        <v>3.8055994556678074E-7</v>
      </c>
      <c r="G127" s="247">
        <v>1E-3</v>
      </c>
      <c r="H127" s="247">
        <v>1.019623828546562E-3</v>
      </c>
      <c r="I127" s="327">
        <f t="shared" ref="I127:I175" si="26">I126+B127</f>
        <v>2</v>
      </c>
      <c r="J127" s="279">
        <f t="shared" si="24"/>
        <v>2.0415829765074581E-9</v>
      </c>
      <c r="K127" s="279">
        <f t="shared" si="25"/>
        <v>4.0169553660746757E-13</v>
      </c>
    </row>
    <row r="128" spans="1:90">
      <c r="B128">
        <v>1</v>
      </c>
      <c r="C128" s="247">
        <f t="array" ref="C128:H128">attrack($C$28,C127:H127,B128)</f>
        <v>6.5225529923946331E-5</v>
      </c>
      <c r="D128" s="247">
        <v>-3.2896412968823836E-6</v>
      </c>
      <c r="E128" s="247">
        <v>-3.1945460027898462E-7</v>
      </c>
      <c r="F128" s="247">
        <v>3.7817472725703818E-7</v>
      </c>
      <c r="G128" s="247">
        <v>1E-3</v>
      </c>
      <c r="H128" s="247">
        <v>1.0295996182688315E-3</v>
      </c>
      <c r="I128" s="327">
        <f t="shared" si="26"/>
        <v>3</v>
      </c>
      <c r="J128" s="279">
        <f t="shared" si="24"/>
        <v>5.0117993676663666E-10</v>
      </c>
      <c r="K128" s="279">
        <f t="shared" si="25"/>
        <v>4.0143787825729345E-13</v>
      </c>
    </row>
    <row r="129" spans="2:19">
      <c r="B129">
        <v>1</v>
      </c>
      <c r="C129" s="247">
        <f t="array" ref="C129:H129">attrack($C$28,C128:H128,B129)</f>
        <v>3.6894190381636525E-5</v>
      </c>
      <c r="D129" s="247">
        <v>2.619218652927771E-6</v>
      </c>
      <c r="E129" s="247">
        <v>-8.1713263315478869E-7</v>
      </c>
      <c r="F129" s="247">
        <v>2.2997154037252786E-7</v>
      </c>
      <c r="G129" s="247">
        <v>1E-3</v>
      </c>
      <c r="H129" s="247">
        <v>1.0384926371337065E-3</v>
      </c>
      <c r="I129" s="327">
        <f t="shared" si="26"/>
        <v>4</v>
      </c>
      <c r="J129" s="279">
        <f t="shared" si="24"/>
        <v>2.7967817988001029E-10</v>
      </c>
      <c r="K129" s="279">
        <f t="shared" si="25"/>
        <v>3.9801582387363604E-13</v>
      </c>
    </row>
    <row r="130" spans="2:19">
      <c r="B130">
        <v>1</v>
      </c>
      <c r="C130" s="247">
        <f t="array" ref="C130:H130">attrack($C$28,C129:H129,B130)</f>
        <v>2.4541201190165959E-4</v>
      </c>
      <c r="D130" s="247">
        <v>2.3298362284289991E-6</v>
      </c>
      <c r="E130" s="247">
        <v>-9.9940270037201196E-7</v>
      </c>
      <c r="F130" s="247">
        <v>-7.0745128748301528E-9</v>
      </c>
      <c r="G130" s="247">
        <v>1E-3</v>
      </c>
      <c r="H130" s="247">
        <v>1.0482481091457448E-3</v>
      </c>
      <c r="I130" s="327">
        <f t="shared" si="26"/>
        <v>5</v>
      </c>
      <c r="J130" s="279">
        <f t="shared" si="24"/>
        <v>1.9056335123264702E-9</v>
      </c>
      <c r="K130" s="279">
        <f t="shared" si="25"/>
        <v>3.9580916376278797E-13</v>
      </c>
    </row>
    <row r="131" spans="2:19">
      <c r="B131">
        <v>1</v>
      </c>
      <c r="C131" s="247">
        <f t="array" ref="C131:H131">attrack($C$28,C130:H130,B131)</f>
        <v>1.9681919494122808E-4</v>
      </c>
      <c r="D131" s="247">
        <v>-3.4862197448571827E-6</v>
      </c>
      <c r="E131" s="247">
        <v>-7.9575222355986928E-7</v>
      </c>
      <c r="F131" s="247">
        <v>-2.4155677644533107E-7</v>
      </c>
      <c r="G131" s="247">
        <v>1E-3</v>
      </c>
      <c r="H131" s="247">
        <v>1.0587684712393239E-3</v>
      </c>
      <c r="I131" s="327">
        <f t="shared" si="26"/>
        <v>6</v>
      </c>
      <c r="J131" s="279">
        <f t="shared" si="24"/>
        <v>1.5298974523002055E-9</v>
      </c>
      <c r="K131" s="279">
        <f t="shared" si="25"/>
        <v>3.9814416354583967E-13</v>
      </c>
    </row>
    <row r="132" spans="2:19">
      <c r="B132">
        <v>1</v>
      </c>
      <c r="C132" s="247">
        <f t="array" ref="C132:H132">attrack($C$28,C131:H131,B132)</f>
        <v>5.9866266800964633E-6</v>
      </c>
      <c r="D132" s="247">
        <v>-1.0371190141789291E-6</v>
      </c>
      <c r="E132" s="247">
        <v>-2.850452515694692E-7</v>
      </c>
      <c r="F132" s="247">
        <v>-3.8247269628269819E-7</v>
      </c>
      <c r="G132" s="247">
        <v>1E-3</v>
      </c>
      <c r="H132" s="247">
        <v>1.0681435056508165E-3</v>
      </c>
      <c r="I132" s="327">
        <f t="shared" si="26"/>
        <v>7</v>
      </c>
      <c r="J132" s="279">
        <f t="shared" si="24"/>
        <v>3.8793614473513087E-11</v>
      </c>
      <c r="K132" s="279">
        <f t="shared" si="25"/>
        <v>4.0145006269823487E-13</v>
      </c>
    </row>
    <row r="133" spans="2:19">
      <c r="B133">
        <v>1</v>
      </c>
      <c r="C133" s="247">
        <f t="array" ref="C133:H133">attrack($C$28,C132:H132,B133)</f>
        <v>1.2544840950458655E-4</v>
      </c>
      <c r="D133" s="247">
        <v>3.8653931804945712E-6</v>
      </c>
      <c r="E133" s="247">
        <v>3.3563650514622042E-7</v>
      </c>
      <c r="F133" s="247">
        <v>-3.759351572081489E-7</v>
      </c>
      <c r="G133" s="247">
        <v>1E-3</v>
      </c>
      <c r="H133" s="247">
        <v>1.0771768885532982E-3</v>
      </c>
      <c r="I133" s="327">
        <f t="shared" si="26"/>
        <v>8</v>
      </c>
      <c r="J133" s="279">
        <f t="shared" si="24"/>
        <v>9.7283287796054262E-10</v>
      </c>
      <c r="K133" s="279">
        <f t="shared" si="25"/>
        <v>4.0137420295908964E-13</v>
      </c>
    </row>
    <row r="134" spans="2:19">
      <c r="B134">
        <v>1</v>
      </c>
      <c r="C134" s="247">
        <f t="array" ref="C134:H134">attrack($C$28,C133:H133,B134)</f>
        <v>2.7165374190119316E-4</v>
      </c>
      <c r="D134" s="247">
        <v>-3.8868344967744073E-7</v>
      </c>
      <c r="E134" s="247">
        <v>8.2710607889524036E-7</v>
      </c>
      <c r="F134" s="247">
        <v>-2.2414852109886528E-7</v>
      </c>
      <c r="G134" s="247">
        <v>1E-3</v>
      </c>
      <c r="H134" s="247">
        <v>1.0874814602420525E-3</v>
      </c>
      <c r="I134" s="327">
        <f t="shared" si="26"/>
        <v>9</v>
      </c>
      <c r="J134" s="279">
        <f t="shared" si="24"/>
        <v>2.1066945880100391E-9</v>
      </c>
      <c r="K134" s="279">
        <f t="shared" si="25"/>
        <v>3.978372535779266E-13</v>
      </c>
    </row>
    <row r="135" spans="2:19">
      <c r="B135">
        <v>1</v>
      </c>
      <c r="C135" s="247">
        <f t="array" ref="C135:H135">attrack($C$28,C134:H134,B135)</f>
        <v>9.8775809464310714E-5</v>
      </c>
      <c r="D135" s="247">
        <v>-3.7204755985283571E-6</v>
      </c>
      <c r="E135" s="247">
        <v>9.9917333331045413E-7</v>
      </c>
      <c r="F135" s="247">
        <v>1.4338114823000489E-8</v>
      </c>
      <c r="G135" s="247">
        <v>1E-3</v>
      </c>
      <c r="H135" s="247">
        <v>1.0976584751507467E-3</v>
      </c>
      <c r="I135" s="327">
        <f t="shared" si="26"/>
        <v>10</v>
      </c>
      <c r="J135" s="279">
        <f t="shared" si="24"/>
        <v>7.6392392085642421E-10</v>
      </c>
      <c r="K135" s="279">
        <f t="shared" si="25"/>
        <v>3.9602016791613324E-13</v>
      </c>
    </row>
    <row r="136" spans="2:19">
      <c r="B136">
        <v>1</v>
      </c>
      <c r="C136" s="247">
        <f t="array" ref="C136:H136">attrack($C$28,C135:H135,B136)</f>
        <v>1.5874599369677558E-5</v>
      </c>
      <c r="D136" s="247">
        <v>1.7583248401324042E-6</v>
      </c>
      <c r="E136" s="247">
        <v>7.8538983268636614E-7</v>
      </c>
      <c r="F136" s="247">
        <v>2.4701655387579643E-7</v>
      </c>
      <c r="G136" s="247">
        <v>1E-3</v>
      </c>
      <c r="H136" s="247">
        <v>1.1066114954695211E-3</v>
      </c>
      <c r="I136" s="327">
        <f t="shared" si="26"/>
        <v>11</v>
      </c>
      <c r="J136" s="279">
        <f t="shared" si="24"/>
        <v>1.157492887183638E-10</v>
      </c>
      <c r="K136" s="279">
        <f t="shared" si="25"/>
        <v>3.9838684530247289E-13</v>
      </c>
    </row>
    <row r="137" spans="2:19">
      <c r="B137">
        <v>1</v>
      </c>
      <c r="C137" s="247">
        <f t="array" ref="C137:H137">attrack($C$28,C136:H136,B137)</f>
        <v>2.1976474429585886E-4</v>
      </c>
      <c r="D137" s="247">
        <v>3.0771529147302699E-6</v>
      </c>
      <c r="E137" s="247">
        <v>2.6816005888794261E-7</v>
      </c>
      <c r="F137" s="247">
        <v>3.8456604583000368E-7</v>
      </c>
      <c r="G137" s="247">
        <v>1E-3</v>
      </c>
      <c r="H137" s="247">
        <v>1.116143666039664E-3</v>
      </c>
      <c r="I137" s="327">
        <f t="shared" si="26"/>
        <v>12</v>
      </c>
      <c r="J137" s="279">
        <f t="shared" si="24"/>
        <v>1.7078041313936488E-9</v>
      </c>
      <c r="K137" s="279">
        <f t="shared" si="25"/>
        <v>4.0180273069806815E-13</v>
      </c>
    </row>
    <row r="138" spans="2:19">
      <c r="B138">
        <v>1</v>
      </c>
      <c r="C138" s="247">
        <f t="array" ref="C138:H138">attrack($C$28,C137:H137,B138)</f>
        <v>2.2715468029096533E-4</v>
      </c>
      <c r="D138" s="247">
        <v>-2.9012778691609102E-6</v>
      </c>
      <c r="E138" s="247">
        <v>-3.5294310995415946E-7</v>
      </c>
      <c r="F138" s="247">
        <v>3.7349477584514719E-7</v>
      </c>
      <c r="G138" s="247">
        <v>1E-3</v>
      </c>
      <c r="H138" s="247">
        <v>1.1266864413920111E-3</v>
      </c>
      <c r="I138" s="327">
        <f t="shared" si="26"/>
        <v>13</v>
      </c>
      <c r="J138" s="279">
        <f t="shared" si="24"/>
        <v>1.7649265036309589E-9</v>
      </c>
      <c r="K138" s="279">
        <f t="shared" si="25"/>
        <v>4.0147858000782722E-13</v>
      </c>
    </row>
    <row r="139" spans="2:19">
      <c r="B139">
        <v>1</v>
      </c>
      <c r="C139" s="247">
        <f t="array" ref="C139:H139">attrack($C$28,C138:H138,B139)</f>
        <v>2.057606115344663E-5</v>
      </c>
      <c r="D139" s="247">
        <v>-1.9989422942419655E-6</v>
      </c>
      <c r="E139" s="247">
        <v>-8.3746190353913372E-7</v>
      </c>
      <c r="F139" s="247">
        <v>2.1808292676031594E-7</v>
      </c>
      <c r="G139" s="247">
        <v>1E-3</v>
      </c>
      <c r="H139" s="247">
        <v>1.1362764738026472E-3</v>
      </c>
      <c r="I139" s="327">
        <f t="shared" si="26"/>
        <v>14</v>
      </c>
      <c r="J139" s="279">
        <f t="shared" si="24"/>
        <v>1.5237778093366472E-10</v>
      </c>
      <c r="K139" s="279">
        <f t="shared" si="25"/>
        <v>3.9789511688020514E-13</v>
      </c>
      <c r="S139" s="559"/>
    </row>
    <row r="140" spans="2:19">
      <c r="B140">
        <v>1</v>
      </c>
      <c r="C140" s="247">
        <f t="array" ref="C140:H140">attrack($C$28,C139:H139,B140)</f>
        <v>8.961585765363114E-5</v>
      </c>
      <c r="D140" s="247">
        <v>3.6328927390195296E-6</v>
      </c>
      <c r="E140" s="247">
        <v>-9.9842454354939153E-7</v>
      </c>
      <c r="F140" s="247">
        <v>-2.1287218566025777E-8</v>
      </c>
      <c r="G140" s="247">
        <v>1E-3</v>
      </c>
      <c r="H140" s="247">
        <v>1.1452081460830064E-3</v>
      </c>
      <c r="I140" s="327">
        <f>I139+B140</f>
        <v>15</v>
      </c>
      <c r="J140" s="279">
        <f t="shared" si="24"/>
        <v>6.9216774799401836E-10</v>
      </c>
      <c r="K140" s="279">
        <f t="shared" si="25"/>
        <v>3.9605252135021045E-13</v>
      </c>
    </row>
    <row r="141" spans="2:19">
      <c r="B141">
        <v>1</v>
      </c>
      <c r="C141" s="247">
        <f t="array" ref="C141:H141">attrack($C$28,C140:H140,B141)</f>
        <v>2.7035814837718473E-4</v>
      </c>
      <c r="D141" s="247">
        <v>6.6245118679947371E-7</v>
      </c>
      <c r="E141" s="247">
        <v>-7.7378668119794628E-7</v>
      </c>
      <c r="F141" s="247">
        <v>-2.5270962009533164E-7</v>
      </c>
      <c r="G141" s="247">
        <v>1E-3</v>
      </c>
      <c r="H141" s="247">
        <v>1.1553351547633724E-3</v>
      </c>
      <c r="I141" s="327">
        <f t="shared" si="26"/>
        <v>16</v>
      </c>
      <c r="J141" s="279">
        <f t="shared" si="24"/>
        <v>2.0968038265217592E-9</v>
      </c>
      <c r="K141" s="279">
        <f t="shared" si="25"/>
        <v>3.9840129559523713E-13</v>
      </c>
    </row>
    <row r="142" spans="2:19">
      <c r="B142">
        <v>1</v>
      </c>
      <c r="C142" s="247">
        <f t="array" ref="C142:H142">attrack($C$28,C141:H141,B142)</f>
        <v>1.3507584232791498E-4</v>
      </c>
      <c r="D142" s="247">
        <v>-3.8798593618064797E-6</v>
      </c>
      <c r="E142" s="247">
        <v>-2.5031332819548962E-7</v>
      </c>
      <c r="F142" s="247">
        <v>-3.863975670630808E-7</v>
      </c>
      <c r="G142" s="247">
        <v>1E-3</v>
      </c>
      <c r="H142" s="247">
        <v>1.1656795690616988E-3</v>
      </c>
      <c r="I142" s="327">
        <f t="shared" si="26"/>
        <v>17</v>
      </c>
      <c r="J142" s="279">
        <f t="shared" si="24"/>
        <v>1.0481898923097794E-9</v>
      </c>
      <c r="K142" s="279">
        <f t="shared" si="25"/>
        <v>4.0170142259253113E-13</v>
      </c>
    </row>
    <row r="143" spans="2:19">
      <c r="B143">
        <v>1</v>
      </c>
      <c r="C143" s="247">
        <f t="array" ref="C143:H143">attrack($C$28,C142:H142,B143)</f>
        <v>3.7239642083342684E-6</v>
      </c>
      <c r="D143" s="247">
        <v>7.6970546864905207E-7</v>
      </c>
      <c r="E143" s="247">
        <v>3.6940963763638742E-7</v>
      </c>
      <c r="F143" s="247">
        <v>-3.708007337960491E-7</v>
      </c>
      <c r="G143" s="247">
        <v>1E-3</v>
      </c>
      <c r="H143" s="247">
        <v>1.1747482122203439E-3</v>
      </c>
      <c r="I143" s="327">
        <f t="shared" si="26"/>
        <v>18</v>
      </c>
      <c r="J143" s="279">
        <f t="shared" si="24"/>
        <v>2.12002014071349E-11</v>
      </c>
      <c r="K143" s="279">
        <f t="shared" si="25"/>
        <v>4.0112916198983711E-13</v>
      </c>
    </row>
    <row r="144" spans="2:19">
      <c r="B144">
        <v>1</v>
      </c>
      <c r="C144" s="247">
        <f t="array" ref="C144:H144">attrack($C$28,C143:H143,B144)</f>
        <v>1.8804545982925794E-4</v>
      </c>
      <c r="D144" s="247">
        <v>3.598500525433074E-6</v>
      </c>
      <c r="E144" s="247">
        <v>8.4654368702600798E-7</v>
      </c>
      <c r="F144" s="247">
        <v>-2.1225496836027025E-7</v>
      </c>
      <c r="G144" s="247">
        <v>1E-3</v>
      </c>
      <c r="H144" s="247">
        <v>1.1840704230133162E-3</v>
      </c>
      <c r="I144" s="327">
        <f t="shared" si="26"/>
        <v>19</v>
      </c>
      <c r="J144" s="279">
        <f t="shared" si="24"/>
        <v>1.4616786642419767E-9</v>
      </c>
      <c r="K144" s="279">
        <f t="shared" si="25"/>
        <v>3.9762301768280797E-13</v>
      </c>
    </row>
    <row r="145" spans="2:11">
      <c r="B145">
        <v>1</v>
      </c>
      <c r="C145" s="247">
        <f t="array" ref="C145:H145">attrack($C$28,C144:H144,B145)</f>
        <v>2.5088355719800494E-4</v>
      </c>
      <c r="D145" s="247">
        <v>-2.1031977615405051E-6</v>
      </c>
      <c r="E145" s="247">
        <v>9.9698464327057984E-7</v>
      </c>
      <c r="F145" s="247">
        <v>2.8542044786389173E-8</v>
      </c>
      <c r="G145" s="247">
        <v>1E-3</v>
      </c>
      <c r="H145" s="247">
        <v>1.1945749968317544E-3</v>
      </c>
      <c r="I145" s="327">
        <f t="shared" si="26"/>
        <v>20</v>
      </c>
      <c r="J145" s="279">
        <f t="shared" si="24"/>
        <v>1.9476769880378367E-9</v>
      </c>
      <c r="K145" s="279">
        <f t="shared" si="25"/>
        <v>3.9582681612756636E-13</v>
      </c>
    </row>
    <row r="146" spans="2:11">
      <c r="B146">
        <v>1</v>
      </c>
      <c r="C146" s="247">
        <f t="array" ref="C146:H146">attrack($C$28,C145:H145,B146)</f>
        <v>4.36858182270304E-5</v>
      </c>
      <c r="D146" s="247">
        <v>-2.8155253631593872E-6</v>
      </c>
      <c r="E146" s="247">
        <v>7.6246089785388739E-7</v>
      </c>
      <c r="F146" s="247">
        <v>2.5814402213569271E-7</v>
      </c>
      <c r="G146" s="247">
        <v>1E-3</v>
      </c>
      <c r="H146" s="247">
        <v>1.2043891401491086E-3</v>
      </c>
      <c r="I146" s="327">
        <f t="shared" si="26"/>
        <v>21</v>
      </c>
      <c r="J146" s="279">
        <f t="shared" si="24"/>
        <v>3.3272824022402674E-10</v>
      </c>
      <c r="K146" s="279">
        <f t="shared" si="25"/>
        <v>3.9851630276107172E-13</v>
      </c>
    </row>
    <row r="147" spans="2:11">
      <c r="B147">
        <v>1</v>
      </c>
      <c r="C147" s="247">
        <f t="array" ref="C147:H147">attrack($C$28,C146:H146,B147)</f>
        <v>5.7206225696108471E-5</v>
      </c>
      <c r="D147" s="247">
        <v>3.1354611188950098E-6</v>
      </c>
      <c r="E147" s="247">
        <v>2.3367975431369727E-7</v>
      </c>
      <c r="F147" s="247">
        <v>3.8802888052004602E-7</v>
      </c>
      <c r="G147" s="247">
        <v>1E-3</v>
      </c>
      <c r="H147" s="247">
        <v>1.2132762802128973E-3</v>
      </c>
      <c r="I147" s="327">
        <f t="shared" si="26"/>
        <v>22</v>
      </c>
      <c r="J147" s="279">
        <f t="shared" si="24"/>
        <v>4.3843362873222266E-10</v>
      </c>
      <c r="K147" s="279">
        <f t="shared" si="25"/>
        <v>4.0170113281118884E-13</v>
      </c>
    </row>
    <row r="148" spans="2:11">
      <c r="B148">
        <v>1</v>
      </c>
      <c r="C148" s="247">
        <f t="array" ref="C148:H148">attrack($C$28,C147:H147,B148)</f>
        <v>2.5934043913448636E-4</v>
      </c>
      <c r="D148" s="247">
        <v>1.6648060859380654E-6</v>
      </c>
      <c r="E148" s="247">
        <v>-3.856894969594144E-7</v>
      </c>
      <c r="F148" s="247">
        <v>3.6828743995293313E-7</v>
      </c>
      <c r="G148" s="247">
        <v>1E-3</v>
      </c>
      <c r="H148" s="247">
        <v>1.2231955612452858E-3</v>
      </c>
      <c r="I148" s="327">
        <f t="shared" si="26"/>
        <v>23</v>
      </c>
      <c r="J148" s="279">
        <f t="shared" si="24"/>
        <v>2.0125376818775265E-9</v>
      </c>
      <c r="K148" s="279">
        <f t="shared" si="25"/>
        <v>4.0131014457598737E-13</v>
      </c>
    </row>
    <row r="149" spans="2:11">
      <c r="B149">
        <v>1</v>
      </c>
      <c r="C149" s="247">
        <f t="array" ref="C149:H149">attrack($C$28,C148:H148,B149)</f>
        <v>1.7146518331140554E-4</v>
      </c>
      <c r="D149" s="247">
        <v>-3.7556154772437238E-6</v>
      </c>
      <c r="E149" s="247">
        <v>-8.5629321267118828E-7</v>
      </c>
      <c r="F149" s="247">
        <v>2.0603139089879625E-7</v>
      </c>
      <c r="G149" s="247">
        <v>1E-3</v>
      </c>
      <c r="H149" s="247">
        <v>1.2336612938034649E-3</v>
      </c>
      <c r="I149" s="327">
        <f t="shared" si="26"/>
        <v>24</v>
      </c>
      <c r="J149" s="279">
        <f t="shared" si="24"/>
        <v>1.3325171794857337E-9</v>
      </c>
      <c r="K149" s="279">
        <f t="shared" si="25"/>
        <v>3.9762869523947571E-13</v>
      </c>
    </row>
    <row r="150" spans="2:11">
      <c r="B150">
        <v>1</v>
      </c>
      <c r="C150" s="247">
        <f t="array" ref="C150:H150">attrack($C$28,C149:H149,B150)</f>
        <v>1.3441882377945423E-6</v>
      </c>
      <c r="D150" s="247">
        <v>-2.747880885874311E-7</v>
      </c>
      <c r="E150" s="247">
        <v>-9.9601300202984078E-7</v>
      </c>
      <c r="F150" s="247">
        <v>-3.5589584885879178E-8</v>
      </c>
      <c r="G150" s="247">
        <v>1E-3</v>
      </c>
      <c r="H150" s="247">
        <v>1.2428927503762316E-3</v>
      </c>
      <c r="I150" s="327">
        <f t="shared" si="26"/>
        <v>25</v>
      </c>
      <c r="J150" s="279">
        <f t="shared" si="24"/>
        <v>2.7031286116040915E-12</v>
      </c>
      <c r="K150" s="279">
        <f t="shared" si="25"/>
        <v>3.9620055831506164E-13</v>
      </c>
    </row>
    <row r="151" spans="2:11">
      <c r="B151">
        <v>1</v>
      </c>
      <c r="C151" s="247">
        <f t="array" ref="C151:H151">attrack($C$28,C150:H150,B151)</f>
        <v>1.5255433463398117E-4</v>
      </c>
      <c r="D151" s="247">
        <v>3.8560438654778022E-6</v>
      </c>
      <c r="E151" s="247">
        <v>-7.5106412198291691E-7</v>
      </c>
      <c r="F151" s="247">
        <v>-2.6347260258903685E-7</v>
      </c>
      <c r="G151" s="247">
        <v>1E-3</v>
      </c>
      <c r="H151" s="247">
        <v>1.2520336792526787E-3</v>
      </c>
      <c r="I151" s="327">
        <f t="shared" si="26"/>
        <v>26</v>
      </c>
      <c r="J151" s="279">
        <f t="shared" si="24"/>
        <v>1.184877332370363E-9</v>
      </c>
      <c r="K151" s="279">
        <f t="shared" si="25"/>
        <v>3.9869900446962312E-13</v>
      </c>
    </row>
    <row r="152" spans="2:11">
      <c r="B152">
        <v>1</v>
      </c>
      <c r="C152" s="247">
        <f t="array" ref="C152:H152">attrack($C$28,C151:H151,B152)</f>
        <v>2.6629260946495328E-4</v>
      </c>
      <c r="D152" s="247">
        <v>-1.1504137796519214E-6</v>
      </c>
      <c r="E152" s="247">
        <v>-2.1579585875020305E-7</v>
      </c>
      <c r="F152" s="247">
        <v>-3.8980081853357169E-7</v>
      </c>
      <c r="G152" s="247">
        <v>1E-3</v>
      </c>
      <c r="H152" s="247">
        <v>1.2624422310662069E-3</v>
      </c>
      <c r="I152" s="327">
        <f t="shared" si="26"/>
        <v>27</v>
      </c>
      <c r="J152" s="279">
        <f t="shared" si="24"/>
        <v>2.0657415630926528E-9</v>
      </c>
      <c r="K152" s="279">
        <f t="shared" si="25"/>
        <v>4.0199578263695019E-13</v>
      </c>
    </row>
    <row r="153" spans="2:11">
      <c r="B153">
        <v>1</v>
      </c>
      <c r="C153" s="247">
        <f t="array" ref="C153:H153">attrack($C$28,C152:H152,B153)</f>
        <v>7.3604995408575467E-5</v>
      </c>
      <c r="D153" s="247">
        <v>-3.427287622352851E-6</v>
      </c>
      <c r="E153" s="247">
        <v>4.0267899802236852E-7</v>
      </c>
      <c r="F153" s="247">
        <v>-3.6530673619453848E-7</v>
      </c>
      <c r="G153" s="247">
        <v>1E-3</v>
      </c>
      <c r="H153" s="247">
        <v>1.2724732116553888E-3</v>
      </c>
      <c r="I153" s="327">
        <f t="shared" si="26"/>
        <v>28</v>
      </c>
      <c r="J153" s="279">
        <f t="shared" si="24"/>
        <v>5.6677485432618034E-10</v>
      </c>
      <c r="K153" s="279">
        <f t="shared" si="25"/>
        <v>4.0109664048595839E-13</v>
      </c>
    </row>
    <row r="154" spans="2:11">
      <c r="B154">
        <v>1</v>
      </c>
      <c r="C154" s="247">
        <f t="array" ref="C154:H154">attrack($C$28,C153:H153,B154)</f>
        <v>3.0607194042551701E-5</v>
      </c>
      <c r="D154" s="247">
        <v>2.4097679825509715E-6</v>
      </c>
      <c r="E154" s="247">
        <v>8.652918263442164E-7</v>
      </c>
      <c r="F154" s="247">
        <v>-1.9996680864545986E-7</v>
      </c>
      <c r="G154" s="247">
        <v>1E-3</v>
      </c>
      <c r="H154" s="247">
        <v>1.2813762502606335E-3</v>
      </c>
      <c r="I154" s="327">
        <f t="shared" si="26"/>
        <v>29</v>
      </c>
      <c r="J154" s="279">
        <f t="shared" si="24"/>
        <v>2.3060337768834762E-10</v>
      </c>
      <c r="K154" s="279">
        <f t="shared" si="25"/>
        <v>3.9755064160683898E-13</v>
      </c>
    </row>
    <row r="155" spans="2:11">
      <c r="B155">
        <v>1</v>
      </c>
      <c r="C155" s="247">
        <f t="array" ref="C155:H155">attrack($C$28,C154:H154,B155)</f>
        <v>2.3939351841519713E-4</v>
      </c>
      <c r="D155" s="247">
        <v>2.54464899747998E-6</v>
      </c>
      <c r="E155" s="247">
        <v>9.938622274990731E-7</v>
      </c>
      <c r="F155" s="247">
        <v>4.2634243039513152E-8</v>
      </c>
      <c r="G155" s="247">
        <v>1E-3</v>
      </c>
      <c r="H155" s="247">
        <v>1.2910728452593088E-3</v>
      </c>
      <c r="I155" s="327">
        <f t="shared" si="26"/>
        <v>30</v>
      </c>
      <c r="J155" s="279">
        <f t="shared" si="24"/>
        <v>1.8593187132904721E-9</v>
      </c>
      <c r="K155" s="279">
        <f t="shared" si="25"/>
        <v>3.9589611909175291E-13</v>
      </c>
    </row>
    <row r="156" spans="2:11">
      <c r="B156">
        <v>1</v>
      </c>
      <c r="C156" s="247">
        <f t="array" ref="C156:H156">attrack($C$28,C155:H155,B156)</f>
        <v>2.0528860035231222E-4</v>
      </c>
      <c r="D156" s="247">
        <v>-3.3562907424327475E-6</v>
      </c>
      <c r="E156" s="247">
        <v>7.3862501270485307E-7</v>
      </c>
      <c r="F156" s="247">
        <v>2.6893459188147557E-7</v>
      </c>
      <c r="G156" s="247">
        <v>1E-3</v>
      </c>
      <c r="H156" s="247">
        <v>1.3016049253496726E-3</v>
      </c>
      <c r="I156" s="327">
        <f t="shared" si="26"/>
        <v>31</v>
      </c>
      <c r="J156" s="279">
        <f t="shared" si="24"/>
        <v>1.5956538752665701E-9</v>
      </c>
      <c r="K156" s="279">
        <f t="shared" si="25"/>
        <v>3.9869862407983237E-13</v>
      </c>
    </row>
    <row r="157" spans="2:11">
      <c r="B157">
        <v>1</v>
      </c>
      <c r="C157" s="247">
        <f t="array" ref="C157:H157">attrack($C$28,C156:H156,B157)</f>
        <v>8.9120912618566368E-6</v>
      </c>
      <c r="D157" s="247">
        <v>-1.2993367650109689E-6</v>
      </c>
      <c r="E157" s="247">
        <v>1.9840927388509426E-7</v>
      </c>
      <c r="F157" s="247">
        <v>3.9109658253505059E-7</v>
      </c>
      <c r="G157" s="247">
        <v>1E-3</v>
      </c>
      <c r="H157" s="247">
        <v>1.311034496368731E-3</v>
      </c>
      <c r="I157" s="327">
        <f t="shared" si="26"/>
        <v>32</v>
      </c>
      <c r="J157" s="279">
        <f t="shared" ref="J157:J175" si="27">L$5*$C157*$C157+2*L$4*$C157*$D157+L$3*$D157*$D157</f>
        <v>6.1549907039488104E-11</v>
      </c>
      <c r="K157" s="279">
        <f t="shared" ref="K157:K175" si="28">N$5*$E157*$E157+2*N$4*$E157*$F157+N$3*$F157*$F157</f>
        <v>4.0169701410413776E-13</v>
      </c>
    </row>
    <row r="158" spans="2:11">
      <c r="B158">
        <v>1</v>
      </c>
      <c r="C158" s="247">
        <f t="array" ref="C158:H158">attrack($C$28,C157:H157,B158)</f>
        <v>1.1587569532443553E-4</v>
      </c>
      <c r="D158" s="247">
        <v>3.8314354673874399E-6</v>
      </c>
      <c r="E158" s="247">
        <v>-4.1828985458466319E-7</v>
      </c>
      <c r="F158" s="247">
        <v>3.624775030526532E-7</v>
      </c>
      <c r="G158" s="247">
        <v>1E-3</v>
      </c>
      <c r="H158" s="247">
        <v>1.3200360532767798E-3</v>
      </c>
      <c r="I158" s="327">
        <f t="shared" si="26"/>
        <v>33</v>
      </c>
      <c r="J158" s="279">
        <f t="shared" si="27"/>
        <v>8.9787172454094387E-10</v>
      </c>
      <c r="K158" s="279">
        <f t="shared" si="28"/>
        <v>4.0097615734420039E-13</v>
      </c>
    </row>
    <row r="159" spans="2:11">
      <c r="B159">
        <v>1</v>
      </c>
      <c r="C159" s="247">
        <f t="array" ref="C159:H159">attrack($C$28,C158:H158,B159)</f>
        <v>2.72271989901023E-4</v>
      </c>
      <c r="D159" s="247">
        <v>-1.12940000840183E-7</v>
      </c>
      <c r="E159" s="247">
        <v>-8.7383969830396668E-7</v>
      </c>
      <c r="F159" s="247">
        <v>1.9380171004065561E-7</v>
      </c>
      <c r="G159" s="247">
        <v>1E-3</v>
      </c>
      <c r="H159" s="247">
        <v>1.3302978033654861E-3</v>
      </c>
      <c r="I159" s="327">
        <f t="shared" si="26"/>
        <v>34</v>
      </c>
      <c r="J159" s="279">
        <f t="shared" si="27"/>
        <v>2.1114129949583974E-9</v>
      </c>
      <c r="K159" s="279">
        <f t="shared" si="28"/>
        <v>3.9731190072254659E-13</v>
      </c>
    </row>
    <row r="160" spans="2:11">
      <c r="B160">
        <v>1</v>
      </c>
      <c r="C160" s="247">
        <f t="array" ref="C160:H160">attrack($C$28,C159:H159,B160)</f>
        <v>1.0812548189982836E-4</v>
      </c>
      <c r="D160" s="247">
        <v>-3.7893249742558273E-6</v>
      </c>
      <c r="E160" s="247">
        <v>-9.9195923884257346E-7</v>
      </c>
      <c r="F160" s="247">
        <v>-4.9849952195317391E-8</v>
      </c>
      <c r="G160" s="247">
        <v>1E-3</v>
      </c>
      <c r="H160" s="247">
        <v>1.3405224901736437E-3</v>
      </c>
      <c r="I160" s="327">
        <f t="shared" si="26"/>
        <v>35</v>
      </c>
      <c r="J160" s="279">
        <f t="shared" si="27"/>
        <v>8.3716647770714225E-10</v>
      </c>
      <c r="K160" s="279">
        <f t="shared" si="28"/>
        <v>3.9608358381811834E-13</v>
      </c>
    </row>
    <row r="161" spans="2:11">
      <c r="B161">
        <v>1</v>
      </c>
      <c r="C161" s="247">
        <f t="array" ref="C161:H161">attrack($C$28,C160:H160,B161)</f>
        <v>1.1785273881628719E-5</v>
      </c>
      <c r="D161" s="247">
        <v>1.5088937077918833E-6</v>
      </c>
      <c r="E161" s="247">
        <v>-7.2705417373968389E-7</v>
      </c>
      <c r="F161" s="247">
        <v>-2.7398131397341854E-7</v>
      </c>
      <c r="G161" s="247">
        <v>1E-3</v>
      </c>
      <c r="H161" s="247">
        <v>1.3495006973881772E-3</v>
      </c>
      <c r="I161" s="327">
        <f t="shared" si="26"/>
        <v>36</v>
      </c>
      <c r="J161" s="279">
        <f t="shared" si="27"/>
        <v>8.3909438351533184E-11</v>
      </c>
      <c r="K161" s="279">
        <f t="shared" si="28"/>
        <v>3.9889649231175762E-13</v>
      </c>
    </row>
    <row r="162" spans="2:11">
      <c r="B162">
        <v>1</v>
      </c>
      <c r="C162" s="247">
        <f t="array" ref="C162:H162">attrack($C$28,C161:H161,B162)</f>
        <v>2.1195572720357809E-4</v>
      </c>
      <c r="D162" s="247">
        <v>3.2374309680198221E-6</v>
      </c>
      <c r="E162" s="247">
        <v>-1.8123751402673668E-7</v>
      </c>
      <c r="F162" s="247">
        <v>-3.9257331054818296E-7</v>
      </c>
      <c r="G162" s="247">
        <v>1E-3</v>
      </c>
      <c r="H162" s="247">
        <v>1.3589759268832153E-3</v>
      </c>
      <c r="I162" s="327">
        <f t="shared" si="26"/>
        <v>37</v>
      </c>
      <c r="J162" s="279">
        <f t="shared" si="27"/>
        <v>1.6473456401534376E-9</v>
      </c>
      <c r="K162" s="279">
        <f t="shared" si="28"/>
        <v>4.0203563478872448E-13</v>
      </c>
    </row>
    <row r="163" spans="2:11">
      <c r="B163">
        <v>1</v>
      </c>
      <c r="C163" s="247">
        <f t="array" ref="C163:H163">attrack($C$28,C162:H162,B163)</f>
        <v>2.3408864898454983E-4</v>
      </c>
      <c r="D163" s="247">
        <v>-2.7106913287006733E-6</v>
      </c>
      <c r="E163" s="247">
        <v>4.3491185976819365E-7</v>
      </c>
      <c r="F163" s="247">
        <v>-3.5944769966999308E-7</v>
      </c>
      <c r="G163" s="247">
        <v>1E-3</v>
      </c>
      <c r="H163" s="247">
        <v>1.3695145186060388E-3</v>
      </c>
      <c r="I163" s="327">
        <f t="shared" si="26"/>
        <v>38</v>
      </c>
      <c r="J163" s="279">
        <f t="shared" si="27"/>
        <v>1.8184383790003144E-9</v>
      </c>
      <c r="K163" s="279">
        <f t="shared" si="28"/>
        <v>4.0107312137249758E-13</v>
      </c>
    </row>
    <row r="164" spans="2:11">
      <c r="B164">
        <v>1</v>
      </c>
      <c r="C164" s="247">
        <f t="array" ref="C164:H164">attrack($C$28,C163:H163,B164)</f>
        <v>2.5865590026384027E-5</v>
      </c>
      <c r="D164" s="247">
        <v>-2.2295374013999741E-6</v>
      </c>
      <c r="E164" s="247">
        <v>8.8285537003646651E-7</v>
      </c>
      <c r="F164" s="247">
        <v>-1.8741096932426126E-7</v>
      </c>
      <c r="G164" s="247">
        <v>1E-3</v>
      </c>
      <c r="H164" s="247">
        <v>1.3791630418072058E-3</v>
      </c>
      <c r="I164" s="327">
        <f t="shared" si="26"/>
        <v>39</v>
      </c>
      <c r="J164" s="279">
        <f t="shared" si="27"/>
        <v>1.9361498284366047E-10</v>
      </c>
      <c r="K164" s="279">
        <f t="shared" si="28"/>
        <v>3.974364557595811E-13</v>
      </c>
    </row>
    <row r="165" spans="2:11">
      <c r="B165">
        <v>1</v>
      </c>
      <c r="C165" s="247">
        <f t="array" ref="C165:H165">attrack($C$28,C164:H164,B165)</f>
        <v>8.0692091184017618E-5</v>
      </c>
      <c r="D165" s="247">
        <v>3.5270265346452707E-6</v>
      </c>
      <c r="E165" s="247">
        <v>9.8971801036139119E-7</v>
      </c>
      <c r="F165" s="247">
        <v>5.6742184036709176E-8</v>
      </c>
      <c r="G165" s="247">
        <v>1E-3</v>
      </c>
      <c r="H165" s="247">
        <v>1.3880773123795649E-3</v>
      </c>
      <c r="I165" s="327">
        <f t="shared" si="26"/>
        <v>40</v>
      </c>
      <c r="J165" s="279">
        <f t="shared" si="27"/>
        <v>6.2227172496411979E-10</v>
      </c>
      <c r="K165" s="279">
        <f t="shared" si="28"/>
        <v>3.9617856623574274E-13</v>
      </c>
    </row>
    <row r="166" spans="2:11">
      <c r="B166">
        <v>1</v>
      </c>
      <c r="C166" s="247">
        <f t="array" ref="C166:H166">attrack($C$28,C165:H165,B166)</f>
        <v>2.683916368948256E-4</v>
      </c>
      <c r="D166" s="247">
        <v>9.3285187175463627E-7</v>
      </c>
      <c r="E166" s="247">
        <v>7.1430574165835282E-7</v>
      </c>
      <c r="F166" s="247">
        <v>2.792574366987009E-7</v>
      </c>
      <c r="G166" s="247">
        <v>1E-3</v>
      </c>
      <c r="H166" s="247">
        <v>1.3981522331678229E-3</v>
      </c>
      <c r="I166" s="327">
        <f t="shared" si="26"/>
        <v>41</v>
      </c>
      <c r="J166" s="279">
        <f t="shared" si="27"/>
        <v>2.0817836974030087E-9</v>
      </c>
      <c r="K166" s="279">
        <f t="shared" si="28"/>
        <v>3.9898529419634099E-13</v>
      </c>
    </row>
    <row r="167" spans="2:11">
      <c r="B167">
        <v>1</v>
      </c>
      <c r="C167" s="247">
        <f t="array" ref="C167:H167">attrack($C$28,C166:H166,B167)</f>
        <v>1.4470937413507738E-4</v>
      </c>
      <c r="D167" s="247">
        <v>-3.8747507739470605E-6</v>
      </c>
      <c r="E167" s="247">
        <v>1.6300046812695189E-7</v>
      </c>
      <c r="F167" s="247">
        <v>3.9378134475747359E-7</v>
      </c>
      <c r="G167" s="247">
        <v>1E-3</v>
      </c>
      <c r="H167" s="247">
        <v>1.4085333096633282E-3</v>
      </c>
      <c r="I167" s="327">
        <f t="shared" si="26"/>
        <v>42</v>
      </c>
      <c r="J167" s="279">
        <f t="shared" si="27"/>
        <v>1.1235499466020464E-9</v>
      </c>
      <c r="K167" s="279">
        <f t="shared" si="28"/>
        <v>4.0194651638519693E-13</v>
      </c>
    </row>
    <row r="168" spans="2:11">
      <c r="B168">
        <v>1</v>
      </c>
      <c r="C168" s="247">
        <f t="array" ref="C168:H168">attrack($C$28,C167:H167,B168)</f>
        <v>2.1357061551972339E-6</v>
      </c>
      <c r="D168" s="247">
        <v>4.9843630369201241E-7</v>
      </c>
      <c r="E168" s="247">
        <v>-4.508293293752389E-7</v>
      </c>
      <c r="F168" s="247">
        <v>3.5617370343210574E-7</v>
      </c>
      <c r="G168" s="247">
        <v>1E-3</v>
      </c>
      <c r="H168" s="247">
        <v>1.4176404697722254E-3</v>
      </c>
      <c r="I168" s="327">
        <f t="shared" si="26"/>
        <v>43</v>
      </c>
      <c r="J168" s="279">
        <f t="shared" si="27"/>
        <v>8.8544585287601092E-12</v>
      </c>
      <c r="K168" s="279">
        <f t="shared" si="28"/>
        <v>4.0074423739646701E-13</v>
      </c>
    </row>
    <row r="169" spans="2:11">
      <c r="B169">
        <v>1</v>
      </c>
      <c r="C169" s="247">
        <f t="array" ref="C169:H169">attrack($C$28,C168:H168,B169)</f>
        <v>1.7901136071104331E-4</v>
      </c>
      <c r="D169" s="247">
        <v>3.6925734257954457E-6</v>
      </c>
      <c r="E169" s="247">
        <v>-8.9059425975011186E-7</v>
      </c>
      <c r="F169" s="247">
        <v>1.8126265615882773E-7</v>
      </c>
      <c r="G169" s="247">
        <v>1E-3</v>
      </c>
      <c r="H169" s="247">
        <v>1.4269118361683476E-3</v>
      </c>
      <c r="I169" s="327">
        <f t="shared" si="26"/>
        <v>44</v>
      </c>
      <c r="J169" s="279">
        <f t="shared" si="27"/>
        <v>1.3913392019859263E-9</v>
      </c>
      <c r="K169" s="279">
        <f t="shared" si="28"/>
        <v>3.9715172059181302E-13</v>
      </c>
    </row>
    <row r="170" spans="2:11">
      <c r="B170">
        <v>1</v>
      </c>
      <c r="C170" s="247">
        <f t="array" ref="C170:H170">attrack($C$28,C169:H169,B170)</f>
        <v>2.5578092948825562E-4</v>
      </c>
      <c r="D170" s="247">
        <v>-1.8658807627096083E-6</v>
      </c>
      <c r="E170" s="247">
        <v>-9.8662779093775718E-7</v>
      </c>
      <c r="F170" s="247">
        <v>-6.3931639227146622E-8</v>
      </c>
      <c r="G170" s="247">
        <v>1E-3</v>
      </c>
      <c r="H170" s="247">
        <v>1.4373966313008064E-3</v>
      </c>
      <c r="I170" s="327">
        <f t="shared" si="26"/>
        <v>45</v>
      </c>
      <c r="J170" s="279">
        <f t="shared" si="27"/>
        <v>1.9852562394524805E-9</v>
      </c>
      <c r="K170" s="279">
        <f t="shared" si="28"/>
        <v>3.9594910020259339E-13</v>
      </c>
    </row>
    <row r="171" spans="2:11">
      <c r="B171">
        <v>1</v>
      </c>
      <c r="C171" s="247">
        <f t="array" ref="C171:H171">attrack($C$28,C170:H170,B171)</f>
        <v>5.0947399857667002E-5</v>
      </c>
      <c r="D171" s="247">
        <v>-2.9976977626536361E-6</v>
      </c>
      <c r="E171" s="247">
        <v>-7.0171311874590551E-7</v>
      </c>
      <c r="F171" s="247">
        <v>-2.842597633947566E-7</v>
      </c>
      <c r="G171" s="247">
        <v>1E-3</v>
      </c>
      <c r="H171" s="247">
        <v>1.447268944122324E-3</v>
      </c>
      <c r="I171" s="327">
        <f t="shared" si="26"/>
        <v>46</v>
      </c>
      <c r="J171" s="279">
        <f t="shared" si="27"/>
        <v>3.8948625089560857E-10</v>
      </c>
      <c r="K171" s="279">
        <f t="shared" si="28"/>
        <v>3.9903690778757943E-13</v>
      </c>
    </row>
    <row r="172" spans="2:11">
      <c r="B172">
        <v>1</v>
      </c>
      <c r="C172" s="247">
        <f t="array" ref="C172:H172">attrack($C$28,C171:H171,B172)</f>
        <v>4.9587925311481108E-5</v>
      </c>
      <c r="D172" s="247">
        <v>2.9655288923645774E-6</v>
      </c>
      <c r="E172" s="247">
        <v>-1.46038184876384E-7</v>
      </c>
      <c r="F172" s="247">
        <v>-3.9479069791681125E-7</v>
      </c>
      <c r="G172" s="247">
        <v>1E-3</v>
      </c>
      <c r="H172" s="247">
        <v>1.4561543759204485E-3</v>
      </c>
      <c r="I172" s="327">
        <f t="shared" si="26"/>
        <v>47</v>
      </c>
      <c r="J172" s="279">
        <f t="shared" si="27"/>
        <v>3.7885770272575199E-10</v>
      </c>
      <c r="K172" s="279">
        <f t="shared" si="28"/>
        <v>4.0187904425203043E-13</v>
      </c>
    </row>
    <row r="173" spans="2:11">
      <c r="B173">
        <v>1</v>
      </c>
      <c r="C173" s="247">
        <f t="array" ref="C173:H173">attrack($C$28,C172:H172,B173)</f>
        <v>2.5493060995235327E-4</v>
      </c>
      <c r="D173" s="247">
        <v>1.9099607150470457E-6</v>
      </c>
      <c r="E173" s="247">
        <v>4.6636590299970325E-7</v>
      </c>
      <c r="F173" s="247">
        <v>-3.5308109605900774E-7</v>
      </c>
      <c r="G173" s="247">
        <v>1E-3</v>
      </c>
      <c r="H173" s="247">
        <v>1.4660161157674743E-3</v>
      </c>
      <c r="I173" s="327">
        <f t="shared" si="26"/>
        <v>48</v>
      </c>
      <c r="J173" s="279">
        <f t="shared" si="27"/>
        <v>1.9787350700806364E-9</v>
      </c>
      <c r="K173" s="279">
        <f t="shared" si="28"/>
        <v>4.0085266131561078E-13</v>
      </c>
    </row>
    <row r="174" spans="2:11">
      <c r="B174">
        <v>1</v>
      </c>
      <c r="C174" s="247">
        <f t="array" ref="C174:H174">attrack($C$28,C173:H173,B174)</f>
        <v>1.8067849151582935E-4</v>
      </c>
      <c r="D174" s="247">
        <v>-3.6767764589033653E-6</v>
      </c>
      <c r="E174" s="247">
        <v>8.9886800989383721E-7</v>
      </c>
      <c r="F174" s="247">
        <v>-1.7472928923226254E-7</v>
      </c>
      <c r="G174" s="247">
        <v>1E-3</v>
      </c>
      <c r="H174" s="247">
        <v>1.4765048155015229E-3</v>
      </c>
      <c r="I174" s="327">
        <f t="shared" si="26"/>
        <v>49</v>
      </c>
      <c r="J174" s="279">
        <f t="shared" si="27"/>
        <v>1.4043265251791485E-9</v>
      </c>
      <c r="K174" s="279">
        <f t="shared" si="28"/>
        <v>3.9714604636314031E-13</v>
      </c>
    </row>
    <row r="175" spans="2:11">
      <c r="B175">
        <v>1</v>
      </c>
      <c r="C175" s="247">
        <f t="array" ref="C175:H175">attrack($C$28,C174:H174,B175)</f>
        <v>2.3749872725926335E-6</v>
      </c>
      <c r="D175" s="247">
        <v>-5.4819988245776688E-7</v>
      </c>
      <c r="E175" s="247">
        <v>9.8408384771840103E-7</v>
      </c>
      <c r="F175" s="247">
        <v>7.0895590975587028E-8</v>
      </c>
      <c r="G175" s="247">
        <v>1E-3</v>
      </c>
      <c r="H175" s="247">
        <v>1.4857853080811362E-3</v>
      </c>
      <c r="I175" s="327">
        <f t="shared" si="26"/>
        <v>50</v>
      </c>
      <c r="J175" s="279">
        <f t="shared" si="27"/>
        <v>1.0714271128422627E-11</v>
      </c>
      <c r="K175" s="279">
        <f t="shared" si="28"/>
        <v>3.9633312344914417E-13</v>
      </c>
    </row>
    <row r="176" spans="2:11">
      <c r="C176">
        <f>xnaff(C125:C175)</f>
        <v>0.28000917383986929</v>
      </c>
      <c r="E176">
        <f>xnaff(E125:E175)</f>
        <v>0.1005616114582371</v>
      </c>
      <c r="G176">
        <f>xnaff(G126:G175)</f>
        <v>2.8732776695843097E-13</v>
      </c>
      <c r="J176" s="280"/>
      <c r="K176" s="280"/>
    </row>
    <row r="177" spans="2:11">
      <c r="B177" s="559" t="s">
        <v>1206</v>
      </c>
      <c r="C177" s="247"/>
      <c r="D177" s="247"/>
      <c r="E177" s="247"/>
      <c r="F177" s="558"/>
      <c r="G177" s="247">
        <f>(1/G176)*B175/D179</f>
        <v>217521615337.10092</v>
      </c>
      <c r="H177" s="247"/>
      <c r="I177" s="327"/>
      <c r="J177" s="279"/>
      <c r="K177" s="279"/>
    </row>
    <row r="178" spans="2:11">
      <c r="C178" s="247"/>
      <c r="D178" s="247"/>
      <c r="E178" s="247"/>
      <c r="F178" s="247"/>
      <c r="G178" s="247"/>
      <c r="H178" s="247"/>
      <c r="I178" s="327"/>
      <c r="J178" s="279"/>
      <c r="K178" s="279"/>
    </row>
    <row r="179" spans="2:11">
      <c r="C179" s="559" t="s">
        <v>1205</v>
      </c>
      <c r="D179">
        <v>16</v>
      </c>
      <c r="E179" s="247"/>
      <c r="F179" s="247"/>
      <c r="G179" s="247"/>
      <c r="H179" s="247"/>
      <c r="I179" s="327"/>
      <c r="J179" s="279"/>
      <c r="K179" s="279"/>
    </row>
    <row r="180" spans="2:11">
      <c r="C180" s="247"/>
      <c r="D180" s="247"/>
      <c r="E180" s="247"/>
      <c r="F180" s="247"/>
      <c r="G180" s="247"/>
      <c r="H180" s="247"/>
      <c r="I180" s="327"/>
      <c r="J180" s="279"/>
      <c r="K180" s="279"/>
    </row>
    <row r="181" spans="2:11">
      <c r="C181" s="247"/>
      <c r="D181" s="247"/>
      <c r="E181" s="247"/>
      <c r="F181" s="247"/>
      <c r="G181" s="247"/>
      <c r="H181" s="247"/>
      <c r="I181" s="327"/>
      <c r="J181" s="279"/>
      <c r="K181" s="279"/>
    </row>
    <row r="182" spans="2:11">
      <c r="C182" s="247"/>
      <c r="D182" s="247"/>
      <c r="E182" s="247"/>
      <c r="F182" s="247"/>
      <c r="G182" s="247"/>
      <c r="H182" s="247"/>
      <c r="I182" s="327"/>
      <c r="J182" s="279"/>
      <c r="K182" s="279"/>
    </row>
    <row r="183" spans="2:11">
      <c r="C183" s="247"/>
      <c r="D183" s="247"/>
      <c r="E183" s="247"/>
      <c r="F183" s="247"/>
      <c r="G183" s="247"/>
      <c r="H183" s="247"/>
      <c r="I183" s="327"/>
      <c r="J183" s="279"/>
      <c r="K183" s="279"/>
    </row>
    <row r="184" spans="2:11">
      <c r="C184" s="247"/>
      <c r="D184" s="247"/>
      <c r="E184" s="247"/>
      <c r="F184" s="247"/>
      <c r="G184" s="247"/>
      <c r="H184" s="247"/>
      <c r="I184" s="327"/>
      <c r="J184" s="279"/>
      <c r="K184" s="279"/>
    </row>
    <row r="185" spans="2:11">
      <c r="C185" s="247"/>
      <c r="D185" s="247"/>
      <c r="E185" s="247"/>
      <c r="F185" s="247"/>
      <c r="G185" s="247"/>
      <c r="H185" s="247"/>
      <c r="I185" s="327"/>
      <c r="J185" s="279"/>
      <c r="K185" s="279"/>
    </row>
    <row r="186" spans="2:11">
      <c r="C186" s="247"/>
      <c r="D186" s="247"/>
      <c r="E186" s="247"/>
      <c r="F186" s="247"/>
      <c r="G186" s="247"/>
      <c r="H186" s="247"/>
      <c r="I186" s="327"/>
      <c r="J186" s="279"/>
      <c r="K186" s="279"/>
    </row>
    <row r="187" spans="2:11">
      <c r="C187" s="247"/>
      <c r="D187" s="247"/>
      <c r="E187" s="247"/>
      <c r="F187" s="247"/>
      <c r="G187" s="247"/>
      <c r="H187" s="247"/>
      <c r="I187" s="327"/>
      <c r="J187" s="279"/>
      <c r="K187" s="279"/>
    </row>
    <row r="188" spans="2:11">
      <c r="C188" s="247"/>
      <c r="D188" s="247"/>
      <c r="E188" s="247"/>
      <c r="F188" s="247"/>
      <c r="G188" s="247"/>
      <c r="H188" s="247"/>
      <c r="I188" s="327"/>
      <c r="J188" s="279"/>
      <c r="K188" s="279"/>
    </row>
    <row r="189" spans="2:11">
      <c r="C189" s="247"/>
      <c r="D189" s="247"/>
      <c r="E189" s="247"/>
      <c r="F189" s="247"/>
      <c r="G189" s="247"/>
      <c r="H189" s="247"/>
      <c r="I189" s="327"/>
      <c r="J189" s="279"/>
      <c r="K189" s="279"/>
    </row>
    <row r="190" spans="2:11">
      <c r="C190" s="247"/>
      <c r="D190" s="247"/>
      <c r="E190" s="247"/>
      <c r="F190" s="247"/>
      <c r="G190" s="247"/>
      <c r="H190" s="247"/>
      <c r="I190" s="327"/>
      <c r="J190" s="279"/>
      <c r="K190" s="279"/>
    </row>
    <row r="192" spans="2:11">
      <c r="C192" s="247"/>
      <c r="D192" s="247"/>
      <c r="E192" s="247"/>
      <c r="F192" s="247"/>
      <c r="G192" s="247"/>
      <c r="H192" s="247"/>
      <c r="I192" s="327"/>
      <c r="J192" s="279"/>
      <c r="K192" s="279"/>
    </row>
    <row r="193" spans="3:11">
      <c r="C193" s="247"/>
      <c r="D193" s="247"/>
      <c r="E193" s="247"/>
      <c r="F193" s="247"/>
      <c r="G193" s="247"/>
      <c r="H193" s="247"/>
      <c r="I193" s="327"/>
      <c r="J193" s="279"/>
      <c r="K193" s="279"/>
    </row>
    <row r="194" spans="3:11">
      <c r="C194" s="247"/>
      <c r="D194" s="247"/>
      <c r="E194" s="247"/>
      <c r="F194" s="247"/>
      <c r="G194" s="247"/>
      <c r="H194" s="247"/>
      <c r="I194" s="327"/>
      <c r="J194" s="279"/>
      <c r="K194" s="279"/>
    </row>
    <row r="195" spans="3:11">
      <c r="C195" s="247"/>
      <c r="D195" s="247"/>
      <c r="E195" s="247"/>
      <c r="F195" s="247"/>
      <c r="G195" s="247"/>
      <c r="H195" s="247"/>
      <c r="I195" s="327"/>
      <c r="J195" s="279"/>
      <c r="K195" s="279"/>
    </row>
    <row r="196" spans="3:11">
      <c r="C196" s="247"/>
      <c r="D196" s="247"/>
      <c r="E196" s="247"/>
      <c r="F196" s="247"/>
      <c r="G196" s="247"/>
      <c r="H196" s="247"/>
      <c r="I196" s="327"/>
      <c r="J196" s="279"/>
      <c r="K196" s="279"/>
    </row>
    <row r="197" spans="3:11">
      <c r="C197" s="247"/>
      <c r="D197" s="247"/>
      <c r="E197" s="247"/>
      <c r="F197" s="247"/>
      <c r="G197" s="247"/>
      <c r="H197" s="247"/>
      <c r="I197" s="327"/>
      <c r="J197" s="279"/>
      <c r="K197" s="279"/>
    </row>
    <row r="198" spans="3:11">
      <c r="C198" s="247"/>
      <c r="D198" s="247"/>
      <c r="E198" s="247"/>
      <c r="F198" s="247"/>
      <c r="G198" s="247"/>
      <c r="H198" s="247"/>
      <c r="I198" s="327"/>
      <c r="J198" s="279"/>
      <c r="K198" s="279"/>
    </row>
    <row r="199" spans="3:11">
      <c r="C199" s="247"/>
      <c r="D199" s="247"/>
      <c r="E199" s="247"/>
      <c r="F199" s="247"/>
      <c r="G199" s="247"/>
      <c r="H199" s="247"/>
      <c r="I199" s="327"/>
      <c r="J199" s="279"/>
      <c r="K199" s="279"/>
    </row>
    <row r="200" spans="3:11">
      <c r="C200" s="247"/>
      <c r="D200" s="247"/>
      <c r="E200" s="247"/>
      <c r="F200" s="247"/>
      <c r="G200" s="247"/>
      <c r="H200" s="247"/>
      <c r="I200" s="327"/>
      <c r="J200" s="279"/>
      <c r="K200" s="279"/>
    </row>
  </sheetData>
  <phoneticPr fontId="0"/>
  <hyperlinks>
    <hyperlink ref="C3" r:id="rId1" tooltip="Accelerator Toolbox Web site"/>
  </hyperlinks>
  <pageMargins left="0.75" right="0.75" top="1" bottom="1" header="0.5" footer="0.5"/>
  <pageSetup paperSize="9" orientation="portrait" horizontalDpi="4294967292" verticalDpi="4294967292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>
    <outlinePr summaryBelow="0" summaryRight="0"/>
  </sheetPr>
  <dimension ref="A1:Z47"/>
  <sheetViews>
    <sheetView workbookViewId="0">
      <selection activeCell="B14" sqref="B14"/>
    </sheetView>
  </sheetViews>
  <sheetFormatPr defaultColWidth="11.42578125" defaultRowHeight="12.75" outlineLevelRow="1" outlineLevelCol="1"/>
  <cols>
    <col min="1" max="1" width="5.28515625" style="248" customWidth="1"/>
    <col min="2" max="2" width="8" customWidth="1"/>
    <col min="3" max="3" width="11.42578125" customWidth="1"/>
    <col min="4" max="4" width="11.140625" bestFit="1" customWidth="1"/>
    <col min="5" max="5" width="11.42578125" customWidth="1"/>
    <col min="6" max="6" width="4.28515625" customWidth="1"/>
    <col min="7" max="19" width="11.28515625" customWidth="1"/>
    <col min="20" max="20" width="15.140625" style="382" customWidth="1" outlineLevel="1"/>
    <col min="21" max="22" width="12.42578125" customWidth="1" outlineLevel="1"/>
    <col min="23" max="23" width="9.140625" customWidth="1" outlineLevel="1"/>
    <col min="24" max="25" width="10.85546875" style="390" customWidth="1"/>
  </cols>
  <sheetData>
    <row r="1" spans="1:25" s="369" customFormat="1" ht="15" collapsed="1">
      <c r="B1" s="369" t="s">
        <v>1081</v>
      </c>
      <c r="T1" s="379"/>
    </row>
    <row r="2" spans="1:25" s="241" customFormat="1" ht="15" hidden="1" outlineLevel="1">
      <c r="A2" s="369"/>
      <c r="B2" s="371"/>
      <c r="C2" s="371" t="str">
        <f>Table!C149</f>
        <v>N. cells</v>
      </c>
      <c r="D2" s="371">
        <f>Table!D149</f>
        <v>16</v>
      </c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3"/>
      <c r="U2" s="371"/>
      <c r="V2" s="371"/>
      <c r="W2" s="371"/>
      <c r="X2" s="389"/>
      <c r="Y2" s="389"/>
    </row>
    <row r="3" spans="1:25" s="241" customFormat="1" ht="15" hidden="1" outlineLevel="1">
      <c r="A3" s="369"/>
      <c r="B3" s="371"/>
      <c r="C3" s="371" t="str">
        <f>Table!C152</f>
        <v>Sym</v>
      </c>
      <c r="D3" s="371">
        <f>Table!D152</f>
        <v>2</v>
      </c>
      <c r="E3" s="371"/>
      <c r="F3" s="371"/>
      <c r="G3" s="371" t="str">
        <f>Table!G152</f>
        <v>1 or 2 if lattice is defined with symmetry point or not</v>
      </c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3"/>
      <c r="U3" s="371"/>
      <c r="V3" s="371"/>
      <c r="W3" s="371"/>
      <c r="X3" s="389"/>
      <c r="Y3" s="389"/>
    </row>
    <row r="4" spans="1:25" s="241" customFormat="1" ht="15" hidden="1" outlineLevel="1">
      <c r="A4" s="369"/>
      <c r="B4" s="371"/>
      <c r="C4" s="371" t="str">
        <f>Table!C153</f>
        <v>Nux</v>
      </c>
      <c r="D4" s="371">
        <f>Table!D153</f>
        <v>36.469511897653589</v>
      </c>
      <c r="E4" s="371"/>
      <c r="F4" s="371"/>
      <c r="G4" s="371" t="str">
        <f>Table!G153</f>
        <v>Horizontal Tune</v>
      </c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3"/>
      <c r="U4" s="371"/>
      <c r="V4" s="371"/>
      <c r="W4" s="371"/>
      <c r="X4" s="389"/>
      <c r="Y4" s="389"/>
    </row>
    <row r="5" spans="1:25" s="241" customFormat="1" ht="15" hidden="1" outlineLevel="1">
      <c r="A5" s="369"/>
      <c r="B5" s="371"/>
      <c r="C5" s="371" t="str">
        <f>Table!C154</f>
        <v>Nuz</v>
      </c>
      <c r="D5" s="371">
        <f>Table!D154</f>
        <v>14.384174552740534</v>
      </c>
      <c r="E5" s="371"/>
      <c r="F5" s="371"/>
      <c r="G5" s="371" t="str">
        <f>Table!G154</f>
        <v>Vertical Tune</v>
      </c>
      <c r="H5" s="371"/>
      <c r="I5" s="371"/>
      <c r="J5" s="371"/>
      <c r="K5" s="371"/>
      <c r="L5" s="371"/>
      <c r="M5" s="371"/>
      <c r="N5" s="371"/>
      <c r="O5" s="371"/>
      <c r="P5" s="371"/>
      <c r="Q5" s="371"/>
      <c r="R5" s="371"/>
      <c r="S5" s="371"/>
      <c r="T5" s="373"/>
      <c r="U5" s="371"/>
      <c r="V5" s="371"/>
      <c r="W5" s="371"/>
      <c r="X5" s="389"/>
      <c r="Y5" s="389"/>
    </row>
    <row r="6" spans="1:25" s="241" customFormat="1" ht="15" hidden="1" outlineLevel="1">
      <c r="A6" s="369"/>
      <c r="B6" s="371"/>
      <c r="C6" s="371" t="str">
        <f>Table!C161</f>
        <v>Jx</v>
      </c>
      <c r="D6" s="371">
        <f>Table!D161</f>
        <v>0.99906272734104362</v>
      </c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3"/>
      <c r="U6" s="371"/>
      <c r="V6" s="371"/>
      <c r="W6" s="371"/>
      <c r="X6" s="389"/>
      <c r="Y6" s="389"/>
    </row>
    <row r="7" spans="1:25" s="241" customFormat="1" ht="15" hidden="1" outlineLevel="1">
      <c r="A7" s="369"/>
      <c r="B7" s="371"/>
      <c r="C7" s="371" t="str">
        <f>Table!C162</f>
        <v>Jz</v>
      </c>
      <c r="D7" s="371">
        <f>Table!D162</f>
        <v>1</v>
      </c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T7" s="373"/>
      <c r="U7" s="371"/>
      <c r="V7" s="371"/>
      <c r="W7" s="371"/>
      <c r="X7" s="389"/>
      <c r="Y7" s="389"/>
    </row>
    <row r="8" spans="1:25" s="241" customFormat="1" ht="15" hidden="1" outlineLevel="1">
      <c r="A8" s="369"/>
      <c r="B8" s="371"/>
      <c r="C8" s="371" t="str">
        <f>Table!C163</f>
        <v>Js</v>
      </c>
      <c r="D8" s="371">
        <f>Table!D163</f>
        <v>2.0009372726589563</v>
      </c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371"/>
      <c r="R8" s="371"/>
      <c r="S8" s="371"/>
      <c r="T8" s="373"/>
      <c r="U8" s="371"/>
      <c r="V8" s="371"/>
      <c r="W8" s="371"/>
      <c r="X8" s="389"/>
      <c r="Y8" s="389"/>
    </row>
    <row r="9" spans="1:25" s="241" customFormat="1" ht="15" hidden="1" outlineLevel="1">
      <c r="A9" s="369"/>
      <c r="B9" s="371"/>
      <c r="C9" s="371" t="str">
        <f>Table!C167</f>
        <v>SigE/E</v>
      </c>
      <c r="D9" s="371">
        <f>Table!D167</f>
        <v>1.0629909222129516E-3</v>
      </c>
      <c r="E9" s="371"/>
      <c r="F9" s="371"/>
      <c r="G9" s="371" t="str">
        <f>Table!G167</f>
        <v>Rms Energy Spread</v>
      </c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3"/>
      <c r="U9" s="371"/>
      <c r="V9" s="371"/>
      <c r="W9" s="371"/>
      <c r="X9" s="389"/>
      <c r="Y9" s="389"/>
    </row>
    <row r="10" spans="1:25" s="241" customFormat="1" ht="15" hidden="1" outlineLevel="1">
      <c r="A10" s="369"/>
      <c r="B10" s="371"/>
      <c r="C10" s="371" t="str">
        <f>Table!C168</f>
        <v>EmitX</v>
      </c>
      <c r="D10" s="371">
        <f>Table!D168</f>
        <v>3.7012216628845733</v>
      </c>
      <c r="E10" s="371" t="str">
        <f>Table!E168</f>
        <v>[nm]</v>
      </c>
      <c r="F10" s="371"/>
      <c r="G10" s="371" t="str">
        <f>Table!G168</f>
        <v>Horizontal Emittance (including coupling)</v>
      </c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3"/>
      <c r="U10" s="371"/>
      <c r="V10" s="371"/>
      <c r="W10" s="371"/>
      <c r="X10" s="389"/>
      <c r="Y10" s="389"/>
    </row>
    <row r="11" spans="1:25" s="241" customFormat="1" ht="15" hidden="1" outlineLevel="1">
      <c r="A11" s="369"/>
      <c r="B11" s="371"/>
      <c r="C11" s="371" t="str">
        <f>Table!C179</f>
        <v>ChromZ</v>
      </c>
      <c r="D11" s="371">
        <f>Table!D179</f>
        <v>5.9503641754285477</v>
      </c>
      <c r="E11" s="371"/>
      <c r="F11" s="371"/>
      <c r="G11" s="371" t="str">
        <f>Table!G179</f>
        <v>Vertical  Total Chromaticity</v>
      </c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3"/>
      <c r="U11" s="371"/>
      <c r="V11" s="371"/>
      <c r="W11" s="371"/>
      <c r="X11" s="389"/>
      <c r="Y11" s="389"/>
    </row>
    <row r="12" spans="1:25" s="241" customFormat="1" ht="15" hidden="1" outlineLevel="1">
      <c r="A12" s="369"/>
      <c r="B12" s="371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3"/>
      <c r="U12" s="371"/>
      <c r="V12" s="371"/>
      <c r="W12" s="371"/>
      <c r="X12" s="389"/>
      <c r="Y12" s="389"/>
    </row>
    <row r="13" spans="1:25" s="248" customFormat="1" ht="15">
      <c r="B13" s="1" t="s">
        <v>146</v>
      </c>
      <c r="C13" s="2"/>
      <c r="D13" s="3"/>
      <c r="E13" s="2"/>
      <c r="F13" s="2"/>
      <c r="G13" s="2"/>
      <c r="H13" s="2"/>
      <c r="I13" s="2"/>
      <c r="J13" s="2"/>
      <c r="K13" s="2"/>
      <c r="L13" s="2"/>
      <c r="M13" s="2"/>
      <c r="O13" s="2"/>
      <c r="P13" s="2"/>
      <c r="Q13" s="2"/>
      <c r="R13" s="2"/>
      <c r="S13" s="2"/>
      <c r="T13" s="380"/>
    </row>
    <row r="14" spans="1:25" ht="15">
      <c r="B14" s="7"/>
      <c r="C14" s="29"/>
      <c r="D14" s="106"/>
      <c r="E14" s="30"/>
      <c r="F14" s="29"/>
      <c r="G14" s="7"/>
      <c r="H14" s="7"/>
      <c r="I14" s="7"/>
      <c r="J14" s="7"/>
      <c r="K14" s="7"/>
      <c r="L14" s="7"/>
      <c r="M14" s="8"/>
      <c r="N14" s="368"/>
      <c r="O14" s="8"/>
      <c r="P14" s="8"/>
      <c r="Q14" s="8"/>
      <c r="R14" s="7"/>
      <c r="S14" s="7"/>
      <c r="T14" s="381"/>
      <c r="U14" s="368"/>
      <c r="V14" s="368"/>
      <c r="W14" s="368"/>
    </row>
    <row r="15" spans="1:25" ht="15.75">
      <c r="B15" s="7"/>
      <c r="C15" s="272" t="s">
        <v>523</v>
      </c>
      <c r="D15" s="106"/>
      <c r="F15" s="7"/>
      <c r="G15" s="7"/>
      <c r="H15" s="325"/>
      <c r="I15" s="7"/>
      <c r="J15" s="7"/>
      <c r="K15" s="7"/>
      <c r="L15" s="7"/>
      <c r="M15" s="8"/>
      <c r="N15" s="368"/>
      <c r="O15" s="8"/>
      <c r="P15" s="8"/>
      <c r="Q15" s="8"/>
      <c r="R15" s="7"/>
      <c r="S15" s="7"/>
      <c r="T15" s="381"/>
      <c r="U15" s="368"/>
      <c r="V15" s="368"/>
      <c r="W15" s="368"/>
    </row>
    <row r="16" spans="1:25" ht="15">
      <c r="B16" s="7"/>
      <c r="C16" s="25" t="s">
        <v>1080</v>
      </c>
      <c r="D16" s="106"/>
      <c r="F16" s="29"/>
      <c r="G16" s="7"/>
      <c r="H16" s="7"/>
      <c r="I16" s="7"/>
      <c r="J16" s="7"/>
      <c r="K16" s="7"/>
      <c r="L16" s="7"/>
      <c r="M16" s="8"/>
      <c r="N16" s="368"/>
      <c r="O16" s="8"/>
      <c r="P16" s="8"/>
      <c r="Q16" s="8"/>
      <c r="R16" s="7"/>
      <c r="S16" s="7"/>
      <c r="T16" s="381"/>
      <c r="U16" s="368"/>
      <c r="V16" s="368"/>
      <c r="W16" s="368"/>
    </row>
    <row r="17" spans="1:25" ht="15">
      <c r="B17" s="7"/>
      <c r="C17" s="25" t="s">
        <v>188</v>
      </c>
      <c r="D17" s="106"/>
      <c r="F17" s="29"/>
      <c r="G17" s="7"/>
      <c r="H17" s="7"/>
      <c r="I17" s="7"/>
      <c r="J17" s="7"/>
      <c r="K17" s="7"/>
      <c r="L17" s="7"/>
      <c r="M17" s="8"/>
      <c r="N17" s="368"/>
      <c r="O17" s="8"/>
      <c r="P17" s="8"/>
      <c r="Q17" s="8"/>
      <c r="R17" s="7"/>
      <c r="S17" s="7"/>
      <c r="T17" s="381"/>
      <c r="U17" s="368"/>
      <c r="V17" s="368"/>
      <c r="W17" s="368"/>
    </row>
    <row r="18" spans="1:25" s="368" customFormat="1" ht="15" collapsed="1">
      <c r="A18" s="248"/>
      <c r="B18" s="7"/>
      <c r="C18" s="29"/>
      <c r="D18" s="106"/>
      <c r="E18" s="25"/>
      <c r="F18" s="29"/>
      <c r="G18" s="7"/>
      <c r="H18" s="7"/>
      <c r="I18" s="7"/>
      <c r="J18" s="7"/>
      <c r="K18" s="7"/>
      <c r="L18" s="7"/>
      <c r="M18" s="8"/>
      <c r="O18" s="8"/>
      <c r="P18" s="8"/>
      <c r="Q18" s="8"/>
      <c r="R18" s="7"/>
      <c r="S18" s="7"/>
      <c r="T18" s="381"/>
      <c r="X18" s="390"/>
      <c r="Y18" s="390"/>
    </row>
    <row r="19" spans="1:25" s="371" customFormat="1" ht="15" hidden="1" outlineLevel="1">
      <c r="A19" s="369"/>
      <c r="G19" s="373" t="str">
        <f>"1/8/SIN(PI*NU)^2"</f>
        <v>1/8/SIN(PI*NU)^2</v>
      </c>
      <c r="J19" s="373" t="str">
        <f>"Pi/SQRT(2)/SIN(2PiNu)"</f>
        <v>Pi/SQRT(2)/SIN(2PiNu)</v>
      </c>
      <c r="K19" s="374" t="str">
        <f>"1/8/SIN(PI*NU)^2"</f>
        <v>1/8/SIN(PI*NU)^2</v>
      </c>
      <c r="N19" s="373" t="str">
        <f>"Pi/SQRT(2)/SIN(2PiNu)"</f>
        <v>Pi/SQRT(2)/SIN(2PiNu)</v>
      </c>
      <c r="Q19" s="371" t="str">
        <f>"2*Je/JZ*(SigE/E)^2"</f>
        <v>2*Je/JZ*(SigE/E)^2</v>
      </c>
      <c r="T19" s="373"/>
      <c r="X19" s="389"/>
      <c r="Y19" s="389"/>
    </row>
    <row r="20" spans="1:25" s="371" customFormat="1" ht="15" hidden="1" outlineLevel="1">
      <c r="A20" s="369"/>
      <c r="G20" s="371">
        <f>1/8/SIN(PI()*$D$4)^2</f>
        <v>0.12615380496181228</v>
      </c>
      <c r="H20" s="375">
        <f>E23</f>
        <v>35</v>
      </c>
      <c r="J20" s="371">
        <f>PI()/SQRT(2)/ABS(SIN(2*PI()*$D$4))</f>
        <v>11.667666994978992</v>
      </c>
      <c r="K20" s="371">
        <f>1/8/SIN(PI()*$D$5)^2</f>
        <v>0.14312940415697467</v>
      </c>
      <c r="L20" s="375">
        <f>E24</f>
        <v>12</v>
      </c>
      <c r="N20" s="371">
        <f>PI()/SQRT(2)/ABS(SIN(2*PI()*D5))</f>
        <v>3.3395424680731058</v>
      </c>
      <c r="Q20" s="371">
        <f>2*D8/D7*D9^2</f>
        <v>4.5219169447495025E-6</v>
      </c>
      <c r="R20" s="371">
        <f>$D$6/4/$D$7*$D$10/1000000000*1000000000000*(1-COS(2*PI()*$D$4)*COS(2*PI()*$D$5))/(COS(2*PI()*$D$4)-COS(2*PI()*$D$5))^2</f>
        <v>4467.8250115700057</v>
      </c>
      <c r="T20" s="373"/>
      <c r="X20" s="389"/>
      <c r="Y20" s="389"/>
    </row>
    <row r="21" spans="1:25" s="368" customFormat="1" ht="15.75">
      <c r="A21" s="248"/>
      <c r="B21" s="7"/>
      <c r="C21" s="7"/>
      <c r="D21" s="7"/>
      <c r="E21" s="7"/>
      <c r="F21" s="7"/>
      <c r="G21" s="357"/>
      <c r="H21" s="348" t="s">
        <v>669</v>
      </c>
      <c r="I21" s="370"/>
      <c r="J21" s="345"/>
      <c r="K21" s="357"/>
      <c r="L21" s="348" t="s">
        <v>270</v>
      </c>
      <c r="M21" s="370"/>
      <c r="N21" s="345"/>
      <c r="O21" s="357"/>
      <c r="P21" s="348" t="s">
        <v>1047</v>
      </c>
      <c r="Q21" s="370"/>
      <c r="R21" s="365"/>
      <c r="S21" s="352"/>
      <c r="T21" s="381"/>
      <c r="U21" s="371"/>
      <c r="V21" s="371"/>
      <c r="X21" s="390"/>
      <c r="Y21" s="390"/>
    </row>
    <row r="22" spans="1:25" s="368" customFormat="1" ht="15.75">
      <c r="A22" s="248"/>
      <c r="B22" s="7"/>
      <c r="C22" s="104" t="s">
        <v>980</v>
      </c>
      <c r="D22" s="106"/>
      <c r="E22" s="30"/>
      <c r="F22" s="30"/>
      <c r="G22" s="358"/>
      <c r="H22" s="7"/>
      <c r="I22" s="352"/>
      <c r="J22" s="9"/>
      <c r="K22" s="358"/>
      <c r="L22" s="7"/>
      <c r="M22" s="8"/>
      <c r="N22" s="9"/>
      <c r="O22" s="358"/>
      <c r="P22" s="8"/>
      <c r="Q22" s="352"/>
      <c r="R22" s="366"/>
      <c r="S22" s="352"/>
      <c r="T22" s="381"/>
      <c r="U22" s="371"/>
      <c r="V22" s="371"/>
      <c r="X22" s="390"/>
      <c r="Y22" s="390"/>
    </row>
    <row r="23" spans="1:25" ht="15">
      <c r="B23" s="7"/>
      <c r="C23" s="29" t="s">
        <v>906</v>
      </c>
      <c r="D23" s="106" t="s">
        <v>25</v>
      </c>
      <c r="E23" s="116">
        <v>35</v>
      </c>
      <c r="F23" s="107"/>
      <c r="G23" s="358" t="s">
        <v>1186</v>
      </c>
      <c r="H23" s="29" t="s">
        <v>114</v>
      </c>
      <c r="I23" s="29" t="s">
        <v>843</v>
      </c>
      <c r="J23" s="346" t="s">
        <v>52</v>
      </c>
      <c r="K23" s="358" t="s">
        <v>1186</v>
      </c>
      <c r="L23" s="29" t="s">
        <v>114</v>
      </c>
      <c r="M23" s="29" t="s">
        <v>843</v>
      </c>
      <c r="N23" s="346" t="s">
        <v>52</v>
      </c>
      <c r="O23" s="358" t="s">
        <v>114</v>
      </c>
      <c r="P23" s="29" t="s">
        <v>114</v>
      </c>
      <c r="Q23" s="29" t="s">
        <v>786</v>
      </c>
      <c r="R23" s="346" t="s">
        <v>331</v>
      </c>
      <c r="S23" s="29"/>
      <c r="T23" s="381"/>
      <c r="U23" s="371"/>
      <c r="V23" s="371"/>
      <c r="W23" s="368"/>
    </row>
    <row r="24" spans="1:25" ht="15">
      <c r="B24" s="7"/>
      <c r="C24" s="29" t="s">
        <v>923</v>
      </c>
      <c r="D24" s="29" t="s">
        <v>25</v>
      </c>
      <c r="E24" s="116">
        <v>12</v>
      </c>
      <c r="F24" s="107"/>
      <c r="G24" s="358" t="s">
        <v>409</v>
      </c>
      <c r="H24" s="29" t="s">
        <v>332</v>
      </c>
      <c r="I24" s="29" t="s">
        <v>844</v>
      </c>
      <c r="J24" s="346" t="s">
        <v>53</v>
      </c>
      <c r="K24" s="358" t="s">
        <v>409</v>
      </c>
      <c r="L24" s="29" t="s">
        <v>332</v>
      </c>
      <c r="M24" s="29" t="s">
        <v>844</v>
      </c>
      <c r="N24" s="346" t="s">
        <v>53</v>
      </c>
      <c r="O24" s="358" t="s">
        <v>187</v>
      </c>
      <c r="P24" s="29" t="s">
        <v>786</v>
      </c>
      <c r="Q24" s="29" t="s">
        <v>267</v>
      </c>
      <c r="R24" s="346" t="s">
        <v>267</v>
      </c>
      <c r="S24" s="29"/>
      <c r="T24" s="381"/>
      <c r="U24" s="371"/>
      <c r="V24" s="371"/>
      <c r="W24" s="368"/>
    </row>
    <row r="25" spans="1:25" ht="15">
      <c r="B25" s="7"/>
      <c r="C25" s="29"/>
      <c r="D25" s="29"/>
      <c r="E25" s="30"/>
      <c r="F25" s="30"/>
      <c r="G25" s="358" t="s">
        <v>685</v>
      </c>
      <c r="H25" s="29" t="s">
        <v>34</v>
      </c>
      <c r="I25" s="29"/>
      <c r="J25" s="346" t="s">
        <v>1127</v>
      </c>
      <c r="K25" s="358" t="s">
        <v>685</v>
      </c>
      <c r="L25" s="29" t="s">
        <v>34</v>
      </c>
      <c r="M25" s="29"/>
      <c r="N25" s="346" t="s">
        <v>1127</v>
      </c>
      <c r="O25" s="358" t="s">
        <v>685</v>
      </c>
      <c r="P25" s="29" t="s">
        <v>34</v>
      </c>
      <c r="Q25" s="29" t="s">
        <v>684</v>
      </c>
      <c r="R25" s="346" t="s">
        <v>684</v>
      </c>
      <c r="S25" s="29"/>
      <c r="T25" s="381"/>
      <c r="U25" s="371"/>
      <c r="V25" s="371"/>
      <c r="W25" s="368"/>
    </row>
    <row r="26" spans="1:25" ht="15.75">
      <c r="B26" s="7"/>
      <c r="C26" s="349" t="s">
        <v>410</v>
      </c>
      <c r="D26" s="106"/>
      <c r="E26" s="30"/>
      <c r="F26" s="30"/>
      <c r="G26" s="359"/>
      <c r="H26" s="112"/>
      <c r="I26" s="8"/>
      <c r="J26" s="9"/>
      <c r="K26" s="358"/>
      <c r="L26" s="8"/>
      <c r="M26" s="8"/>
      <c r="N26" s="9"/>
      <c r="O26" s="358"/>
      <c r="P26" s="8"/>
      <c r="Q26" s="8"/>
      <c r="R26" s="9"/>
      <c r="S26" s="8"/>
      <c r="T26" s="381"/>
      <c r="U26" s="371"/>
      <c r="V26" s="371"/>
      <c r="W26" s="368"/>
    </row>
    <row r="27" spans="1:25" ht="15">
      <c r="B27" s="258" t="s">
        <v>114</v>
      </c>
      <c r="C27" s="30" t="s">
        <v>426</v>
      </c>
      <c r="D27" s="30"/>
      <c r="E27" s="114">
        <v>5.0000000000000001E-4</v>
      </c>
      <c r="F27" s="368"/>
      <c r="G27" s="359">
        <f>G$20*$U27*$E27^2*1000000</f>
        <v>1.3090794001450896E-2</v>
      </c>
      <c r="H27" s="112">
        <f>SQRT(G27*H$20)</f>
        <v>0.67688831431099572</v>
      </c>
      <c r="I27" s="237" t="s">
        <v>117</v>
      </c>
      <c r="J27" s="9"/>
      <c r="K27" s="358"/>
      <c r="L27" s="8"/>
      <c r="M27" s="237"/>
      <c r="N27" s="9"/>
      <c r="O27" s="358"/>
      <c r="P27" s="8"/>
      <c r="Q27" s="8"/>
      <c r="R27" s="9"/>
      <c r="S27" s="8"/>
      <c r="T27" s="383" t="str">
        <f>Table!$BK$2</f>
        <v>ßx*Tet^2 dip</v>
      </c>
      <c r="U27" s="372">
        <f>Table!BK94*$D$2*$D$3</f>
        <v>0.41507409167447884</v>
      </c>
      <c r="V27" s="372"/>
      <c r="W27" s="384"/>
    </row>
    <row r="28" spans="1:25" ht="15">
      <c r="B28" s="258" t="s">
        <v>114</v>
      </c>
      <c r="C28" s="30" t="s">
        <v>665</v>
      </c>
      <c r="D28" s="30" t="s">
        <v>34</v>
      </c>
      <c r="E28" s="109">
        <v>1</v>
      </c>
      <c r="F28" s="368"/>
      <c r="G28" s="359">
        <f>G$20*$U28*$E28^2</f>
        <v>5.881678942825784E-2</v>
      </c>
      <c r="H28" s="112">
        <f>SQRT(G28*H$20)</f>
        <v>1.4347779026696168</v>
      </c>
      <c r="I28" s="237"/>
      <c r="J28" s="9"/>
      <c r="K28" s="358"/>
      <c r="L28" s="8"/>
      <c r="M28" s="237"/>
      <c r="N28" s="9"/>
      <c r="O28" s="358"/>
      <c r="P28" s="8"/>
      <c r="Q28" s="8"/>
      <c r="R28" s="9"/>
      <c r="S28" s="8"/>
      <c r="T28" s="383" t="str">
        <f>Table!$BM$2</f>
        <v>1/ßx Tet^2 dip</v>
      </c>
      <c r="U28" s="372">
        <f>Table!BM94*$D$2*$D$3</f>
        <v>0.4662308001416377</v>
      </c>
      <c r="V28" s="372"/>
      <c r="W28" s="384"/>
    </row>
    <row r="29" spans="1:25" ht="15">
      <c r="B29" s="258" t="s">
        <v>114</v>
      </c>
      <c r="C29" s="30" t="s">
        <v>112</v>
      </c>
      <c r="D29" s="30" t="s">
        <v>34</v>
      </c>
      <c r="E29" s="109">
        <v>1</v>
      </c>
      <c r="F29" s="368"/>
      <c r="G29" s="359">
        <f>G$20*$U29*$E29^2</f>
        <v>9.5190162257639116E-5</v>
      </c>
      <c r="H29" s="112">
        <f>SQRT(G29*H$20)</f>
        <v>5.7720496177851494E-2</v>
      </c>
      <c r="I29" s="237"/>
      <c r="J29" s="9"/>
      <c r="K29" s="358"/>
      <c r="L29" s="8"/>
      <c r="M29" s="237"/>
      <c r="N29" s="9"/>
      <c r="O29" s="358"/>
      <c r="P29" s="8"/>
      <c r="Q29" s="8"/>
      <c r="R29" s="9"/>
      <c r="S29" s="8"/>
      <c r="T29" s="383" t="str">
        <f>Table!BN2</f>
        <v>ßx(K L)^2 dip</v>
      </c>
      <c r="U29" s="372">
        <f>Table!BN94*$D$2*$D$3</f>
        <v>7.5455641061681733E-4</v>
      </c>
      <c r="V29" s="372"/>
      <c r="W29" s="384"/>
    </row>
    <row r="30" spans="1:25" ht="15">
      <c r="B30" s="258" t="s">
        <v>114</v>
      </c>
      <c r="C30" s="30" t="s">
        <v>22</v>
      </c>
      <c r="D30" s="30" t="s">
        <v>34</v>
      </c>
      <c r="E30" s="109">
        <v>1</v>
      </c>
      <c r="F30" s="368"/>
      <c r="G30" s="359"/>
      <c r="H30" s="112"/>
      <c r="I30" s="237"/>
      <c r="J30" s="9"/>
      <c r="K30" s="358">
        <f>K$20*$U30*$E30^2</f>
        <v>0</v>
      </c>
      <c r="L30" s="112">
        <f>SQRT(K30*L$20)</f>
        <v>0</v>
      </c>
      <c r="M30" s="237"/>
      <c r="N30" s="9"/>
      <c r="O30" s="358">
        <f>K30</f>
        <v>0</v>
      </c>
      <c r="P30" s="29">
        <f>SQRT(O30*L$20)</f>
        <v>0</v>
      </c>
      <c r="Q30" s="117">
        <f>O30*Q$20*1000000</f>
        <v>0</v>
      </c>
      <c r="R30" s="9"/>
      <c r="S30" s="8"/>
      <c r="T30" s="383" t="str">
        <f>Table!BO2</f>
        <v>ßz(K L)^2 dip</v>
      </c>
      <c r="U30" s="372">
        <f>Table!BO94*$D$2*$D$3</f>
        <v>0</v>
      </c>
      <c r="V30" s="372"/>
      <c r="W30" s="384"/>
    </row>
    <row r="31" spans="1:25" ht="15">
      <c r="B31" s="258" t="s">
        <v>114</v>
      </c>
      <c r="C31" s="30" t="s">
        <v>900</v>
      </c>
      <c r="D31" s="30" t="s">
        <v>266</v>
      </c>
      <c r="E31" s="109">
        <v>0.2</v>
      </c>
      <c r="F31" s="368"/>
      <c r="G31" s="359"/>
      <c r="H31" s="112"/>
      <c r="I31" s="237"/>
      <c r="J31" s="9"/>
      <c r="K31" s="358">
        <f>K$20*$U31*$E31^2</f>
        <v>5.4885765535660921E-2</v>
      </c>
      <c r="L31" s="112">
        <f>SQRT(K31*L$20)</f>
        <v>0.81155972449840741</v>
      </c>
      <c r="M31" s="237" t="s">
        <v>117</v>
      </c>
      <c r="N31" s="9"/>
      <c r="O31" s="358">
        <f>K31</f>
        <v>5.4885765535660921E-2</v>
      </c>
      <c r="P31" s="112">
        <f>SQRT(O31*L$20)</f>
        <v>0.81155972449840741</v>
      </c>
      <c r="Q31" s="117">
        <f>O31*Q$20*1000000</f>
        <v>0.24818887320125338</v>
      </c>
      <c r="R31" s="347"/>
      <c r="S31" s="117"/>
      <c r="T31" s="383" t="str">
        <f>Table!BL2</f>
        <v>Tet^2  ßz dip</v>
      </c>
      <c r="U31" s="372">
        <f>Table!BL94*$D$2*$D$3</f>
        <v>9.5867382839562971</v>
      </c>
      <c r="V31" s="372"/>
      <c r="W31" s="384"/>
    </row>
    <row r="32" spans="1:25" ht="15.75">
      <c r="B32" s="258"/>
      <c r="C32" s="349" t="s">
        <v>329</v>
      </c>
      <c r="D32" s="30"/>
      <c r="E32" s="29"/>
      <c r="F32" s="368"/>
      <c r="G32" s="359"/>
      <c r="H32" s="112"/>
      <c r="I32" s="237"/>
      <c r="J32" s="9"/>
      <c r="K32" s="358"/>
      <c r="L32" s="8"/>
      <c r="M32" s="237"/>
      <c r="N32" s="9"/>
      <c r="O32" s="358"/>
      <c r="P32" s="8"/>
      <c r="Q32" s="8"/>
      <c r="R32" s="9"/>
      <c r="S32" s="8"/>
      <c r="T32" s="383"/>
      <c r="U32" s="371"/>
      <c r="V32" s="372"/>
      <c r="W32" s="384"/>
    </row>
    <row r="33" spans="2:26" ht="15">
      <c r="B33" s="258" t="s">
        <v>114</v>
      </c>
      <c r="C33" s="30" t="s">
        <v>901</v>
      </c>
      <c r="D33" s="30"/>
      <c r="E33" s="114">
        <v>1E-3</v>
      </c>
      <c r="F33" s="368"/>
      <c r="G33" s="359"/>
      <c r="H33" s="112"/>
      <c r="I33" s="237">
        <f>1/2/PI()*SQRT(U33)*E33</f>
        <v>3.9154592635611205E-2</v>
      </c>
      <c r="J33" s="347">
        <f>J$20*I33*100</f>
        <v>45.68427481963684</v>
      </c>
      <c r="K33" s="358"/>
      <c r="L33" s="8"/>
      <c r="M33" s="237">
        <f>1/2/PI()*SQRT($V33)*$E33</f>
        <v>2.2190326891891977E-2</v>
      </c>
      <c r="N33" s="347">
        <f>$M33*N$20*100</f>
        <v>7.4105539035897952</v>
      </c>
      <c r="O33" s="358"/>
      <c r="P33" s="8"/>
      <c r="Q33" s="8"/>
      <c r="R33" s="9"/>
      <c r="S33" s="8"/>
      <c r="T33" s="383" t="str">
        <f>Table!BP2</f>
        <v>(ßx K L)^2 quad</v>
      </c>
      <c r="U33" s="372">
        <f>Table!BP94*$D$2*$D$3</f>
        <v>60523.65633123336</v>
      </c>
      <c r="V33" s="372">
        <f>Table!BQ94*$D$2*$D$3</f>
        <v>19439.591598425304</v>
      </c>
      <c r="W33" s="385" t="str">
        <f>Table!BQ2</f>
        <v>(ßz K L)^2 quad</v>
      </c>
    </row>
    <row r="34" spans="2:26" ht="15">
      <c r="B34" s="258" t="s">
        <v>114</v>
      </c>
      <c r="C34" s="30" t="s">
        <v>665</v>
      </c>
      <c r="D34" s="30" t="s">
        <v>34</v>
      </c>
      <c r="E34" s="109">
        <v>1</v>
      </c>
      <c r="F34" s="368"/>
      <c r="G34" s="359"/>
      <c r="H34" s="112"/>
      <c r="I34" s="237">
        <f>1/2/PI()*SQRT(U34)*E34/1000</f>
        <v>1.0758010067252355E-2</v>
      </c>
      <c r="J34" s="347">
        <f>J$20/2/PI()*SQRT(U34+Y34)*E34/10</f>
        <v>12.616960520938381</v>
      </c>
      <c r="K34" s="358"/>
      <c r="L34" s="8"/>
      <c r="M34" s="237">
        <f>1/2/PI()*SQRT($V34)*$E34/1000</f>
        <v>9.0105080023721185E-3</v>
      </c>
      <c r="N34" s="347">
        <f>N$20/2/PI()*SQRT(V34+Z34)*E34/10</f>
        <v>3.0316697025985042</v>
      </c>
      <c r="O34" s="358"/>
      <c r="P34" s="8"/>
      <c r="Q34" s="8"/>
      <c r="R34" s="9"/>
      <c r="S34" s="8"/>
      <c r="T34" s="383" t="str">
        <f>Table!BU2</f>
        <v>(K (ßx-ßx0))^2</v>
      </c>
      <c r="U34" s="372">
        <f>Table!BU94*$D$2*$D$3</f>
        <v>4569.0260001559009</v>
      </c>
      <c r="V34" s="372">
        <f>Table!BV94*$D$2*$D$3</f>
        <v>3205.2232925903745</v>
      </c>
      <c r="W34" s="385" t="str">
        <f>Table!BV2</f>
        <v>(K (ßz-ßz0))^2</v>
      </c>
      <c r="Y34" s="390">
        <f>Table!BY94*$D$2*$D$3</f>
        <v>47.349994270405418</v>
      </c>
      <c r="Z34">
        <f>Table!BZ94*$D$2*$D$3</f>
        <v>48.267354559615939</v>
      </c>
    </row>
    <row r="35" spans="2:26" ht="15">
      <c r="B35" s="258" t="s">
        <v>114</v>
      </c>
      <c r="C35" s="30" t="s">
        <v>112</v>
      </c>
      <c r="D35" s="30" t="s">
        <v>34</v>
      </c>
      <c r="E35" s="109">
        <v>0.1</v>
      </c>
      <c r="F35" s="368"/>
      <c r="G35" s="359">
        <f>G$20*$U35*$E35^2</f>
        <v>1.8949476531148597</v>
      </c>
      <c r="H35" s="112">
        <f>SQRT(G35*H$20)</f>
        <v>8.1439037235849057</v>
      </c>
      <c r="I35" s="237" t="s">
        <v>117</v>
      </c>
      <c r="J35" s="9"/>
      <c r="K35" s="358"/>
      <c r="L35" s="8"/>
      <c r="M35" s="237"/>
      <c r="N35" s="9"/>
      <c r="O35" s="358"/>
      <c r="P35" s="8"/>
      <c r="Q35" s="8"/>
      <c r="R35" s="9"/>
      <c r="S35" s="8"/>
      <c r="T35" s="383" t="str">
        <f>Table!BR2</f>
        <v>ßx(K L)^2 quad</v>
      </c>
      <c r="U35" s="372">
        <f>Table!BR94*$D$2*$D$3</f>
        <v>1502.0931423261268</v>
      </c>
      <c r="V35" s="372"/>
      <c r="W35" s="384"/>
    </row>
    <row r="36" spans="2:26" ht="15">
      <c r="B36" s="258" t="s">
        <v>114</v>
      </c>
      <c r="C36" s="30" t="s">
        <v>22</v>
      </c>
      <c r="D36" s="30" t="s">
        <v>34</v>
      </c>
      <c r="E36" s="109">
        <v>0.1</v>
      </c>
      <c r="F36" s="368"/>
      <c r="G36" s="359"/>
      <c r="H36" s="112"/>
      <c r="I36" s="237"/>
      <c r="J36" s="9"/>
      <c r="K36" s="358">
        <f>K$20*$U36*$E36^2</f>
        <v>1.1838564279749384</v>
      </c>
      <c r="L36" s="112">
        <f>SQRT(K36*L$20)</f>
        <v>3.7691215336864983</v>
      </c>
      <c r="M36" s="237"/>
      <c r="N36" s="9"/>
      <c r="O36" s="358">
        <f>K36</f>
        <v>1.1838564279749384</v>
      </c>
      <c r="P36" s="112">
        <f>SQRT(O36*L$20)</f>
        <v>3.7691215336864983</v>
      </c>
      <c r="Q36" s="117">
        <f>O36*Q$20*1000000</f>
        <v>5.353300441810493</v>
      </c>
      <c r="R36" s="347"/>
      <c r="S36" s="117"/>
      <c r="T36" s="383" t="str">
        <f>Table!BS2</f>
        <v>ßz(K L)^2 quad</v>
      </c>
      <c r="U36" s="372">
        <f>Table!BS94*$D$2*$D$3</f>
        <v>827.12314422588133</v>
      </c>
      <c r="V36" s="372"/>
      <c r="W36" s="384"/>
    </row>
    <row r="37" spans="2:26" ht="15">
      <c r="B37" s="258" t="s">
        <v>114</v>
      </c>
      <c r="C37" s="30" t="s">
        <v>1027</v>
      </c>
      <c r="D37" s="30" t="s">
        <v>266</v>
      </c>
      <c r="E37" s="109">
        <v>0.2</v>
      </c>
      <c r="F37" s="368"/>
      <c r="G37" s="359"/>
      <c r="H37" s="30"/>
      <c r="I37" s="237"/>
      <c r="J37" s="9"/>
      <c r="K37" s="358"/>
      <c r="L37" s="8"/>
      <c r="M37" s="237">
        <f>1/4/PI()*SQRT($V37)*$E37/1000</f>
        <v>2.2426076224332987E-3</v>
      </c>
      <c r="N37" s="347"/>
      <c r="O37" s="358">
        <f>4*$E37^2 *K$20*$U37</f>
        <v>0.58014589431615593</v>
      </c>
      <c r="P37" s="112">
        <f>SQRT(O37*L$20)</f>
        <v>2.638512977378332</v>
      </c>
      <c r="Q37" s="117">
        <f>O37*Q$20*1000000</f>
        <v>2.6233715499350798</v>
      </c>
      <c r="R37" s="347">
        <f>4*E37^2/1000000*R$20*V37</f>
        <v>14.193269929403806</v>
      </c>
      <c r="S37" s="117"/>
      <c r="T37" s="383" t="str">
        <f>Table!BT2</f>
        <v>ßz(K L)^2 D^2 quad</v>
      </c>
      <c r="U37" s="372">
        <f>Table!BT94*$D$2*$D$3</f>
        <v>25.333102312780667</v>
      </c>
      <c r="V37" s="372">
        <f>Table!CB94*$D$2*$D$3</f>
        <v>19854.836934985859</v>
      </c>
      <c r="W37" s="385" t="str">
        <f>Table!CB2</f>
        <v>ßzßx(K L)^2  quad</v>
      </c>
    </row>
    <row r="38" spans="2:26" ht="15">
      <c r="B38" s="258" t="s">
        <v>114</v>
      </c>
      <c r="C38" s="30" t="s">
        <v>121</v>
      </c>
      <c r="D38" s="30" t="s">
        <v>266</v>
      </c>
      <c r="E38" s="109">
        <v>1</v>
      </c>
      <c r="F38" s="368"/>
      <c r="G38" s="359"/>
      <c r="H38" s="30"/>
      <c r="I38" s="237"/>
      <c r="J38" s="9"/>
      <c r="K38" s="358">
        <f>K$20/24/24*$U38*$E38^2</f>
        <v>4.4664289111180503E-4</v>
      </c>
      <c r="L38" s="112">
        <f>SQRT(K38*L$20)</f>
        <v>7.321007234897163E-2</v>
      </c>
      <c r="M38" s="237"/>
      <c r="N38" s="9"/>
      <c r="O38" s="358">
        <f>K38</f>
        <v>4.4664289111180503E-4</v>
      </c>
      <c r="P38" s="112">
        <f>SQRT(O38*L$20)</f>
        <v>7.321007234897163E-2</v>
      </c>
      <c r="Q38" s="117">
        <f>O38*Q$20*1000000</f>
        <v>2.0196820575703782E-3</v>
      </c>
      <c r="R38" s="347"/>
      <c r="S38" s="117"/>
      <c r="T38" s="383" t="str">
        <f>Table!BX2</f>
        <v>(K L^3)^2/ßz</v>
      </c>
      <c r="U38" s="372">
        <f>Table!BX94*$D$2*$D$3</f>
        <v>1.797438526316</v>
      </c>
      <c r="V38" s="372"/>
      <c r="W38" s="384"/>
    </row>
    <row r="39" spans="2:26" ht="15">
      <c r="B39" s="258" t="s">
        <v>114</v>
      </c>
      <c r="C39" s="30" t="s">
        <v>1130</v>
      </c>
      <c r="D39" s="30" t="s">
        <v>266</v>
      </c>
      <c r="E39" s="109">
        <v>1</v>
      </c>
      <c r="F39" s="368"/>
      <c r="G39" s="359">
        <f>G$20/24/24*$U39*$E39^2</f>
        <v>1.0022251546030475E-4</v>
      </c>
      <c r="H39" s="112">
        <f>SQRT(G39*H$20)</f>
        <v>5.9226582217030435E-2</v>
      </c>
      <c r="I39" s="237"/>
      <c r="J39" s="9"/>
      <c r="K39" s="358"/>
      <c r="L39" s="8"/>
      <c r="M39" s="237"/>
      <c r="N39" s="9"/>
      <c r="O39" s="358"/>
      <c r="P39" s="112"/>
      <c r="Q39" s="117"/>
      <c r="R39" s="347"/>
      <c r="S39" s="117"/>
      <c r="T39" s="383" t="str">
        <f>Table!BW2</f>
        <v>(K L^3)^2/ßx</v>
      </c>
      <c r="U39" s="372">
        <f>Table!BW94*$D$2*$D$3</f>
        <v>0.45760148829922564</v>
      </c>
      <c r="V39" s="372"/>
      <c r="W39" s="384"/>
    </row>
    <row r="40" spans="2:26" ht="15.75">
      <c r="B40" s="258"/>
      <c r="C40" s="349" t="s">
        <v>330</v>
      </c>
      <c r="D40" s="30"/>
      <c r="E40" s="29"/>
      <c r="F40" s="368"/>
      <c r="G40" s="359"/>
      <c r="H40" s="30"/>
      <c r="I40" s="237"/>
      <c r="J40" s="9"/>
      <c r="K40" s="358"/>
      <c r="L40" s="8"/>
      <c r="M40" s="237"/>
      <c r="N40" s="9"/>
      <c r="O40" s="358"/>
      <c r="P40" s="8"/>
      <c r="Q40" s="117"/>
      <c r="R40" s="347"/>
      <c r="S40" s="117"/>
      <c r="T40" s="383"/>
      <c r="U40" s="29"/>
      <c r="V40" s="29"/>
      <c r="W40" s="384"/>
    </row>
    <row r="41" spans="2:26" ht="15">
      <c r="B41" s="258" t="s">
        <v>114</v>
      </c>
      <c r="C41" s="30" t="s">
        <v>112</v>
      </c>
      <c r="D41" s="30" t="s">
        <v>34</v>
      </c>
      <c r="E41" s="109">
        <v>0.1</v>
      </c>
      <c r="F41" s="368"/>
      <c r="G41" s="359"/>
      <c r="H41" s="30"/>
      <c r="I41" s="237">
        <f>1/2/PI()*SQRT(U41)*E41*0.001</f>
        <v>0</v>
      </c>
      <c r="J41" s="347">
        <f>J$20*I41*100</f>
        <v>0</v>
      </c>
      <c r="K41" s="358"/>
      <c r="L41" s="8"/>
      <c r="M41" s="237">
        <f>1/2/PI()*SQRT($V41)*$E41*0.001</f>
        <v>0</v>
      </c>
      <c r="N41" s="347">
        <f>$M41*N$20*100</f>
        <v>0</v>
      </c>
      <c r="O41" s="358"/>
      <c r="P41" s="8"/>
      <c r="Q41" s="117"/>
      <c r="R41" s="347"/>
      <c r="S41" s="117"/>
      <c r="T41" s="383" t="str">
        <f>Table!CD2</f>
        <v>(ßx H L)^2 sext</v>
      </c>
      <c r="U41" s="372">
        <f>Table!CD94*$D$2*$D$3</f>
        <v>0</v>
      </c>
      <c r="V41" s="372">
        <f>Table!CE94*$D$2*$D$3</f>
        <v>0</v>
      </c>
      <c r="W41" s="385" t="str">
        <f>Table!CE2</f>
        <v>(ßz H L)^2 sext</v>
      </c>
    </row>
    <row r="42" spans="2:26" ht="15">
      <c r="B42" s="258" t="s">
        <v>114</v>
      </c>
      <c r="C42" s="30" t="s">
        <v>22</v>
      </c>
      <c r="D42" s="30" t="s">
        <v>34</v>
      </c>
      <c r="E42" s="109">
        <v>0.1</v>
      </c>
      <c r="F42" s="368"/>
      <c r="G42" s="361"/>
      <c r="H42" s="7"/>
      <c r="I42" s="237"/>
      <c r="J42" s="9"/>
      <c r="K42" s="358"/>
      <c r="L42" s="8"/>
      <c r="M42" s="237">
        <f>1/4/PI()*SQRT($V42)*$E42/1000</f>
        <v>0</v>
      </c>
      <c r="N42" s="347"/>
      <c r="O42" s="358">
        <f>4*$E42^2 *K$20*$U42</f>
        <v>9.7508466577621</v>
      </c>
      <c r="P42" s="112">
        <f>SQRT(O42*L$20)</f>
        <v>10.81712345742366</v>
      </c>
      <c r="Q42" s="117">
        <f>O42*Q$20*1000000</f>
        <v>44.092518727388494</v>
      </c>
      <c r="R42" s="347">
        <f>E42^2/1000000*R$20*V42</f>
        <v>0</v>
      </c>
      <c r="S42" s="117"/>
      <c r="T42" s="383" t="str">
        <f>Table!CA2</f>
        <v>ßz(H L)^2 D^2 sext</v>
      </c>
      <c r="U42" s="372">
        <f>Table!CA94*$D$2*$D$3</f>
        <v>1703.152247994414</v>
      </c>
      <c r="V42" s="372">
        <f>Table!CC94*$D$2*$D$3</f>
        <v>0</v>
      </c>
      <c r="W42" s="385" t="str">
        <f>Table!CC2</f>
        <v>ßzßx(H L)^2  sext</v>
      </c>
    </row>
    <row r="43" spans="2:26" ht="15">
      <c r="B43" s="258"/>
      <c r="C43" s="30"/>
      <c r="D43" s="30"/>
      <c r="E43" s="30"/>
      <c r="F43" s="30"/>
      <c r="G43" s="361"/>
      <c r="H43" s="7"/>
      <c r="I43" s="237"/>
      <c r="J43" s="9"/>
      <c r="K43" s="358"/>
      <c r="L43" s="8"/>
      <c r="M43" s="237"/>
      <c r="N43" s="9"/>
      <c r="O43" s="358"/>
      <c r="P43" s="112"/>
      <c r="Q43" s="117"/>
      <c r="R43" s="347"/>
      <c r="S43" s="117"/>
      <c r="T43" s="381"/>
      <c r="U43" s="371"/>
      <c r="V43" s="371"/>
      <c r="W43" s="368"/>
    </row>
    <row r="44" spans="2:26" ht="15">
      <c r="B44" s="258" t="s">
        <v>114</v>
      </c>
      <c r="C44" s="29" t="s">
        <v>564</v>
      </c>
      <c r="D44" s="30" t="s">
        <v>34</v>
      </c>
      <c r="E44" s="30"/>
      <c r="F44" s="30"/>
      <c r="G44" s="361"/>
      <c r="H44" s="7"/>
      <c r="I44" s="237"/>
      <c r="J44" s="9"/>
      <c r="K44" s="359">
        <f>K46</f>
        <v>1.2391888364017112</v>
      </c>
      <c r="L44" s="112">
        <f>SQRT(K44*L$20)</f>
        <v>3.8561983917869855</v>
      </c>
      <c r="M44" s="237"/>
      <c r="N44" s="9"/>
      <c r="O44" s="358">
        <f>0.001*K44*2*PI()*$D$11/SIN(PI()*$D$5)*(SIN($D$5-INT($D$5))/($D$5-INT($D$5)))^3+0.001*K44*PI()^2*$D$11^2/SIN(PI()*$D$5)^2*(SIN($D$5-INT($D$5))/($D$5-INT($D$5)))^4</f>
        <v>0.49519039009647003</v>
      </c>
      <c r="P44" s="112">
        <f>SQRT(O44*L$20)</f>
        <v>2.4376801843469211</v>
      </c>
      <c r="Q44" s="117">
        <f>O44*Q$20*1000000</f>
        <v>2.2392098158543439</v>
      </c>
      <c r="R44" s="367" t="s">
        <v>975</v>
      </c>
      <c r="S44" s="378"/>
      <c r="T44" s="381"/>
      <c r="U44" s="371"/>
      <c r="V44" s="371"/>
      <c r="W44" s="368"/>
    </row>
    <row r="45" spans="2:26" ht="15">
      <c r="B45" s="7"/>
      <c r="C45" s="105"/>
      <c r="D45" s="106"/>
      <c r="E45" s="105"/>
      <c r="F45" s="105"/>
      <c r="G45" s="362"/>
      <c r="H45" s="79"/>
      <c r="I45" s="363"/>
      <c r="J45" s="11"/>
      <c r="K45" s="360"/>
      <c r="L45" s="10"/>
      <c r="M45" s="364"/>
      <c r="N45" s="11"/>
      <c r="O45" s="360"/>
      <c r="P45" s="10"/>
      <c r="Q45" s="10"/>
      <c r="R45" s="253" t="s">
        <v>1188</v>
      </c>
      <c r="S45" s="17"/>
      <c r="T45" s="381"/>
      <c r="U45" s="368"/>
      <c r="V45" s="368"/>
      <c r="W45" s="368"/>
    </row>
    <row r="46" spans="2:26" ht="15">
      <c r="B46" s="7"/>
      <c r="C46" s="105"/>
      <c r="D46" s="106"/>
      <c r="E46" s="105" t="s">
        <v>118</v>
      </c>
      <c r="F46" s="7"/>
      <c r="G46" s="376">
        <f>SUM(G27:G44)</f>
        <v>1.9670506492222863</v>
      </c>
      <c r="H46" s="377">
        <f>SQRT(G46*H$20)</f>
        <v>8.2973955385277378</v>
      </c>
      <c r="I46" s="387">
        <f>SQRT(SUMSQ(I33,I34,I41))</f>
        <v>4.0605626519828041E-2</v>
      </c>
      <c r="J46" s="391">
        <f>SQRT(SUMSQ(J27:J44))</f>
        <v>47.394521398396058</v>
      </c>
      <c r="K46" s="376">
        <f>SUM(K27:K43)</f>
        <v>1.2391888364017112</v>
      </c>
      <c r="L46" s="377">
        <f>SQRT(K46*L$20)</f>
        <v>3.8561983917869855</v>
      </c>
      <c r="M46" s="387">
        <f>SQRT(SUMSQ(M33,M34,M41))</f>
        <v>2.3949944927490672E-2</v>
      </c>
      <c r="N46" s="391">
        <f>SQRT(SUMSQ(N27:N44))</f>
        <v>8.0067053363829768</v>
      </c>
      <c r="O46" s="376">
        <f>SUM(O27:O44)</f>
        <v>12.065371778576436</v>
      </c>
      <c r="P46" s="377">
        <f>SQRT(O46*L$20)</f>
        <v>12.032641494822208</v>
      </c>
      <c r="Q46" s="386">
        <f>SUM(Q27:Q44)</f>
        <v>54.558609090247238</v>
      </c>
      <c r="R46" s="388">
        <f>SUM(R27:R44)</f>
        <v>14.193269929403806</v>
      </c>
      <c r="S46" s="8"/>
      <c r="T46" s="381"/>
      <c r="U46" s="368"/>
      <c r="V46" s="368"/>
      <c r="W46" s="368"/>
    </row>
    <row r="47" spans="2:26">
      <c r="B47" s="368"/>
      <c r="C47" s="368"/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  <c r="O47" s="368"/>
      <c r="P47" s="368"/>
      <c r="Q47" s="368"/>
      <c r="R47" s="368"/>
      <c r="S47" s="368"/>
    </row>
  </sheetData>
  <phoneticPr fontId="0" type="noConversion"/>
  <pageMargins left="0.75" right="0.75" top="1" bottom="1" header="0.5" footer="0.5"/>
  <pageSetup paperSize="0" orientation="portrait" horizontalDpi="4294967292" verticalDpi="4294967292"/>
  <headerFooter alignWithMargins="0"/>
  <ignoredErrors>
    <ignoredError sqref="J46:N46 G46" emptyCellReference="1"/>
  </ignoredErrors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>
    <outlinePr summaryBelow="0" summaryRight="0"/>
  </sheetPr>
  <dimension ref="A1:DI202"/>
  <sheetViews>
    <sheetView workbookViewId="0">
      <selection activeCell="BK1" sqref="BK1:BK1048576"/>
    </sheetView>
  </sheetViews>
  <sheetFormatPr defaultColWidth="6.42578125" defaultRowHeight="15" outlineLevelRow="1" outlineLevelCol="1"/>
  <cols>
    <col min="1" max="1" width="6.42578125" style="155" customWidth="1" collapsed="1"/>
    <col min="2" max="2" width="6.42578125" style="154" hidden="1" customWidth="1" outlineLevel="1"/>
    <col min="3" max="6" width="6.42578125" style="155" hidden="1" customWidth="1" outlineLevel="1"/>
    <col min="7" max="7" width="6.42578125" style="154" customWidth="1" collapsed="1"/>
    <col min="8" max="11" width="6.42578125" style="154" hidden="1" customWidth="1" outlineLevel="1"/>
    <col min="12" max="12" width="6.42578125" style="154" customWidth="1" collapsed="1"/>
    <col min="13" max="16" width="6.42578125" style="154" hidden="1" customWidth="1" outlineLevel="1"/>
    <col min="17" max="17" width="6.42578125" style="154" customWidth="1" collapsed="1"/>
    <col min="18" max="21" width="6.42578125" style="154" hidden="1" customWidth="1" outlineLevel="1"/>
    <col min="22" max="22" width="6.42578125" style="154" customWidth="1" collapsed="1"/>
    <col min="23" max="23" width="6.42578125" style="157" hidden="1" customWidth="1" outlineLevel="1"/>
    <col min="24" max="26" width="6.42578125" style="154" hidden="1" customWidth="1" outlineLevel="1"/>
    <col min="27" max="27" width="6.42578125" style="154" customWidth="1" collapsed="1"/>
    <col min="28" max="28" width="6.42578125" style="157" hidden="1" customWidth="1" outlineLevel="1"/>
    <col min="29" max="31" width="6.42578125" style="154" hidden="1" customWidth="1" outlineLevel="1"/>
    <col min="32" max="32" width="6.42578125" style="154" customWidth="1" collapsed="1"/>
    <col min="33" max="33" width="6.42578125" style="157" hidden="1" customWidth="1" outlineLevel="1"/>
    <col min="34" max="36" width="6.42578125" style="154" hidden="1" customWidth="1" outlineLevel="1"/>
    <col min="37" max="37" width="6.42578125" style="154" customWidth="1" collapsed="1"/>
    <col min="38" max="38" width="6.42578125" style="157" hidden="1" customWidth="1" outlineLevel="1"/>
    <col min="39" max="41" width="6.42578125" style="154" hidden="1" customWidth="1" outlineLevel="1"/>
    <col min="42" max="42" width="6.42578125" style="154" customWidth="1" collapsed="1"/>
    <col min="43" max="43" width="6.42578125" style="157" hidden="1" customWidth="1" outlineLevel="1"/>
    <col min="44" max="46" width="6.42578125" style="154" hidden="1" customWidth="1" outlineLevel="1"/>
    <col min="47" max="47" width="6.42578125" style="154" customWidth="1"/>
    <col min="48" max="48" width="6.42578125" style="154" customWidth="1" collapsed="1"/>
    <col min="49" max="52" width="6.42578125" style="154" hidden="1" customWidth="1" outlineLevel="1"/>
    <col min="53" max="53" width="6.42578125" style="154" customWidth="1" collapsed="1"/>
    <col min="54" max="57" width="6.42578125" style="158" hidden="1" customWidth="1" outlineLevel="1"/>
    <col min="58" max="58" width="6.42578125" style="154" customWidth="1" collapsed="1"/>
    <col min="59" max="62" width="6.42578125" style="154" hidden="1" customWidth="1" outlineLevel="1"/>
    <col min="63" max="63" width="6.42578125" style="154" customWidth="1"/>
    <col min="64" max="66" width="6.42578125" style="158" customWidth="1" outlineLevel="1"/>
    <col min="67" max="67" width="7.28515625" style="158" customWidth="1" outlineLevel="1"/>
    <col min="68" max="68" width="6.42578125" style="158" customWidth="1" outlineLevel="1"/>
    <col min="69" max="69" width="6.42578125" style="154" customWidth="1" collapsed="1"/>
    <col min="70" max="73" width="6.42578125" style="158" hidden="1" customWidth="1" outlineLevel="1"/>
    <col min="74" max="74" width="6.42578125" style="154" customWidth="1" collapsed="1"/>
    <col min="75" max="78" width="6.42578125" style="158" hidden="1" customWidth="1" outlineLevel="1"/>
    <col min="79" max="79" width="6.42578125" style="479" customWidth="1" collapsed="1"/>
    <col min="80" max="84" width="6.42578125" style="479" hidden="1" customWidth="1" outlineLevel="1"/>
    <col min="85" max="85" width="6.42578125" style="154" customWidth="1" collapsed="1"/>
    <col min="86" max="90" width="6.42578125" style="154" hidden="1" customWidth="1" outlineLevel="1"/>
    <col min="91" max="91" width="10" style="157" customWidth="1" collapsed="1"/>
    <col min="92" max="95" width="10" style="157" hidden="1" customWidth="1" outlineLevel="1"/>
    <col min="96" max="97" width="6.42578125" style="154" customWidth="1"/>
    <col min="98" max="98" width="6.42578125" style="154" customWidth="1" collapsed="1"/>
    <col min="99" max="103" width="6.42578125" style="154" hidden="1" customWidth="1" outlineLevel="1"/>
    <col min="104" max="104" width="6.42578125" style="154" customWidth="1" collapsed="1"/>
    <col min="105" max="108" width="6.42578125" style="154" hidden="1" customWidth="1" outlineLevel="1"/>
    <col min="109" max="109" width="6.42578125" style="154" customWidth="1" collapsed="1"/>
    <col min="110" max="113" width="6.42578125" style="154" hidden="1" customWidth="1" outlineLevel="1"/>
    <col min="114" max="16384" width="6.42578125" style="154"/>
  </cols>
  <sheetData>
    <row r="1" spans="1:112">
      <c r="A1" s="153" t="s">
        <v>215</v>
      </c>
      <c r="B1" s="154" t="s">
        <v>280</v>
      </c>
      <c r="G1" s="153" t="s">
        <v>535</v>
      </c>
      <c r="H1" s="154" t="s">
        <v>280</v>
      </c>
      <c r="L1" s="153" t="s">
        <v>536</v>
      </c>
      <c r="M1" s="154" t="s">
        <v>280</v>
      </c>
      <c r="Q1" s="153" t="s">
        <v>737</v>
      </c>
      <c r="R1" s="154" t="s">
        <v>280</v>
      </c>
      <c r="V1" s="156" t="s">
        <v>738</v>
      </c>
      <c r="W1" s="154" t="s">
        <v>280</v>
      </c>
      <c r="AA1" s="156" t="s">
        <v>880</v>
      </c>
      <c r="AB1" s="154" t="s">
        <v>280</v>
      </c>
      <c r="AF1" s="156" t="s">
        <v>880</v>
      </c>
      <c r="AG1" s="154" t="s">
        <v>280</v>
      </c>
      <c r="AK1" s="156" t="s">
        <v>502</v>
      </c>
      <c r="AL1" s="154" t="s">
        <v>280</v>
      </c>
      <c r="AP1" s="156" t="s">
        <v>503</v>
      </c>
      <c r="AQ1" s="157" t="s">
        <v>280</v>
      </c>
      <c r="AV1" s="156" t="s">
        <v>1102</v>
      </c>
      <c r="AW1" s="158" t="s">
        <v>280</v>
      </c>
      <c r="AX1" s="158"/>
      <c r="AY1" s="158"/>
      <c r="AZ1" s="158"/>
      <c r="BA1" s="156" t="s">
        <v>275</v>
      </c>
      <c r="BB1" s="158" t="s">
        <v>280</v>
      </c>
      <c r="BF1" s="156" t="s">
        <v>257</v>
      </c>
      <c r="BG1" s="154" t="s">
        <v>280</v>
      </c>
      <c r="BK1" s="156" t="s">
        <v>504</v>
      </c>
      <c r="BL1" s="158" t="s">
        <v>280</v>
      </c>
      <c r="BQ1" s="156" t="s">
        <v>434</v>
      </c>
      <c r="BR1" s="158" t="s">
        <v>280</v>
      </c>
      <c r="BV1" s="156" t="s">
        <v>509</v>
      </c>
      <c r="BW1" s="158" t="s">
        <v>280</v>
      </c>
      <c r="CA1" s="478" t="s">
        <v>886</v>
      </c>
      <c r="CB1" s="479" t="s">
        <v>280</v>
      </c>
      <c r="CG1" s="156" t="s">
        <v>435</v>
      </c>
      <c r="CH1" s="159" t="s">
        <v>280</v>
      </c>
      <c r="CJ1" s="160"/>
      <c r="CK1" s="160"/>
      <c r="CL1" s="161"/>
      <c r="CM1" s="495" t="s">
        <v>473</v>
      </c>
      <c r="CN1" s="163" t="s">
        <v>280</v>
      </c>
      <c r="CO1" s="163"/>
      <c r="CP1" s="163"/>
      <c r="CQ1" s="163"/>
      <c r="CR1" s="160"/>
      <c r="CT1" s="156" t="s">
        <v>490</v>
      </c>
      <c r="CU1" s="158" t="s">
        <v>280</v>
      </c>
      <c r="CZ1" s="156" t="s">
        <v>60</v>
      </c>
      <c r="DA1" s="158" t="s">
        <v>280</v>
      </c>
      <c r="DE1" s="156" t="s">
        <v>61</v>
      </c>
      <c r="DF1" s="158" t="s">
        <v>280</v>
      </c>
    </row>
    <row r="2" spans="1:112">
      <c r="A2" s="153"/>
      <c r="G2" s="153"/>
      <c r="L2" s="153"/>
      <c r="Q2" s="153"/>
      <c r="V2" s="153"/>
      <c r="AA2" s="153"/>
      <c r="AF2" s="153"/>
      <c r="AK2" s="153"/>
      <c r="AP2" s="153"/>
      <c r="AV2" s="162"/>
      <c r="AW2" s="158"/>
      <c r="AX2" s="158"/>
      <c r="AY2" s="158"/>
      <c r="AZ2" s="158"/>
      <c r="BA2" s="162"/>
      <c r="BF2" s="162"/>
      <c r="BK2" s="162"/>
      <c r="BQ2" s="162"/>
      <c r="BV2" s="162"/>
      <c r="BW2" s="158" t="s">
        <v>799</v>
      </c>
      <c r="CA2" s="480"/>
      <c r="CG2" s="162"/>
      <c r="CH2" s="163" t="s">
        <v>278</v>
      </c>
      <c r="CI2" s="164">
        <v>6</v>
      </c>
      <c r="CJ2" s="160"/>
      <c r="CK2" s="160"/>
      <c r="CL2" s="161"/>
      <c r="CM2" s="495"/>
      <c r="CN2" s="163"/>
      <c r="CO2" s="163"/>
      <c r="CP2" s="163"/>
      <c r="CQ2" s="163"/>
      <c r="CR2" s="160"/>
      <c r="CT2" s="162"/>
      <c r="CZ2" s="162"/>
      <c r="DE2" s="162"/>
    </row>
    <row r="3" spans="1:112" outlineLevel="1">
      <c r="V3" s="154" t="s">
        <v>1190</v>
      </c>
      <c r="AV3" s="162"/>
      <c r="AW3" s="158" t="s">
        <v>278</v>
      </c>
      <c r="AX3" s="158">
        <v>0.15</v>
      </c>
      <c r="AY3" s="158"/>
      <c r="AZ3" s="158"/>
      <c r="BA3" s="162"/>
      <c r="BB3" s="158" t="s">
        <v>278</v>
      </c>
      <c r="BC3" s="158">
        <v>7</v>
      </c>
      <c r="BF3" s="162"/>
      <c r="BG3" s="154" t="s">
        <v>278</v>
      </c>
      <c r="BH3" s="154">
        <v>8</v>
      </c>
      <c r="BI3" s="158"/>
      <c r="BK3" s="162"/>
      <c r="BL3" s="158" t="s">
        <v>278</v>
      </c>
      <c r="BM3" s="158">
        <v>6.04</v>
      </c>
      <c r="BQ3" s="162"/>
      <c r="BR3" s="158" t="s">
        <v>278</v>
      </c>
      <c r="BS3" s="158">
        <v>2.75</v>
      </c>
      <c r="BV3" s="162"/>
      <c r="BW3" s="158" t="s">
        <v>278</v>
      </c>
      <c r="BX3" s="158">
        <v>3</v>
      </c>
      <c r="CA3" s="480"/>
      <c r="CB3" s="479" t="s">
        <v>278</v>
      </c>
      <c r="CC3" s="479">
        <v>3</v>
      </c>
      <c r="CG3" s="162"/>
      <c r="CH3" s="163" t="s">
        <v>122</v>
      </c>
      <c r="CI3" s="164">
        <v>64</v>
      </c>
      <c r="CJ3" s="160"/>
      <c r="CK3" s="160"/>
      <c r="CL3" s="161"/>
      <c r="CM3" s="495"/>
      <c r="CN3" s="163" t="s">
        <v>278</v>
      </c>
      <c r="CO3" s="163">
        <v>3</v>
      </c>
      <c r="CP3" s="163"/>
      <c r="CQ3" s="163"/>
      <c r="CR3" s="160"/>
      <c r="CT3" s="162"/>
      <c r="CU3" s="154" t="s">
        <v>1191</v>
      </c>
      <c r="CV3" s="154" t="s">
        <v>490</v>
      </c>
      <c r="CZ3" s="162"/>
      <c r="DA3" s="154" t="s">
        <v>280</v>
      </c>
      <c r="DB3" s="154" t="s">
        <v>460</v>
      </c>
      <c r="DE3" s="162"/>
      <c r="DF3" s="154" t="s">
        <v>1191</v>
      </c>
      <c r="DG3" s="154" t="s">
        <v>61</v>
      </c>
    </row>
    <row r="4" spans="1:112" outlineLevel="1">
      <c r="A4" s="154" t="s">
        <v>1057</v>
      </c>
      <c r="G4" s="154" t="s">
        <v>1178</v>
      </c>
      <c r="V4" s="154" t="s">
        <v>899</v>
      </c>
      <c r="AV4" s="162"/>
      <c r="AW4" s="158" t="s">
        <v>122</v>
      </c>
      <c r="AX4" s="158">
        <v>4</v>
      </c>
      <c r="AY4" s="158"/>
      <c r="AZ4" s="158"/>
      <c r="BA4" s="162"/>
      <c r="BB4" s="158" t="s">
        <v>122</v>
      </c>
      <c r="BC4" s="158">
        <v>40</v>
      </c>
      <c r="BF4" s="162"/>
      <c r="BG4" s="154" t="s">
        <v>122</v>
      </c>
      <c r="BH4" s="154">
        <v>22</v>
      </c>
      <c r="BI4" s="158"/>
      <c r="BK4" s="162"/>
      <c r="BL4" s="158" t="s">
        <v>122</v>
      </c>
      <c r="BM4" s="158">
        <v>16</v>
      </c>
      <c r="BQ4" s="162"/>
      <c r="BR4" s="158" t="s">
        <v>122</v>
      </c>
      <c r="BS4" s="158">
        <v>4</v>
      </c>
      <c r="BV4" s="162"/>
      <c r="BW4" s="158" t="s">
        <v>122</v>
      </c>
      <c r="BX4" s="158">
        <v>4</v>
      </c>
      <c r="CA4" s="480"/>
      <c r="CB4" s="479" t="s">
        <v>379</v>
      </c>
      <c r="CC4" s="479">
        <v>6</v>
      </c>
      <c r="CG4" s="162"/>
      <c r="CH4" s="163" t="s">
        <v>556</v>
      </c>
      <c r="CI4" s="164" t="s">
        <v>557</v>
      </c>
      <c r="CJ4" s="160"/>
      <c r="CK4" s="160"/>
      <c r="CL4" s="161"/>
      <c r="CM4" s="495"/>
      <c r="CN4" s="163" t="s">
        <v>379</v>
      </c>
      <c r="CO4" s="163">
        <v>15</v>
      </c>
      <c r="CP4" s="163"/>
      <c r="CQ4" s="163"/>
      <c r="CR4" s="160"/>
      <c r="CT4" s="162"/>
      <c r="CU4" s="154" t="s">
        <v>278</v>
      </c>
      <c r="CV4" s="154">
        <v>6</v>
      </c>
      <c r="CZ4" s="162"/>
      <c r="DA4" s="154" t="s">
        <v>278</v>
      </c>
      <c r="DB4" s="154">
        <v>6</v>
      </c>
      <c r="DE4" s="162"/>
      <c r="DF4" s="154" t="s">
        <v>278</v>
      </c>
      <c r="DG4" s="154">
        <v>6</v>
      </c>
    </row>
    <row r="5" spans="1:112" outlineLevel="1">
      <c r="A5" s="154" t="s">
        <v>867</v>
      </c>
      <c r="G5" s="154" t="s">
        <v>1178</v>
      </c>
      <c r="V5" s="154" t="s">
        <v>1099</v>
      </c>
      <c r="AV5" s="162"/>
      <c r="AW5" s="158" t="s">
        <v>398</v>
      </c>
      <c r="AX5" s="158" t="s">
        <v>557</v>
      </c>
      <c r="AY5" s="158"/>
      <c r="AZ5" s="158"/>
      <c r="BA5" s="162"/>
      <c r="BB5" s="158" t="s">
        <v>398</v>
      </c>
      <c r="BC5" s="158" t="s">
        <v>557</v>
      </c>
      <c r="BF5" s="162"/>
      <c r="BG5" s="154" t="s">
        <v>398</v>
      </c>
      <c r="BH5" s="154" t="s">
        <v>557</v>
      </c>
      <c r="BI5" s="158"/>
      <c r="BK5" s="162"/>
      <c r="BL5" s="158" t="s">
        <v>398</v>
      </c>
      <c r="BM5" s="158" t="s">
        <v>557</v>
      </c>
      <c r="BQ5" s="162"/>
      <c r="BR5" s="158" t="s">
        <v>398</v>
      </c>
      <c r="BS5" s="158" t="s">
        <v>557</v>
      </c>
      <c r="BV5" s="162"/>
      <c r="BW5" s="158" t="s">
        <v>398</v>
      </c>
      <c r="BX5" s="158" t="s">
        <v>557</v>
      </c>
      <c r="CA5" s="480"/>
      <c r="CB5" s="479" t="s">
        <v>398</v>
      </c>
      <c r="CC5" s="479" t="s">
        <v>557</v>
      </c>
      <c r="CG5" s="162"/>
      <c r="CH5" s="165" t="s">
        <v>558</v>
      </c>
      <c r="CI5" s="164"/>
      <c r="CJ5" s="160"/>
      <c r="CK5" s="160"/>
      <c r="CL5" s="161"/>
      <c r="CM5" s="495"/>
      <c r="CN5" s="163" t="s">
        <v>398</v>
      </c>
      <c r="CO5" s="163" t="s">
        <v>557</v>
      </c>
      <c r="CP5" s="163"/>
      <c r="CQ5" s="163"/>
      <c r="CR5" s="160"/>
      <c r="CT5" s="162"/>
      <c r="CU5" s="154" t="s">
        <v>122</v>
      </c>
      <c r="CV5" s="154">
        <v>16</v>
      </c>
      <c r="CZ5" s="162"/>
      <c r="DA5" s="154" t="s">
        <v>122</v>
      </c>
      <c r="DB5" s="154">
        <v>32</v>
      </c>
      <c r="DE5" s="162"/>
      <c r="DF5" s="154" t="s">
        <v>122</v>
      </c>
      <c r="DG5" s="154">
        <v>16</v>
      </c>
    </row>
    <row r="6" spans="1:112" outlineLevel="1">
      <c r="A6" s="154"/>
      <c r="G6" s="154" t="s">
        <v>1178</v>
      </c>
      <c r="AV6" s="162"/>
      <c r="AW6" s="158" t="s">
        <v>1047</v>
      </c>
      <c r="AX6" s="158">
        <v>1</v>
      </c>
      <c r="AY6" s="158"/>
      <c r="AZ6" s="158"/>
      <c r="BA6" s="162"/>
      <c r="BB6" s="158" t="s">
        <v>1047</v>
      </c>
      <c r="BC6" s="158">
        <v>0.01</v>
      </c>
      <c r="BF6" s="162"/>
      <c r="BG6" s="154" t="s">
        <v>1047</v>
      </c>
      <c r="BH6" s="154">
        <v>0.01</v>
      </c>
      <c r="BI6" s="158"/>
      <c r="BK6" s="162"/>
      <c r="BL6" s="158" t="s">
        <v>1047</v>
      </c>
      <c r="BM6" s="158">
        <v>0.01</v>
      </c>
      <c r="BQ6" s="162"/>
      <c r="BR6" s="158" t="s">
        <v>1047</v>
      </c>
      <c r="BS6" s="158">
        <v>0.01</v>
      </c>
      <c r="BV6" s="162"/>
      <c r="BW6" s="158" t="s">
        <v>1047</v>
      </c>
      <c r="BX6" s="158">
        <v>0.01</v>
      </c>
      <c r="CA6" s="480"/>
      <c r="CB6" s="479" t="s">
        <v>1047</v>
      </c>
      <c r="CC6" s="479">
        <v>0.01</v>
      </c>
      <c r="CG6" s="162"/>
      <c r="CH6" s="165" t="s">
        <v>559</v>
      </c>
      <c r="CI6" s="164"/>
      <c r="CJ6" s="160"/>
      <c r="CK6" s="160"/>
      <c r="CL6" s="161"/>
      <c r="CM6" s="495"/>
      <c r="CN6" s="163" t="s">
        <v>1047</v>
      </c>
      <c r="CO6" s="163">
        <v>0.01</v>
      </c>
      <c r="CP6" s="163"/>
      <c r="CQ6" s="163"/>
      <c r="CR6" s="160"/>
      <c r="CT6" s="162"/>
      <c r="CU6" s="154" t="s">
        <v>398</v>
      </c>
      <c r="CV6" s="154" t="s">
        <v>557</v>
      </c>
      <c r="CZ6" s="162"/>
      <c r="DA6" s="154" t="s">
        <v>398</v>
      </c>
      <c r="DB6" s="154" t="s">
        <v>557</v>
      </c>
      <c r="DE6" s="162"/>
      <c r="DF6" s="154" t="s">
        <v>398</v>
      </c>
      <c r="DG6" s="154" t="s">
        <v>557</v>
      </c>
    </row>
    <row r="7" spans="1:112" outlineLevel="1">
      <c r="A7" s="154" t="s">
        <v>412</v>
      </c>
      <c r="G7" s="154" t="s">
        <v>1178</v>
      </c>
      <c r="V7" s="154" t="s">
        <v>587</v>
      </c>
      <c r="AV7" s="162"/>
      <c r="AW7" s="158" t="s">
        <v>279</v>
      </c>
      <c r="AX7" s="158">
        <v>5.0000000000000001E-3</v>
      </c>
      <c r="AY7" s="158"/>
      <c r="AZ7" s="158"/>
      <c r="BA7" s="162"/>
      <c r="BB7" s="158" t="s">
        <v>279</v>
      </c>
      <c r="BC7" s="158">
        <v>9</v>
      </c>
      <c r="BF7" s="162"/>
      <c r="BG7" s="154" t="s">
        <v>279</v>
      </c>
      <c r="BH7" s="154">
        <v>12</v>
      </c>
      <c r="BI7" s="158"/>
      <c r="BK7" s="162"/>
      <c r="BL7" s="158" t="s">
        <v>279</v>
      </c>
      <c r="BM7" s="158">
        <v>9</v>
      </c>
      <c r="BQ7" s="162"/>
      <c r="BR7" s="158" t="s">
        <v>279</v>
      </c>
      <c r="BS7" s="158">
        <v>4</v>
      </c>
      <c r="BV7" s="162"/>
      <c r="BW7" s="158" t="s">
        <v>279</v>
      </c>
      <c r="BX7" s="158">
        <v>4</v>
      </c>
      <c r="CA7" s="480"/>
      <c r="CB7" s="479" t="s">
        <v>279</v>
      </c>
      <c r="CC7" s="479">
        <v>4</v>
      </c>
      <c r="CG7" s="162"/>
      <c r="CH7" s="163" t="s">
        <v>1047</v>
      </c>
      <c r="CI7" s="164"/>
      <c r="CJ7" s="160"/>
      <c r="CK7" s="160"/>
      <c r="CL7" s="161"/>
      <c r="CM7" s="495"/>
      <c r="CN7" s="163" t="s">
        <v>279</v>
      </c>
      <c r="CO7" s="163">
        <v>40.5</v>
      </c>
      <c r="CP7" s="163"/>
      <c r="CQ7" s="163"/>
      <c r="CR7" s="160"/>
      <c r="CT7" s="162"/>
      <c r="CU7" s="154" t="s">
        <v>1047</v>
      </c>
      <c r="CV7" s="154">
        <v>0.01</v>
      </c>
      <c r="CZ7" s="162"/>
      <c r="DA7" s="154" t="s">
        <v>1047</v>
      </c>
      <c r="DB7" s="154">
        <v>0.01</v>
      </c>
      <c r="DE7" s="162"/>
      <c r="DF7" s="154" t="s">
        <v>1047</v>
      </c>
      <c r="DG7" s="154">
        <v>0.01</v>
      </c>
    </row>
    <row r="8" spans="1:112" outlineLevel="1">
      <c r="A8" s="154" t="s">
        <v>445</v>
      </c>
      <c r="G8" s="154" t="s">
        <v>1178</v>
      </c>
      <c r="V8" s="154" t="s">
        <v>579</v>
      </c>
      <c r="AV8" s="162"/>
      <c r="AW8" s="158" t="s">
        <v>580</v>
      </c>
      <c r="AX8" s="158">
        <v>2</v>
      </c>
      <c r="AY8" s="158"/>
      <c r="AZ8" s="158"/>
      <c r="BA8" s="162"/>
      <c r="BB8" s="158" t="s">
        <v>580</v>
      </c>
      <c r="BC8" s="158">
        <v>1656</v>
      </c>
      <c r="BF8" s="162"/>
      <c r="BG8" s="154" t="s">
        <v>580</v>
      </c>
      <c r="BH8" s="154">
        <v>2200</v>
      </c>
      <c r="BI8" s="158"/>
      <c r="BK8" s="162"/>
      <c r="BL8" s="158" t="s">
        <v>580</v>
      </c>
      <c r="BM8" s="158">
        <v>992</v>
      </c>
      <c r="BQ8" s="162"/>
      <c r="BR8" s="158" t="s">
        <v>580</v>
      </c>
      <c r="BS8" s="158">
        <v>416</v>
      </c>
      <c r="BV8" s="162"/>
      <c r="BW8" s="158" t="s">
        <v>580</v>
      </c>
      <c r="BX8" s="158">
        <v>448</v>
      </c>
      <c r="CA8" s="480"/>
      <c r="CB8" s="479" t="s">
        <v>580</v>
      </c>
      <c r="CC8" s="479">
        <v>936</v>
      </c>
      <c r="CG8" s="162"/>
      <c r="CH8" s="163"/>
      <c r="CI8" s="160"/>
      <c r="CJ8" s="160"/>
      <c r="CK8" s="160"/>
      <c r="CL8" s="161"/>
      <c r="CM8" s="495"/>
      <c r="CN8" s="163" t="s">
        <v>580</v>
      </c>
      <c r="CO8" s="163">
        <v>1300</v>
      </c>
      <c r="CP8" s="163"/>
      <c r="CQ8" s="163"/>
      <c r="CR8" s="160"/>
      <c r="CT8" s="162"/>
      <c r="CU8" s="154" t="s">
        <v>279</v>
      </c>
      <c r="CV8" s="154">
        <v>9</v>
      </c>
      <c r="CZ8" s="162"/>
      <c r="DA8" s="154" t="s">
        <v>279</v>
      </c>
      <c r="DB8" s="154">
        <v>9</v>
      </c>
      <c r="DE8" s="162"/>
      <c r="DF8" s="154" t="s">
        <v>279</v>
      </c>
      <c r="DG8" s="154">
        <v>9</v>
      </c>
    </row>
    <row r="9" spans="1:112" outlineLevel="1">
      <c r="A9" s="154" t="s">
        <v>992</v>
      </c>
      <c r="G9" s="154" t="s">
        <v>1178</v>
      </c>
      <c r="V9" s="154" t="s">
        <v>891</v>
      </c>
      <c r="AV9" s="162"/>
      <c r="AW9" s="158"/>
      <c r="AX9" s="158"/>
      <c r="AY9" s="158"/>
      <c r="AZ9" s="158"/>
      <c r="BA9" s="162"/>
      <c r="BF9" s="162"/>
      <c r="BH9" s="166"/>
      <c r="BI9" s="158"/>
      <c r="BK9" s="162"/>
      <c r="BL9" s="158" t="s">
        <v>1026</v>
      </c>
      <c r="BM9" s="158">
        <v>4</v>
      </c>
      <c r="BQ9" s="162"/>
      <c r="BV9" s="162"/>
      <c r="CA9" s="480"/>
      <c r="CB9" s="479" t="s">
        <v>1026</v>
      </c>
      <c r="CC9" s="479">
        <v>4</v>
      </c>
      <c r="CG9" s="162"/>
      <c r="CH9" s="159" t="s">
        <v>906</v>
      </c>
      <c r="CI9" s="164"/>
      <c r="CJ9" s="160"/>
      <c r="CK9" s="160"/>
      <c r="CL9" s="161"/>
      <c r="CM9" s="495"/>
      <c r="CN9" s="163" t="s">
        <v>1026</v>
      </c>
      <c r="CO9" s="163">
        <v>3</v>
      </c>
      <c r="CP9" s="163"/>
      <c r="CQ9" s="163"/>
      <c r="CR9" s="160"/>
      <c r="CT9" s="162"/>
      <c r="CU9" s="154" t="s">
        <v>580</v>
      </c>
      <c r="CV9" s="154">
        <v>992</v>
      </c>
      <c r="CZ9" s="162"/>
      <c r="DA9" s="154" t="s">
        <v>580</v>
      </c>
      <c r="DB9" s="154">
        <v>992</v>
      </c>
      <c r="DE9" s="162"/>
      <c r="DF9" s="154" t="s">
        <v>580</v>
      </c>
      <c r="DG9" s="154">
        <v>992</v>
      </c>
    </row>
    <row r="10" spans="1:112">
      <c r="A10" s="162"/>
      <c r="C10" s="154"/>
      <c r="D10" s="154"/>
      <c r="E10" s="154"/>
      <c r="F10" s="154"/>
      <c r="G10" s="162"/>
      <c r="L10" s="162"/>
      <c r="Q10" s="162"/>
      <c r="V10" s="162"/>
      <c r="AA10" s="162"/>
      <c r="AF10" s="162"/>
      <c r="AK10" s="162"/>
      <c r="AP10" s="162"/>
      <c r="AV10" s="162"/>
      <c r="AW10" s="158"/>
      <c r="AX10" s="158"/>
      <c r="AY10" s="158"/>
      <c r="AZ10" s="158"/>
      <c r="BA10" s="162"/>
      <c r="BF10" s="162"/>
      <c r="BK10" s="162"/>
      <c r="BQ10" s="162"/>
      <c r="BV10" s="162"/>
      <c r="CA10" s="480"/>
      <c r="CG10" s="162"/>
      <c r="CH10" s="159" t="s">
        <v>750</v>
      </c>
      <c r="CI10" s="164">
        <v>0</v>
      </c>
      <c r="CJ10" s="160"/>
      <c r="CK10" s="160"/>
      <c r="CL10" s="161"/>
      <c r="CM10" s="495"/>
      <c r="CN10" s="163"/>
      <c r="CO10" s="163"/>
      <c r="CP10" s="163"/>
      <c r="CQ10" s="163"/>
      <c r="CR10" s="160"/>
      <c r="CT10" s="162"/>
      <c r="CZ10" s="162"/>
      <c r="DE10" s="162"/>
    </row>
    <row r="11" spans="1:112">
      <c r="A11" s="162"/>
      <c r="C11" s="154"/>
      <c r="D11" s="154"/>
      <c r="E11" s="154"/>
      <c r="F11" s="154"/>
      <c r="G11" s="162"/>
      <c r="L11" s="162"/>
      <c r="Q11" s="162"/>
      <c r="V11" s="162"/>
      <c r="AA11" s="162"/>
      <c r="AF11" s="162"/>
      <c r="AK11" s="162"/>
      <c r="AP11" s="162"/>
      <c r="AV11" s="162"/>
      <c r="AW11" s="158"/>
      <c r="AX11" s="158"/>
      <c r="AY11" s="158"/>
      <c r="AZ11" s="158"/>
      <c r="BA11" s="162"/>
      <c r="BF11" s="162"/>
      <c r="BK11" s="162"/>
      <c r="BQ11" s="162"/>
      <c r="BV11" s="162"/>
      <c r="CA11" s="480"/>
      <c r="CG11" s="162"/>
      <c r="CH11" s="159"/>
      <c r="CI11" s="164"/>
      <c r="CJ11" s="160"/>
      <c r="CK11" s="160"/>
      <c r="CL11" s="161"/>
      <c r="CM11" s="495" t="s">
        <v>57</v>
      </c>
      <c r="CN11" s="163" t="s">
        <v>567</v>
      </c>
      <c r="CO11" s="163">
        <v>4</v>
      </c>
      <c r="CP11" s="163"/>
      <c r="CQ11" s="163"/>
      <c r="CR11" s="160"/>
      <c r="CT11" s="162"/>
      <c r="CZ11" s="162"/>
      <c r="DE11" s="162"/>
    </row>
    <row r="12" spans="1:112">
      <c r="A12" s="162"/>
      <c r="G12" s="167"/>
      <c r="L12" s="167"/>
      <c r="Q12" s="167"/>
      <c r="V12" s="168"/>
      <c r="AA12" s="162"/>
      <c r="AF12" s="162"/>
      <c r="AK12" s="162"/>
      <c r="AP12" s="162"/>
      <c r="AV12" s="162"/>
      <c r="AW12" s="158"/>
      <c r="AX12" s="158"/>
      <c r="AY12" s="158"/>
      <c r="AZ12" s="158"/>
      <c r="BA12" s="162"/>
      <c r="BF12" s="162" t="s">
        <v>892</v>
      </c>
      <c r="BG12" s="154" t="s">
        <v>567</v>
      </c>
      <c r="BH12" s="154">
        <v>3.3250000000000002</v>
      </c>
      <c r="BK12" s="162"/>
      <c r="BQ12" s="162"/>
      <c r="BV12" s="162"/>
      <c r="CA12" s="480" t="s">
        <v>293</v>
      </c>
      <c r="CB12" s="479" t="s">
        <v>567</v>
      </c>
      <c r="CC12" s="479">
        <v>4.9405000000000001</v>
      </c>
      <c r="CG12" s="162"/>
      <c r="CH12" s="159" t="s">
        <v>923</v>
      </c>
      <c r="CI12" s="164">
        <v>8.423509608211674</v>
      </c>
      <c r="CJ12" s="160"/>
      <c r="CK12" s="160"/>
      <c r="CL12" s="161"/>
      <c r="CM12" s="495" t="s">
        <v>894</v>
      </c>
      <c r="CN12" s="163" t="s">
        <v>670</v>
      </c>
      <c r="CO12" s="163">
        <v>0.3</v>
      </c>
      <c r="CP12" s="163">
        <v>-0.64729599999999998</v>
      </c>
      <c r="CQ12" s="163"/>
      <c r="CR12" s="160"/>
      <c r="CT12" s="162" t="s">
        <v>893</v>
      </c>
      <c r="CU12" s="154" t="s">
        <v>567</v>
      </c>
      <c r="CV12" s="154">
        <v>3</v>
      </c>
      <c r="CZ12" s="162" t="s">
        <v>893</v>
      </c>
      <c r="DA12" s="154" t="s">
        <v>567</v>
      </c>
      <c r="DB12" s="154">
        <v>1.9</v>
      </c>
      <c r="DE12" s="162" t="s">
        <v>893</v>
      </c>
      <c r="DF12" s="154" t="s">
        <v>567</v>
      </c>
      <c r="DG12" s="154">
        <v>2.984</v>
      </c>
    </row>
    <row r="13" spans="1:112">
      <c r="A13" s="167"/>
      <c r="B13" s="169" t="s">
        <v>278</v>
      </c>
      <c r="C13" s="170">
        <v>0.17</v>
      </c>
      <c r="D13" s="170"/>
      <c r="E13" s="170"/>
      <c r="G13" s="162"/>
      <c r="H13" s="154" t="s">
        <v>122</v>
      </c>
      <c r="I13" s="154">
        <v>39</v>
      </c>
      <c r="L13" s="162"/>
      <c r="M13" s="154" t="s">
        <v>122</v>
      </c>
      <c r="N13" s="154">
        <v>39</v>
      </c>
      <c r="Q13" s="162"/>
      <c r="R13" s="154" t="s">
        <v>122</v>
      </c>
      <c r="S13" s="154">
        <v>3</v>
      </c>
      <c r="V13" s="168"/>
      <c r="W13" s="171" t="s">
        <v>278</v>
      </c>
      <c r="X13" s="170">
        <v>6</v>
      </c>
      <c r="AA13" s="162"/>
      <c r="AB13" s="171" t="s">
        <v>278</v>
      </c>
      <c r="AC13" s="170">
        <v>6</v>
      </c>
      <c r="AF13" s="162"/>
      <c r="AG13" s="171" t="s">
        <v>278</v>
      </c>
      <c r="AH13" s="170">
        <v>6</v>
      </c>
      <c r="AK13" s="162"/>
      <c r="AL13" s="157" t="s">
        <v>122</v>
      </c>
      <c r="AM13" s="154">
        <v>16</v>
      </c>
      <c r="AP13" s="168"/>
      <c r="AQ13" s="171" t="s">
        <v>278</v>
      </c>
      <c r="AR13" s="170">
        <v>6</v>
      </c>
      <c r="AV13" s="162" t="s">
        <v>1178</v>
      </c>
      <c r="AW13" s="158"/>
      <c r="AX13" s="158"/>
      <c r="AY13" s="158"/>
      <c r="AZ13" s="158"/>
      <c r="BA13" s="162" t="s">
        <v>1178</v>
      </c>
      <c r="BF13" s="162" t="s">
        <v>894</v>
      </c>
      <c r="BG13" s="154" t="s">
        <v>670</v>
      </c>
      <c r="BH13" s="154">
        <v>0.35</v>
      </c>
      <c r="BI13" s="154">
        <v>-0.42930079999999998</v>
      </c>
      <c r="BK13" s="162"/>
      <c r="BQ13" s="162" t="s">
        <v>811</v>
      </c>
      <c r="BR13" s="158" t="s">
        <v>567</v>
      </c>
      <c r="BS13" s="158">
        <v>6</v>
      </c>
      <c r="BV13" s="162" t="s">
        <v>1097</v>
      </c>
      <c r="BW13" s="158" t="s">
        <v>567</v>
      </c>
      <c r="BX13" s="158">
        <v>4</v>
      </c>
      <c r="CA13" s="480" t="s">
        <v>68</v>
      </c>
      <c r="CB13" s="479" t="s">
        <v>729</v>
      </c>
      <c r="CG13" s="162"/>
      <c r="CH13" s="159" t="s">
        <v>924</v>
      </c>
      <c r="CI13" s="164">
        <v>0</v>
      </c>
      <c r="CJ13" s="160"/>
      <c r="CK13" s="160"/>
      <c r="CL13" s="161"/>
      <c r="CM13" s="495" t="s">
        <v>243</v>
      </c>
      <c r="CN13" s="163" t="s">
        <v>567</v>
      </c>
      <c r="CO13" s="163">
        <v>0.24</v>
      </c>
      <c r="CP13" s="163"/>
      <c r="CQ13" s="163"/>
      <c r="CR13" s="160"/>
      <c r="CT13" s="162" t="s">
        <v>895</v>
      </c>
      <c r="CU13" s="154" t="s">
        <v>567</v>
      </c>
      <c r="CV13" s="154">
        <v>0.15</v>
      </c>
      <c r="CZ13" s="162" t="s">
        <v>894</v>
      </c>
      <c r="DA13" s="154" t="s">
        <v>670</v>
      </c>
      <c r="DB13" s="154">
        <v>0.40000001000000002</v>
      </c>
      <c r="DC13" s="154">
        <v>1.8042585</v>
      </c>
      <c r="DE13" s="162" t="s">
        <v>895</v>
      </c>
      <c r="DF13" s="154" t="s">
        <v>567</v>
      </c>
      <c r="DG13" s="154">
        <v>0.13235</v>
      </c>
    </row>
    <row r="14" spans="1:112">
      <c r="A14" s="167"/>
      <c r="B14" s="169" t="s">
        <v>122</v>
      </c>
      <c r="C14" s="170">
        <v>1</v>
      </c>
      <c r="D14" s="170"/>
      <c r="E14" s="170"/>
      <c r="G14" s="162"/>
      <c r="H14" s="154" t="s">
        <v>398</v>
      </c>
      <c r="I14" s="154" t="s">
        <v>896</v>
      </c>
      <c r="L14" s="162"/>
      <c r="M14" s="154" t="s">
        <v>398</v>
      </c>
      <c r="N14" s="154" t="s">
        <v>896</v>
      </c>
      <c r="Q14" s="162"/>
      <c r="R14" s="154" t="s">
        <v>398</v>
      </c>
      <c r="S14" s="154" t="s">
        <v>557</v>
      </c>
      <c r="V14" s="162"/>
      <c r="W14" s="171" t="s">
        <v>122</v>
      </c>
      <c r="X14" s="170">
        <v>1</v>
      </c>
      <c r="AA14" s="162"/>
      <c r="AB14" s="171" t="s">
        <v>122</v>
      </c>
      <c r="AC14" s="170">
        <v>1</v>
      </c>
      <c r="AF14" s="162"/>
      <c r="AG14" s="171" t="s">
        <v>122</v>
      </c>
      <c r="AH14" s="170">
        <v>1</v>
      </c>
      <c r="AK14" s="162"/>
      <c r="AL14" s="157" t="s">
        <v>398</v>
      </c>
      <c r="AM14" s="154" t="s">
        <v>557</v>
      </c>
      <c r="AP14" s="162"/>
      <c r="AQ14" s="171" t="s">
        <v>122</v>
      </c>
      <c r="AR14" s="170">
        <v>1</v>
      </c>
      <c r="AV14" s="162" t="s">
        <v>1178</v>
      </c>
      <c r="AW14" s="158" t="s">
        <v>567</v>
      </c>
      <c r="AX14" s="158">
        <v>0.94</v>
      </c>
      <c r="AY14" s="158"/>
      <c r="AZ14" s="158"/>
      <c r="BA14" s="162" t="s">
        <v>892</v>
      </c>
      <c r="BB14" s="158" t="s">
        <v>567</v>
      </c>
      <c r="BC14" s="158">
        <v>3.36</v>
      </c>
      <c r="BF14" s="162" t="s">
        <v>675</v>
      </c>
      <c r="BG14" s="154" t="s">
        <v>567</v>
      </c>
      <c r="BH14" s="154">
        <v>0.35499999999999998</v>
      </c>
      <c r="BK14" s="162" t="s">
        <v>567</v>
      </c>
      <c r="BL14" s="158" t="s">
        <v>567</v>
      </c>
      <c r="BM14" s="158">
        <v>3.0525600000000002</v>
      </c>
      <c r="BQ14" s="162" t="s">
        <v>673</v>
      </c>
      <c r="BR14" s="158" t="s">
        <v>670</v>
      </c>
      <c r="BS14" s="158">
        <v>0.32</v>
      </c>
      <c r="BT14" s="158">
        <v>-1.1860999999999999</v>
      </c>
      <c r="BV14" s="162" t="s">
        <v>568</v>
      </c>
      <c r="BW14" s="158" t="s">
        <v>670</v>
      </c>
      <c r="BX14" s="158">
        <v>0.26</v>
      </c>
      <c r="BY14" s="158">
        <v>-1.4484999999999999</v>
      </c>
      <c r="CA14" s="480" t="s">
        <v>69</v>
      </c>
      <c r="CB14" s="479" t="s">
        <v>567</v>
      </c>
      <c r="CC14" s="479">
        <v>0.33</v>
      </c>
      <c r="CG14" s="162"/>
      <c r="CH14" s="172" t="s">
        <v>786</v>
      </c>
      <c r="CI14" s="164">
        <v>9.6382855479388262E-3</v>
      </c>
      <c r="CJ14" s="160"/>
      <c r="CK14" s="160"/>
      <c r="CL14" s="161"/>
      <c r="CM14" s="495" t="s">
        <v>58</v>
      </c>
      <c r="CN14" s="163" t="s">
        <v>567</v>
      </c>
      <c r="CO14" s="163">
        <v>0.1</v>
      </c>
      <c r="CP14" s="163"/>
      <c r="CQ14" s="163"/>
      <c r="CR14" s="160"/>
      <c r="CT14" s="162" t="s">
        <v>782</v>
      </c>
      <c r="CU14" s="154" t="s">
        <v>670</v>
      </c>
      <c r="CV14" s="154">
        <v>0.25</v>
      </c>
      <c r="CW14" s="154">
        <v>0.85699999999999998</v>
      </c>
      <c r="CZ14" s="162" t="s">
        <v>783</v>
      </c>
      <c r="DA14" s="154" t="s">
        <v>567</v>
      </c>
      <c r="DB14" s="154">
        <v>0.40000001000000002</v>
      </c>
      <c r="DE14" s="162" t="s">
        <v>191</v>
      </c>
      <c r="DF14" s="154" t="s">
        <v>670</v>
      </c>
      <c r="DG14" s="154">
        <v>0.77060002000000005</v>
      </c>
      <c r="DH14" s="154">
        <v>0.83288943999999998</v>
      </c>
    </row>
    <row r="15" spans="1:112">
      <c r="A15" s="167"/>
      <c r="B15" s="169" t="s">
        <v>398</v>
      </c>
      <c r="C15" s="170" t="s">
        <v>896</v>
      </c>
      <c r="D15" s="170"/>
      <c r="E15" s="170"/>
      <c r="G15" s="162"/>
      <c r="H15" s="154" t="s">
        <v>278</v>
      </c>
      <c r="I15" s="154">
        <v>6</v>
      </c>
      <c r="L15" s="162"/>
      <c r="M15" s="154" t="s">
        <v>278</v>
      </c>
      <c r="N15" s="154">
        <v>6</v>
      </c>
      <c r="Q15" s="162"/>
      <c r="R15" s="154" t="s">
        <v>278</v>
      </c>
      <c r="S15" s="154">
        <v>6</v>
      </c>
      <c r="V15" s="162"/>
      <c r="W15" s="171" t="s">
        <v>398</v>
      </c>
      <c r="X15" s="170" t="s">
        <v>896</v>
      </c>
      <c r="AA15" s="162"/>
      <c r="AB15" s="171" t="s">
        <v>398</v>
      </c>
      <c r="AC15" s="170" t="s">
        <v>896</v>
      </c>
      <c r="AF15" s="162"/>
      <c r="AG15" s="171" t="s">
        <v>398</v>
      </c>
      <c r="AH15" s="170" t="s">
        <v>896</v>
      </c>
      <c r="AK15" s="162"/>
      <c r="AL15" s="157" t="s">
        <v>278</v>
      </c>
      <c r="AM15" s="154">
        <v>6</v>
      </c>
      <c r="AP15" s="162"/>
      <c r="AQ15" s="171" t="s">
        <v>398</v>
      </c>
      <c r="AR15" s="170" t="s">
        <v>896</v>
      </c>
      <c r="AV15" s="162" t="s">
        <v>1178</v>
      </c>
      <c r="AW15" s="65" t="s">
        <v>1132</v>
      </c>
      <c r="AX15" s="66">
        <f>2*PI()/8</f>
        <v>0.78539816339744828</v>
      </c>
      <c r="AY15" s="67">
        <v>0.872</v>
      </c>
      <c r="AZ15" s="158">
        <v>0.4</v>
      </c>
      <c r="BA15" s="162" t="s">
        <v>894</v>
      </c>
      <c r="BB15" s="158" t="s">
        <v>670</v>
      </c>
      <c r="BC15" s="158">
        <v>0.5</v>
      </c>
      <c r="BD15" s="158">
        <v>-0.45435995000000001</v>
      </c>
      <c r="BF15" s="162" t="s">
        <v>92</v>
      </c>
      <c r="BG15" s="154" t="s">
        <v>567</v>
      </c>
      <c r="BH15" s="154">
        <v>0.15</v>
      </c>
      <c r="BK15" s="162"/>
      <c r="BL15" s="158" t="s">
        <v>729</v>
      </c>
      <c r="BQ15" s="162" t="s">
        <v>989</v>
      </c>
      <c r="BR15" s="158" t="s">
        <v>567</v>
      </c>
      <c r="BS15" s="158">
        <v>0.39</v>
      </c>
      <c r="BV15" s="162" t="s">
        <v>1143</v>
      </c>
      <c r="BW15" s="158" t="s">
        <v>567</v>
      </c>
      <c r="BX15" s="158">
        <v>0.2</v>
      </c>
      <c r="CA15" s="480" t="s">
        <v>70</v>
      </c>
      <c r="CB15" s="479" t="s">
        <v>567</v>
      </c>
      <c r="CC15" s="479">
        <v>0.40100000000000002</v>
      </c>
      <c r="CG15" s="162"/>
      <c r="CH15" s="154" t="s">
        <v>1046</v>
      </c>
      <c r="CI15" s="164">
        <v>0</v>
      </c>
      <c r="CJ15" s="160"/>
      <c r="CK15" s="160"/>
      <c r="CL15" s="161"/>
      <c r="CM15" s="495" t="s">
        <v>2</v>
      </c>
      <c r="CN15" s="163" t="s">
        <v>770</v>
      </c>
      <c r="CO15" s="163">
        <v>0</v>
      </c>
      <c r="CP15" s="163">
        <v>1.0290979999999998</v>
      </c>
      <c r="CQ15" s="163"/>
      <c r="CR15" s="160"/>
      <c r="CT15" s="162" t="s">
        <v>782</v>
      </c>
      <c r="CU15" s="154" t="s">
        <v>670</v>
      </c>
      <c r="CV15" s="154">
        <v>0.25</v>
      </c>
      <c r="CW15" s="154">
        <v>0.85699999999999998</v>
      </c>
      <c r="CZ15" s="162" t="s">
        <v>782</v>
      </c>
      <c r="DA15" s="154" t="s">
        <v>670</v>
      </c>
      <c r="DB15" s="154">
        <v>0.40000001000000002</v>
      </c>
      <c r="DC15" s="154">
        <v>-1.7662424999999999</v>
      </c>
      <c r="DE15" s="162" t="s">
        <v>1197</v>
      </c>
      <c r="DF15" s="154" t="s">
        <v>567</v>
      </c>
      <c r="DG15" s="154">
        <v>4.82E-2</v>
      </c>
    </row>
    <row r="16" spans="1:112">
      <c r="A16" s="167"/>
      <c r="B16" s="169" t="s">
        <v>786</v>
      </c>
      <c r="C16" s="170">
        <v>0</v>
      </c>
      <c r="D16" s="170"/>
      <c r="E16" s="170"/>
      <c r="G16" s="162"/>
      <c r="H16" s="154" t="s">
        <v>1047</v>
      </c>
      <c r="I16" s="154">
        <v>0.01</v>
      </c>
      <c r="L16" s="162"/>
      <c r="M16" s="154" t="s">
        <v>1047</v>
      </c>
      <c r="N16" s="154">
        <v>0.01</v>
      </c>
      <c r="Q16" s="162"/>
      <c r="R16" s="154" t="s">
        <v>1047</v>
      </c>
      <c r="S16" s="154">
        <v>0.01</v>
      </c>
      <c r="V16" s="162"/>
      <c r="W16" s="171" t="s">
        <v>786</v>
      </c>
      <c r="X16" s="170">
        <v>0</v>
      </c>
      <c r="AA16" s="162"/>
      <c r="AB16" s="171" t="s">
        <v>786</v>
      </c>
      <c r="AC16" s="170">
        <v>0</v>
      </c>
      <c r="AF16" s="162"/>
      <c r="AG16" s="171" t="s">
        <v>786</v>
      </c>
      <c r="AH16" s="170">
        <v>0</v>
      </c>
      <c r="AK16" s="162"/>
      <c r="AL16" s="157" t="s">
        <v>1047</v>
      </c>
      <c r="AM16" s="154">
        <v>0.01</v>
      </c>
      <c r="AP16" s="162"/>
      <c r="AQ16" s="171" t="s">
        <v>786</v>
      </c>
      <c r="AR16" s="170">
        <v>0.16600000000000001</v>
      </c>
      <c r="AV16" s="162" t="s">
        <v>1178</v>
      </c>
      <c r="AW16" s="158" t="s">
        <v>567</v>
      </c>
      <c r="AX16" s="158">
        <v>0.27</v>
      </c>
      <c r="AY16" s="158"/>
      <c r="AZ16" s="158"/>
      <c r="BA16" s="162" t="s">
        <v>675</v>
      </c>
      <c r="BB16" s="158" t="s">
        <v>567</v>
      </c>
      <c r="BC16" s="158">
        <v>0.66</v>
      </c>
      <c r="BF16" s="162" t="s">
        <v>793</v>
      </c>
      <c r="BG16" s="154" t="s">
        <v>1125</v>
      </c>
      <c r="BH16" s="154">
        <v>1.9460625</v>
      </c>
      <c r="BK16" s="162"/>
      <c r="BL16" s="158" t="s">
        <v>567</v>
      </c>
      <c r="BM16" s="158">
        <v>9.7975000000000007E-2</v>
      </c>
      <c r="BQ16" s="162" t="s">
        <v>694</v>
      </c>
      <c r="BR16" s="158" t="s">
        <v>1125</v>
      </c>
      <c r="BS16" s="158">
        <v>1.71919</v>
      </c>
      <c r="BV16" s="162" t="s">
        <v>334</v>
      </c>
      <c r="BW16" s="158" t="s">
        <v>670</v>
      </c>
      <c r="BX16" s="158">
        <v>0.26</v>
      </c>
      <c r="BY16" s="158">
        <v>1.7616000000000001</v>
      </c>
      <c r="CA16" s="480" t="s">
        <v>143</v>
      </c>
      <c r="CB16" s="479" t="s">
        <v>670</v>
      </c>
      <c r="CC16" s="479">
        <v>0.4</v>
      </c>
      <c r="CD16" s="479">
        <v>-0.71262499999999995</v>
      </c>
      <c r="CG16" s="162"/>
      <c r="CI16" s="155"/>
      <c r="CJ16" s="160"/>
      <c r="CK16" s="170"/>
      <c r="CL16" s="161"/>
      <c r="CM16" s="495" t="s">
        <v>58</v>
      </c>
      <c r="CN16" s="163" t="s">
        <v>567</v>
      </c>
      <c r="CO16" s="163">
        <v>0.1</v>
      </c>
      <c r="CP16" s="163"/>
      <c r="CQ16" s="163"/>
      <c r="CR16" s="160"/>
      <c r="CT16" s="162" t="s">
        <v>895</v>
      </c>
      <c r="CU16" s="154" t="s">
        <v>567</v>
      </c>
      <c r="CV16" s="154">
        <v>0.15</v>
      </c>
      <c r="CZ16" s="162" t="s">
        <v>1197</v>
      </c>
      <c r="DA16" s="154" t="s">
        <v>567</v>
      </c>
      <c r="DB16" s="154">
        <v>0.5</v>
      </c>
      <c r="DE16" s="162" t="s">
        <v>707</v>
      </c>
      <c r="DF16" s="154" t="s">
        <v>567</v>
      </c>
      <c r="DG16" s="154">
        <v>0.14149999999999999</v>
      </c>
    </row>
    <row r="17" spans="1:112">
      <c r="A17" s="167"/>
      <c r="B17" s="154" t="s">
        <v>1046</v>
      </c>
      <c r="C17" s="155">
        <v>0</v>
      </c>
      <c r="D17" s="170"/>
      <c r="E17" s="170"/>
      <c r="G17" s="162"/>
      <c r="H17" s="154" t="s">
        <v>279</v>
      </c>
      <c r="I17" s="154">
        <v>7.3</v>
      </c>
      <c r="L17" s="162"/>
      <c r="M17" s="154" t="s">
        <v>279</v>
      </c>
      <c r="N17" s="154">
        <v>7.3</v>
      </c>
      <c r="Q17" s="162"/>
      <c r="R17" s="154" t="s">
        <v>279</v>
      </c>
      <c r="S17" s="154">
        <v>7.3</v>
      </c>
      <c r="V17" s="162"/>
      <c r="W17" s="157" t="s">
        <v>1046</v>
      </c>
      <c r="X17" s="170">
        <v>0</v>
      </c>
      <c r="AA17" s="162"/>
      <c r="AB17" s="157" t="s">
        <v>1046</v>
      </c>
      <c r="AC17" s="170">
        <v>0</v>
      </c>
      <c r="AF17" s="162"/>
      <c r="AG17" s="157" t="s">
        <v>1046</v>
      </c>
      <c r="AH17" s="170">
        <v>0</v>
      </c>
      <c r="AK17" s="162"/>
      <c r="AL17" s="157" t="s">
        <v>279</v>
      </c>
      <c r="AM17" s="154">
        <v>9</v>
      </c>
      <c r="AP17" s="162"/>
      <c r="AQ17" s="157" t="s">
        <v>1046</v>
      </c>
      <c r="AR17" s="170">
        <v>-7.0000000000000007E-2</v>
      </c>
      <c r="AV17" s="162" t="s">
        <v>1178</v>
      </c>
      <c r="AW17" s="158" t="s">
        <v>670</v>
      </c>
      <c r="AX17" s="158">
        <v>0.33</v>
      </c>
      <c r="AY17" s="158">
        <v>6.5380000000000003</v>
      </c>
      <c r="AZ17" s="158"/>
      <c r="BA17" s="162" t="s">
        <v>782</v>
      </c>
      <c r="BB17" s="158" t="s">
        <v>670</v>
      </c>
      <c r="BC17" s="158">
        <v>0.8</v>
      </c>
      <c r="BD17" s="158">
        <v>0.63933373900000001</v>
      </c>
      <c r="BF17" s="162" t="s">
        <v>92</v>
      </c>
      <c r="BG17" s="154" t="s">
        <v>567</v>
      </c>
      <c r="BH17" s="154">
        <v>0.15</v>
      </c>
      <c r="BK17" s="162" t="s">
        <v>568</v>
      </c>
      <c r="BL17" s="158" t="s">
        <v>670</v>
      </c>
      <c r="BM17" s="158">
        <v>0.43804999999999999</v>
      </c>
      <c r="BN17" s="158">
        <v>-0.114872</v>
      </c>
      <c r="BQ17" s="162" t="s">
        <v>581</v>
      </c>
      <c r="BR17" s="158" t="s">
        <v>567</v>
      </c>
      <c r="BS17" s="158">
        <v>0.2</v>
      </c>
      <c r="BV17" s="162" t="s">
        <v>695</v>
      </c>
      <c r="BW17" s="158" t="s">
        <v>567</v>
      </c>
      <c r="BX17" s="158">
        <v>0.22500000000000001</v>
      </c>
      <c r="CA17" s="480" t="s">
        <v>382</v>
      </c>
      <c r="CB17" s="479" t="s">
        <v>567</v>
      </c>
      <c r="CC17" s="479">
        <v>0.15</v>
      </c>
      <c r="CG17" s="162"/>
      <c r="CH17" s="165"/>
      <c r="CI17" s="165"/>
      <c r="CJ17" s="165"/>
      <c r="CK17" s="170"/>
      <c r="CL17" s="173"/>
      <c r="CM17" s="496" t="s">
        <v>958</v>
      </c>
      <c r="CN17" s="171" t="s">
        <v>567</v>
      </c>
      <c r="CO17" s="171">
        <v>0.2</v>
      </c>
      <c r="CP17" s="171"/>
      <c r="CQ17" s="171"/>
      <c r="CR17" s="170"/>
      <c r="CT17" s="162" t="s">
        <v>707</v>
      </c>
      <c r="CU17" s="154" t="s">
        <v>567</v>
      </c>
      <c r="CV17" s="154">
        <v>2.01E-2</v>
      </c>
      <c r="CZ17" s="162">
        <v>6</v>
      </c>
      <c r="DA17" s="154" t="s">
        <v>1077</v>
      </c>
      <c r="DB17" s="154">
        <v>2.4543692999999998E-2</v>
      </c>
      <c r="DC17" s="154">
        <v>21.124366999999999</v>
      </c>
      <c r="DE17" s="162" t="s">
        <v>235</v>
      </c>
      <c r="DF17" s="154" t="s">
        <v>567</v>
      </c>
      <c r="DG17" s="154">
        <v>0.16580001</v>
      </c>
    </row>
    <row r="18" spans="1:112">
      <c r="A18" s="167"/>
      <c r="B18" s="154" t="s">
        <v>687</v>
      </c>
      <c r="C18" s="155">
        <v>0.01</v>
      </c>
      <c r="D18" s="170"/>
      <c r="E18" s="170"/>
      <c r="G18" s="162"/>
      <c r="H18" s="154" t="s">
        <v>580</v>
      </c>
      <c r="I18" s="154">
        <v>352</v>
      </c>
      <c r="L18" s="162"/>
      <c r="M18" s="154" t="s">
        <v>580</v>
      </c>
      <c r="N18" s="154">
        <v>352</v>
      </c>
      <c r="Q18" s="162"/>
      <c r="R18" s="154" t="s">
        <v>580</v>
      </c>
      <c r="S18" s="154">
        <v>352</v>
      </c>
      <c r="V18" s="162"/>
      <c r="W18" s="157" t="s">
        <v>687</v>
      </c>
      <c r="X18" s="155">
        <v>1E-3</v>
      </c>
      <c r="AA18" s="162"/>
      <c r="AB18" s="157" t="s">
        <v>687</v>
      </c>
      <c r="AC18" s="155">
        <v>1E-3</v>
      </c>
      <c r="AF18" s="162"/>
      <c r="AG18" s="157" t="s">
        <v>687</v>
      </c>
      <c r="AH18" s="155">
        <v>1E-3</v>
      </c>
      <c r="AK18" s="162"/>
      <c r="AL18" s="157" t="s">
        <v>580</v>
      </c>
      <c r="AM18" s="154">
        <v>992</v>
      </c>
      <c r="AP18" s="162"/>
      <c r="AQ18" s="157" t="s">
        <v>687</v>
      </c>
      <c r="AR18" s="155">
        <v>1E-3</v>
      </c>
      <c r="AV18" s="162" t="s">
        <v>1178</v>
      </c>
      <c r="AW18" s="158" t="s">
        <v>567</v>
      </c>
      <c r="AX18" s="158">
        <v>0.183</v>
      </c>
      <c r="AY18" s="158"/>
      <c r="AZ18" s="158"/>
      <c r="BA18" s="162" t="s">
        <v>672</v>
      </c>
      <c r="BB18" s="158" t="s">
        <v>567</v>
      </c>
      <c r="BC18" s="158">
        <v>0.17365</v>
      </c>
      <c r="BF18" s="162" t="s">
        <v>675</v>
      </c>
      <c r="BG18" s="154" t="s">
        <v>567</v>
      </c>
      <c r="BH18" s="154">
        <v>0.35499999999999998</v>
      </c>
      <c r="BK18" s="162"/>
      <c r="BL18" s="158" t="s">
        <v>567</v>
      </c>
      <c r="BM18" s="158">
        <v>0.33097500000000002</v>
      </c>
      <c r="BQ18" s="162" t="s">
        <v>1098</v>
      </c>
      <c r="BR18" s="158" t="s">
        <v>670</v>
      </c>
      <c r="BS18" s="158">
        <v>0.46</v>
      </c>
      <c r="BT18" s="158">
        <v>1.71132</v>
      </c>
      <c r="BV18" s="162" t="s">
        <v>21</v>
      </c>
      <c r="BW18" s="158" t="s">
        <v>1125</v>
      </c>
      <c r="BX18" s="158">
        <v>1.95</v>
      </c>
      <c r="BZ18" s="158" t="s">
        <v>1178</v>
      </c>
      <c r="CA18" s="480" t="s">
        <v>383</v>
      </c>
      <c r="CB18" s="479" t="s">
        <v>79</v>
      </c>
      <c r="CC18" s="479">
        <v>0.3</v>
      </c>
      <c r="CE18" s="479">
        <v>7.7682000000000002</v>
      </c>
      <c r="CG18" s="162"/>
      <c r="CH18" s="174" t="s">
        <v>1132</v>
      </c>
      <c r="CI18" s="175">
        <v>4.9087385212340517E-2</v>
      </c>
      <c r="CJ18" s="176">
        <v>24</v>
      </c>
      <c r="CK18" s="177">
        <v>200</v>
      </c>
      <c r="CL18" s="178"/>
      <c r="CM18" s="497" t="s">
        <v>959</v>
      </c>
      <c r="CN18" s="203" t="s">
        <v>698</v>
      </c>
      <c r="CO18" s="203">
        <v>0</v>
      </c>
      <c r="CP18" s="203">
        <v>0</v>
      </c>
      <c r="CQ18" s="203"/>
      <c r="CR18" s="491"/>
      <c r="CT18" s="162" t="s">
        <v>235</v>
      </c>
      <c r="CU18" s="154" t="s">
        <v>567</v>
      </c>
      <c r="CV18" s="154">
        <v>0</v>
      </c>
      <c r="CZ18" s="162" t="s">
        <v>569</v>
      </c>
      <c r="DA18" s="154" t="s">
        <v>760</v>
      </c>
      <c r="DB18" s="154">
        <v>2.4543692999999998E-2</v>
      </c>
      <c r="DC18" s="154">
        <v>21.124366999999999</v>
      </c>
      <c r="DE18" s="162" t="s">
        <v>157</v>
      </c>
      <c r="DF18" s="154" t="s">
        <v>670</v>
      </c>
      <c r="DG18" s="154">
        <v>0.40325000999999999</v>
      </c>
      <c r="DH18" s="154">
        <v>-1.4208083</v>
      </c>
    </row>
    <row r="19" spans="1:112">
      <c r="A19" s="167"/>
      <c r="B19" s="169" t="s">
        <v>923</v>
      </c>
      <c r="C19" s="170">
        <v>4.5</v>
      </c>
      <c r="D19" s="170"/>
      <c r="E19" s="170"/>
      <c r="G19" s="162"/>
      <c r="L19" s="162"/>
      <c r="Q19" s="162" t="s">
        <v>366</v>
      </c>
      <c r="R19" s="154" t="s">
        <v>670</v>
      </c>
      <c r="S19" s="154">
        <v>0.3</v>
      </c>
      <c r="T19" s="154">
        <v>-0.65</v>
      </c>
      <c r="V19" s="162"/>
      <c r="W19" s="171" t="s">
        <v>923</v>
      </c>
      <c r="X19" s="170">
        <v>11.1972</v>
      </c>
      <c r="AA19" s="162"/>
      <c r="AB19" s="171" t="s">
        <v>923</v>
      </c>
      <c r="AC19" s="170">
        <v>11.1972</v>
      </c>
      <c r="AF19" s="162"/>
      <c r="AG19" s="171" t="s">
        <v>923</v>
      </c>
      <c r="AH19" s="170">
        <v>2.5</v>
      </c>
      <c r="AK19" s="162"/>
      <c r="AP19" s="162"/>
      <c r="AQ19" s="171" t="s">
        <v>923</v>
      </c>
      <c r="AR19" s="170">
        <v>36.01</v>
      </c>
      <c r="AV19" s="162" t="s">
        <v>1178</v>
      </c>
      <c r="AW19" s="158" t="s">
        <v>670</v>
      </c>
      <c r="AX19" s="158">
        <v>0.154</v>
      </c>
      <c r="AY19" s="158">
        <v>-8.4329999999999998</v>
      </c>
      <c r="AZ19" s="158"/>
      <c r="BA19" s="162"/>
      <c r="BB19" s="158" t="s">
        <v>567</v>
      </c>
      <c r="BC19" s="158">
        <v>0.12634999999999999</v>
      </c>
      <c r="BF19" s="162" t="s">
        <v>782</v>
      </c>
      <c r="BG19" s="154" t="s">
        <v>670</v>
      </c>
      <c r="BH19" s="154">
        <v>0.97</v>
      </c>
      <c r="BI19" s="154">
        <v>0.45358700000000002</v>
      </c>
      <c r="BK19" s="162" t="s">
        <v>367</v>
      </c>
      <c r="BL19" s="158" t="s">
        <v>1125</v>
      </c>
      <c r="BM19" s="158">
        <v>1.0326500000000001</v>
      </c>
      <c r="BN19" s="158">
        <v>0</v>
      </c>
      <c r="BQ19" s="162" t="s">
        <v>368</v>
      </c>
      <c r="BR19" s="158" t="s">
        <v>567</v>
      </c>
      <c r="BS19" s="158">
        <v>0.59</v>
      </c>
      <c r="BV19" s="162" t="s">
        <v>998</v>
      </c>
      <c r="BW19" s="158" t="s">
        <v>567</v>
      </c>
      <c r="BX19" s="158">
        <v>0.22500000000000001</v>
      </c>
      <c r="CA19" s="480" t="s">
        <v>384</v>
      </c>
      <c r="CB19" s="479" t="s">
        <v>567</v>
      </c>
      <c r="CC19" s="479">
        <v>0.23499999999999999</v>
      </c>
      <c r="CG19" s="162"/>
      <c r="CH19" s="174" t="s">
        <v>1077</v>
      </c>
      <c r="CI19" s="175">
        <v>4.9087385212340517E-2</v>
      </c>
      <c r="CJ19" s="176">
        <v>24</v>
      </c>
      <c r="CK19" s="179"/>
      <c r="CL19" s="178"/>
      <c r="CM19" s="497" t="s">
        <v>958</v>
      </c>
      <c r="CN19" s="203" t="s">
        <v>567</v>
      </c>
      <c r="CO19" s="203">
        <v>0.2</v>
      </c>
      <c r="CP19" s="203"/>
      <c r="CQ19" s="203"/>
      <c r="CR19" s="491"/>
      <c r="CT19" s="162" t="s">
        <v>369</v>
      </c>
      <c r="CU19" s="154" t="s">
        <v>567</v>
      </c>
      <c r="CV19" s="154">
        <v>0.2</v>
      </c>
      <c r="CZ19" s="162" t="s">
        <v>569</v>
      </c>
      <c r="DA19" s="154" t="s">
        <v>760</v>
      </c>
      <c r="DB19" s="154">
        <v>2.4543692999999998E-2</v>
      </c>
      <c r="DC19" s="154">
        <v>21.124366999999999</v>
      </c>
      <c r="DE19" s="162" t="s">
        <v>785</v>
      </c>
      <c r="DF19" s="154" t="s">
        <v>567</v>
      </c>
      <c r="DG19" s="154">
        <v>0.52692503000000002</v>
      </c>
    </row>
    <row r="20" spans="1:112">
      <c r="A20" s="167"/>
      <c r="B20" s="169" t="s">
        <v>1150</v>
      </c>
      <c r="C20" s="170">
        <v>-0.6</v>
      </c>
      <c r="D20" s="170"/>
      <c r="E20" s="170"/>
      <c r="G20" s="162" t="s">
        <v>366</v>
      </c>
      <c r="H20" s="154" t="s">
        <v>670</v>
      </c>
      <c r="I20" s="154">
        <v>0.3</v>
      </c>
      <c r="J20" s="154">
        <v>-0.65</v>
      </c>
      <c r="L20" s="162"/>
      <c r="Q20" s="162"/>
      <c r="R20" s="154" t="s">
        <v>567</v>
      </c>
      <c r="S20" s="154">
        <v>0.1618</v>
      </c>
      <c r="V20" s="162"/>
      <c r="W20" s="171" t="s">
        <v>1150</v>
      </c>
      <c r="X20" s="170">
        <v>5.2569999999999999E-2</v>
      </c>
      <c r="AA20" s="162"/>
      <c r="AB20" s="171" t="s">
        <v>1150</v>
      </c>
      <c r="AC20" s="170">
        <v>5.2569999999999999E-2</v>
      </c>
      <c r="AF20" s="162"/>
      <c r="AG20" s="171" t="s">
        <v>1150</v>
      </c>
      <c r="AH20" s="170">
        <v>0</v>
      </c>
      <c r="AK20" s="162" t="s">
        <v>567</v>
      </c>
      <c r="AL20" s="157" t="s">
        <v>567</v>
      </c>
      <c r="AM20" s="154">
        <v>3.0529999999999999</v>
      </c>
      <c r="AP20" s="162"/>
      <c r="AQ20" s="171" t="s">
        <v>1150</v>
      </c>
      <c r="AR20" s="170">
        <v>0.02</v>
      </c>
      <c r="AV20" s="162" t="s">
        <v>1178</v>
      </c>
      <c r="AW20" s="158" t="s">
        <v>254</v>
      </c>
      <c r="AX20"/>
      <c r="AY20"/>
      <c r="AZ20"/>
      <c r="BA20" s="162" t="s">
        <v>793</v>
      </c>
      <c r="BB20" s="158" t="s">
        <v>1125</v>
      </c>
      <c r="BC20" s="158">
        <f>1/2*1.298878</f>
        <v>0.64943899999999999</v>
      </c>
      <c r="BF20" s="162" t="s">
        <v>672</v>
      </c>
      <c r="BG20" s="154" t="s">
        <v>567</v>
      </c>
      <c r="BH20" s="154">
        <v>0.34</v>
      </c>
      <c r="BK20" s="162"/>
      <c r="BL20" s="158" t="s">
        <v>567</v>
      </c>
      <c r="BM20" s="158">
        <v>0.328295</v>
      </c>
      <c r="BQ20" s="162" t="s">
        <v>100</v>
      </c>
      <c r="BR20" s="158" t="s">
        <v>670</v>
      </c>
      <c r="BS20" s="158">
        <v>0.32</v>
      </c>
      <c r="BT20" s="158">
        <v>-0.71728800000000004</v>
      </c>
      <c r="BV20" s="162" t="s">
        <v>191</v>
      </c>
      <c r="BW20" s="158" t="s">
        <v>670</v>
      </c>
      <c r="BX20" s="158">
        <v>0.31</v>
      </c>
      <c r="BY20" s="158">
        <v>1.6793</v>
      </c>
      <c r="CA20" s="480" t="s">
        <v>385</v>
      </c>
      <c r="CB20" s="479" t="s">
        <v>670</v>
      </c>
      <c r="CC20" s="479">
        <v>0.6</v>
      </c>
      <c r="CD20" s="479">
        <v>1.2727999999999999</v>
      </c>
      <c r="CG20" s="162"/>
      <c r="CH20" s="159" t="s">
        <v>567</v>
      </c>
      <c r="CI20" s="180">
        <v>0.43212327476689538</v>
      </c>
      <c r="CJ20" s="165"/>
      <c r="CK20" s="165"/>
      <c r="CL20" s="181"/>
      <c r="CM20" s="498" t="s">
        <v>729</v>
      </c>
      <c r="CN20" s="157" t="s">
        <v>729</v>
      </c>
      <c r="CR20" s="165"/>
      <c r="CT20" s="162" t="s">
        <v>369</v>
      </c>
      <c r="CU20" s="154" t="s">
        <v>567</v>
      </c>
      <c r="CV20" s="154">
        <v>0.2</v>
      </c>
      <c r="CZ20" s="162">
        <v>6</v>
      </c>
      <c r="DA20" s="154" t="s">
        <v>1077</v>
      </c>
      <c r="DB20" s="154">
        <v>2.4543692999999998E-2</v>
      </c>
      <c r="DC20" s="154">
        <v>21.124366999999999</v>
      </c>
      <c r="DE20" s="162">
        <v>3</v>
      </c>
      <c r="DF20" s="154" t="s">
        <v>1077</v>
      </c>
      <c r="DG20" s="154">
        <v>2.4543692999999998E-2</v>
      </c>
      <c r="DH20" s="154">
        <v>23.364453999999999</v>
      </c>
    </row>
    <row r="21" spans="1:112">
      <c r="A21" s="167"/>
      <c r="B21" s="154" t="s">
        <v>591</v>
      </c>
      <c r="C21" s="182">
        <v>9.9999999999999995E-8</v>
      </c>
      <c r="D21" s="170"/>
      <c r="E21" s="170"/>
      <c r="G21" s="162"/>
      <c r="H21" s="154" t="s">
        <v>567</v>
      </c>
      <c r="I21" s="154">
        <v>0.1618</v>
      </c>
      <c r="L21" s="162"/>
      <c r="M21" s="154" t="s">
        <v>760</v>
      </c>
      <c r="N21" s="154">
        <v>4.759988869075444E-2</v>
      </c>
      <c r="O21" s="154">
        <v>22</v>
      </c>
      <c r="P21" s="154">
        <v>0</v>
      </c>
      <c r="Q21" s="162" t="s">
        <v>999</v>
      </c>
      <c r="R21" s="154" t="s">
        <v>1125</v>
      </c>
      <c r="S21" s="154">
        <v>0</v>
      </c>
      <c r="T21" s="154">
        <v>0</v>
      </c>
      <c r="V21" s="162"/>
      <c r="W21" s="157" t="s">
        <v>591</v>
      </c>
      <c r="X21" s="183">
        <v>1.2E-9</v>
      </c>
      <c r="AA21" s="162"/>
      <c r="AB21" s="157" t="s">
        <v>591</v>
      </c>
      <c r="AC21" s="183">
        <v>1.2E-9</v>
      </c>
      <c r="AF21" s="162"/>
      <c r="AG21" s="157" t="s">
        <v>591</v>
      </c>
      <c r="AH21" s="183">
        <v>3E-11</v>
      </c>
      <c r="AK21" s="162"/>
      <c r="AL21" s="157" t="s">
        <v>729</v>
      </c>
      <c r="AP21" s="162"/>
      <c r="AQ21" s="157" t="s">
        <v>591</v>
      </c>
      <c r="AR21" s="183">
        <f>0.00000000003</f>
        <v>3E-11</v>
      </c>
      <c r="BA21" s="162"/>
      <c r="BB21" s="158" t="s">
        <v>567</v>
      </c>
      <c r="BC21" s="158">
        <v>0.12634999999999999</v>
      </c>
      <c r="BF21" s="162" t="s">
        <v>92</v>
      </c>
      <c r="BG21" s="154" t="s">
        <v>567</v>
      </c>
      <c r="BH21" s="154">
        <v>0.15</v>
      </c>
      <c r="BK21" s="162" t="s">
        <v>191</v>
      </c>
      <c r="BL21" s="158" t="s">
        <v>670</v>
      </c>
      <c r="BM21" s="158">
        <v>0.94340999999999997</v>
      </c>
      <c r="BN21" s="158">
        <v>0.450488</v>
      </c>
      <c r="BQ21" s="162" t="s">
        <v>232</v>
      </c>
      <c r="BR21" s="158" t="s">
        <v>567</v>
      </c>
      <c r="BS21" s="158">
        <v>0.2</v>
      </c>
      <c r="BV21" s="162" t="s">
        <v>810</v>
      </c>
      <c r="BW21" s="158" t="s">
        <v>567</v>
      </c>
      <c r="BX21" s="158">
        <v>0.47499999999999998</v>
      </c>
      <c r="CA21" s="480" t="s">
        <v>198</v>
      </c>
      <c r="CB21" s="479" t="s">
        <v>567</v>
      </c>
      <c r="CC21" s="479">
        <v>0.46500000000000002</v>
      </c>
      <c r="CG21" s="162"/>
      <c r="CH21" s="184" t="s">
        <v>1125</v>
      </c>
      <c r="CI21" s="185">
        <v>0</v>
      </c>
      <c r="CJ21" s="186">
        <v>0</v>
      </c>
      <c r="CK21" s="187">
        <v>0</v>
      </c>
      <c r="CL21" s="188"/>
      <c r="CM21" s="499" t="s">
        <v>782</v>
      </c>
      <c r="CN21" s="493" t="s">
        <v>670</v>
      </c>
      <c r="CO21" s="493">
        <v>0.3</v>
      </c>
      <c r="CP21" s="493">
        <v>0.536991</v>
      </c>
      <c r="CQ21" s="493"/>
      <c r="CR21" s="209"/>
      <c r="CT21" s="162" t="s">
        <v>235</v>
      </c>
      <c r="CU21" s="154" t="s">
        <v>567</v>
      </c>
      <c r="CV21" s="154">
        <v>0</v>
      </c>
      <c r="CZ21" s="162" t="s">
        <v>1000</v>
      </c>
      <c r="DA21" s="154" t="s">
        <v>567</v>
      </c>
      <c r="DB21" s="154">
        <v>0.25</v>
      </c>
      <c r="DE21" s="162" t="s">
        <v>1001</v>
      </c>
      <c r="DF21" s="154" t="s">
        <v>760</v>
      </c>
      <c r="DG21" s="154">
        <v>2.4543692999999998E-2</v>
      </c>
      <c r="DH21" s="154">
        <v>23.364453999999999</v>
      </c>
    </row>
    <row r="22" spans="1:112">
      <c r="A22" s="167"/>
      <c r="B22" s="169" t="s">
        <v>906</v>
      </c>
      <c r="C22" s="170">
        <v>4.5</v>
      </c>
      <c r="D22" s="170"/>
      <c r="E22" s="170"/>
      <c r="G22" s="162" t="s">
        <v>575</v>
      </c>
      <c r="H22" s="154" t="s">
        <v>1125</v>
      </c>
      <c r="I22" s="154">
        <v>0</v>
      </c>
      <c r="J22" s="154">
        <v>0</v>
      </c>
      <c r="L22" s="162"/>
      <c r="M22" s="154" t="s">
        <v>1077</v>
      </c>
      <c r="N22" s="154">
        <v>4.759988869075444E-2</v>
      </c>
      <c r="O22" s="154">
        <v>21.995799999999999</v>
      </c>
      <c r="Q22" s="162"/>
      <c r="R22" s="154" t="s">
        <v>567</v>
      </c>
      <c r="S22" s="154">
        <v>0.24</v>
      </c>
      <c r="V22" s="162"/>
      <c r="W22" s="171" t="s">
        <v>906</v>
      </c>
      <c r="X22" s="170">
        <v>16.044899999999998</v>
      </c>
      <c r="AA22" s="162"/>
      <c r="AB22" s="171" t="s">
        <v>906</v>
      </c>
      <c r="AC22" s="170">
        <v>16.044899999999998</v>
      </c>
      <c r="AF22" s="162"/>
      <c r="AG22" s="171" t="s">
        <v>906</v>
      </c>
      <c r="AH22" s="170">
        <v>37</v>
      </c>
      <c r="AK22" s="162"/>
      <c r="AL22" s="157" t="s">
        <v>567</v>
      </c>
      <c r="AM22" s="154">
        <v>9.7975001000000006E-2</v>
      </c>
      <c r="AP22" s="162"/>
      <c r="AQ22" s="171" t="s">
        <v>906</v>
      </c>
      <c r="AR22" s="170">
        <v>6.91</v>
      </c>
      <c r="BA22" s="162" t="s">
        <v>1167</v>
      </c>
      <c r="BB22" s="158" t="s">
        <v>567</v>
      </c>
      <c r="BC22" s="158">
        <v>0.17365</v>
      </c>
      <c r="BF22" s="162" t="s">
        <v>1168</v>
      </c>
      <c r="BG22" s="154" t="s">
        <v>1125</v>
      </c>
      <c r="BH22" s="154">
        <v>-1.6517110500000001</v>
      </c>
      <c r="BK22" s="162"/>
      <c r="BL22" s="158" t="s">
        <v>567</v>
      </c>
      <c r="BM22" s="158">
        <v>9.5295000000000005E-2</v>
      </c>
      <c r="BQ22" s="162" t="s">
        <v>475</v>
      </c>
      <c r="BR22" s="158" t="s">
        <v>1125</v>
      </c>
      <c r="BS22" s="158">
        <v>-4.1045600000000002</v>
      </c>
      <c r="BT22" s="158" t="s">
        <v>1178</v>
      </c>
      <c r="BV22" s="162" t="s">
        <v>811</v>
      </c>
      <c r="BW22" s="158" t="s">
        <v>1125</v>
      </c>
      <c r="BX22" s="158">
        <v>-2.1469999999999998</v>
      </c>
      <c r="BY22" s="158" t="s">
        <v>1178</v>
      </c>
      <c r="CA22" s="480" t="s">
        <v>1035</v>
      </c>
      <c r="CB22" s="479" t="s">
        <v>670</v>
      </c>
      <c r="CC22" s="479">
        <v>0.3</v>
      </c>
      <c r="CD22" s="479">
        <v>-1.0071399999999999</v>
      </c>
      <c r="CG22" s="162"/>
      <c r="CH22" s="189" t="s">
        <v>670</v>
      </c>
      <c r="CI22" s="190">
        <v>0.57107820574259971</v>
      </c>
      <c r="CJ22" s="191">
        <v>2</v>
      </c>
      <c r="CK22" s="192">
        <v>0</v>
      </c>
      <c r="CL22" s="193">
        <v>0</v>
      </c>
      <c r="CM22" s="500" t="s">
        <v>205</v>
      </c>
      <c r="CN22" s="494" t="s">
        <v>567</v>
      </c>
      <c r="CO22" s="494">
        <v>0.15</v>
      </c>
      <c r="CP22" s="494"/>
      <c r="CQ22" s="494"/>
      <c r="CR22" s="492"/>
      <c r="CT22" s="162" t="s">
        <v>476</v>
      </c>
      <c r="CU22" s="154" t="s">
        <v>567</v>
      </c>
      <c r="CV22" s="154">
        <v>0.85</v>
      </c>
      <c r="CZ22" s="162" t="s">
        <v>1000</v>
      </c>
      <c r="DA22" s="154" t="s">
        <v>567</v>
      </c>
      <c r="DB22" s="154">
        <v>0.25</v>
      </c>
      <c r="DE22" s="162" t="s">
        <v>1001</v>
      </c>
      <c r="DF22" s="154" t="s">
        <v>760</v>
      </c>
      <c r="DG22" s="154">
        <v>2.4543692999999998E-2</v>
      </c>
      <c r="DH22" s="154">
        <v>23.364453999999999</v>
      </c>
    </row>
    <row r="23" spans="1:112">
      <c r="A23" s="194"/>
      <c r="B23" s="169" t="s">
        <v>477</v>
      </c>
      <c r="C23" s="170">
        <v>-0.6</v>
      </c>
      <c r="G23" s="162"/>
      <c r="H23" s="154" t="s">
        <v>567</v>
      </c>
      <c r="I23" s="154">
        <v>0.24</v>
      </c>
      <c r="L23" s="162"/>
      <c r="M23" s="154" t="s">
        <v>567</v>
      </c>
      <c r="N23" s="154">
        <v>0.38555000000000011</v>
      </c>
      <c r="Q23" s="162"/>
      <c r="R23" s="154" t="s">
        <v>567</v>
      </c>
      <c r="S23" s="154">
        <v>0</v>
      </c>
      <c r="V23" s="162"/>
      <c r="W23" s="171" t="s">
        <v>477</v>
      </c>
      <c r="X23" s="170">
        <v>-0.6</v>
      </c>
      <c r="AA23" s="162"/>
      <c r="AB23" s="171" t="s">
        <v>477</v>
      </c>
      <c r="AC23" s="170">
        <v>-0.6</v>
      </c>
      <c r="AF23" s="162"/>
      <c r="AG23" s="171" t="s">
        <v>477</v>
      </c>
      <c r="AH23" s="170">
        <v>0</v>
      </c>
      <c r="AK23" s="162" t="s">
        <v>568</v>
      </c>
      <c r="AL23" s="157" t="s">
        <v>670</v>
      </c>
      <c r="AM23" s="154">
        <v>0.43804999999999999</v>
      </c>
      <c r="AN23" s="154">
        <v>-0.114874</v>
      </c>
      <c r="AP23" s="162"/>
      <c r="AQ23" s="171" t="s">
        <v>477</v>
      </c>
      <c r="AR23" s="170">
        <v>2.91</v>
      </c>
      <c r="BA23" s="162" t="s">
        <v>54</v>
      </c>
      <c r="BB23" s="158" t="s">
        <v>670</v>
      </c>
      <c r="BC23" s="158">
        <v>0.5</v>
      </c>
      <c r="BD23" s="158">
        <v>-0.41158940999999999</v>
      </c>
      <c r="BF23" s="162" t="s">
        <v>92</v>
      </c>
      <c r="BG23" s="154" t="s">
        <v>567</v>
      </c>
      <c r="BH23" s="154">
        <v>0.15</v>
      </c>
      <c r="BK23" s="162"/>
      <c r="BL23" s="158" t="s">
        <v>729</v>
      </c>
      <c r="BQ23" s="162" t="s">
        <v>505</v>
      </c>
      <c r="BR23" s="158" t="s">
        <v>567</v>
      </c>
      <c r="BS23" s="158">
        <v>0.79</v>
      </c>
      <c r="BV23" s="162" t="s">
        <v>422</v>
      </c>
      <c r="BW23" s="158" t="s">
        <v>567</v>
      </c>
      <c r="BX23" s="158">
        <v>0.27500000000000002</v>
      </c>
      <c r="CA23" s="480" t="s">
        <v>1036</v>
      </c>
      <c r="CB23" s="479" t="s">
        <v>729</v>
      </c>
      <c r="CG23" s="162"/>
      <c r="CH23" s="184" t="s">
        <v>1125</v>
      </c>
      <c r="CI23" s="185">
        <v>8.2926523418447502</v>
      </c>
      <c r="CJ23" s="186">
        <v>0</v>
      </c>
      <c r="CK23" s="187">
        <v>0</v>
      </c>
      <c r="CL23" s="188"/>
      <c r="CM23" s="499" t="s">
        <v>960</v>
      </c>
      <c r="CN23" s="493" t="s">
        <v>567</v>
      </c>
      <c r="CO23" s="493">
        <v>0.1</v>
      </c>
      <c r="CP23" s="493"/>
      <c r="CQ23" s="493"/>
      <c r="CR23" s="209"/>
      <c r="CT23" s="162" t="s">
        <v>506</v>
      </c>
      <c r="CU23" s="154" t="s">
        <v>1077</v>
      </c>
      <c r="CV23" s="154">
        <v>2.8500000000000001E-2</v>
      </c>
      <c r="CW23" s="154">
        <v>25</v>
      </c>
      <c r="CX23" s="154">
        <v>0</v>
      </c>
      <c r="CZ23" s="162" t="s">
        <v>507</v>
      </c>
      <c r="DA23" s="154" t="s">
        <v>670</v>
      </c>
      <c r="DB23" s="154">
        <v>0.25</v>
      </c>
      <c r="DC23" s="154">
        <v>-0.74135059000000003</v>
      </c>
      <c r="DE23" s="162">
        <v>5</v>
      </c>
      <c r="DF23" s="154" t="s">
        <v>1077</v>
      </c>
      <c r="DG23" s="154">
        <v>2.4543692999999998E-2</v>
      </c>
      <c r="DH23" s="154">
        <v>23.364453999999999</v>
      </c>
    </row>
    <row r="24" spans="1:112">
      <c r="A24" s="194"/>
      <c r="B24" s="154" t="s">
        <v>508</v>
      </c>
      <c r="C24" s="182">
        <v>9.9999999999999995E-8</v>
      </c>
      <c r="D24" s="154"/>
      <c r="G24" s="162"/>
      <c r="H24" s="154" t="s">
        <v>1077</v>
      </c>
      <c r="I24" s="154">
        <v>4.759988869075444E-2</v>
      </c>
      <c r="J24" s="154">
        <v>21.995799999999999</v>
      </c>
      <c r="L24" s="162"/>
      <c r="M24" s="154" t="s">
        <v>698</v>
      </c>
      <c r="N24" s="154">
        <v>0</v>
      </c>
      <c r="O24" s="154">
        <v>0</v>
      </c>
      <c r="Q24" s="162"/>
      <c r="R24" s="154" t="s">
        <v>567</v>
      </c>
      <c r="S24" s="154">
        <v>1.0471975511965976</v>
      </c>
      <c r="V24" s="162"/>
      <c r="W24" s="157" t="s">
        <v>508</v>
      </c>
      <c r="X24" s="183">
        <v>1.2E-8</v>
      </c>
      <c r="AA24" s="162"/>
      <c r="AB24" s="157" t="s">
        <v>508</v>
      </c>
      <c r="AC24" s="183">
        <v>1.2E-8</v>
      </c>
      <c r="AF24" s="162"/>
      <c r="AG24" s="157" t="s">
        <v>508</v>
      </c>
      <c r="AH24" s="183">
        <v>4.0000000000000002E-9</v>
      </c>
      <c r="AK24" s="162"/>
      <c r="AL24" s="157" t="s">
        <v>567</v>
      </c>
      <c r="AM24" s="154">
        <v>0.33097500000000002</v>
      </c>
      <c r="AP24" s="162"/>
      <c r="AQ24" s="157" t="s">
        <v>508</v>
      </c>
      <c r="AR24" s="183">
        <v>4.0000000000000002E-9</v>
      </c>
      <c r="BA24" s="162" t="s">
        <v>699</v>
      </c>
      <c r="BB24" s="158" t="s">
        <v>567</v>
      </c>
      <c r="BC24" s="158">
        <v>0.83365</v>
      </c>
      <c r="BF24" s="162" t="s">
        <v>672</v>
      </c>
      <c r="BG24" s="154" t="s">
        <v>567</v>
      </c>
      <c r="BH24" s="154">
        <v>0.34</v>
      </c>
      <c r="BK24" s="162"/>
      <c r="BL24" s="158" t="s">
        <v>567</v>
      </c>
      <c r="BM24" s="158">
        <v>0.28299999999999997</v>
      </c>
      <c r="BQ24" s="162" t="s">
        <v>1076</v>
      </c>
      <c r="BR24" s="158" t="s">
        <v>1077</v>
      </c>
      <c r="BS24" s="158">
        <v>9.8174999999999998E-2</v>
      </c>
      <c r="BT24" s="158">
        <v>5.36</v>
      </c>
      <c r="BV24" s="162" t="s">
        <v>1076</v>
      </c>
      <c r="BW24" s="158" t="s">
        <v>1077</v>
      </c>
      <c r="BX24" s="158">
        <v>9.8174999999999998E-2</v>
      </c>
      <c r="BY24" s="158">
        <v>7.0470423000000002</v>
      </c>
      <c r="BZ24" s="154"/>
      <c r="CA24" s="481" t="s">
        <v>1037</v>
      </c>
      <c r="CB24" s="482" t="s">
        <v>567</v>
      </c>
      <c r="CC24" s="482">
        <v>0.2</v>
      </c>
      <c r="CD24" s="482"/>
      <c r="CE24" s="482"/>
      <c r="CF24" s="482"/>
      <c r="CG24" s="162"/>
      <c r="CH24" s="159" t="s">
        <v>567</v>
      </c>
      <c r="CI24" s="180">
        <v>0.56115666671075126</v>
      </c>
      <c r="CJ24" s="165"/>
      <c r="CK24" s="165"/>
      <c r="CL24" s="181"/>
      <c r="CM24" s="498" t="s">
        <v>961</v>
      </c>
      <c r="CN24" s="157" t="s">
        <v>770</v>
      </c>
      <c r="CO24" s="157">
        <v>0</v>
      </c>
      <c r="CP24" s="157">
        <v>1.8585529999999999</v>
      </c>
      <c r="CR24" s="165"/>
      <c r="CT24" s="162" t="s">
        <v>394</v>
      </c>
      <c r="CU24" s="154" t="s">
        <v>760</v>
      </c>
      <c r="CV24" s="154">
        <v>2.8500000000000001E-2</v>
      </c>
      <c r="CW24" s="154">
        <v>25</v>
      </c>
      <c r="CX24" s="154">
        <v>209</v>
      </c>
      <c r="CZ24" s="162" t="s">
        <v>1193</v>
      </c>
      <c r="DA24" s="154" t="s">
        <v>1125</v>
      </c>
      <c r="DB24" s="154">
        <v>-36.528995999999999</v>
      </c>
      <c r="DE24" s="162" t="s">
        <v>134</v>
      </c>
      <c r="DF24" s="154" t="s">
        <v>567</v>
      </c>
      <c r="DG24" s="154">
        <v>1.05057</v>
      </c>
    </row>
    <row r="25" spans="1:112">
      <c r="A25" s="195" t="s">
        <v>723</v>
      </c>
      <c r="B25" s="196" t="s">
        <v>567</v>
      </c>
      <c r="C25" s="197">
        <v>0.54900000000000004</v>
      </c>
      <c r="D25" s="198"/>
      <c r="E25" s="199"/>
      <c r="G25" s="162"/>
      <c r="H25" s="154" t="s">
        <v>760</v>
      </c>
      <c r="I25" s="154">
        <v>4.759988869075444E-2</v>
      </c>
      <c r="J25" s="154">
        <v>21.995799999999999</v>
      </c>
      <c r="L25" s="162"/>
      <c r="M25" s="154" t="s">
        <v>567</v>
      </c>
      <c r="N25" s="154">
        <v>0.16500000000000001</v>
      </c>
      <c r="Q25" s="162"/>
      <c r="R25" s="154" t="s">
        <v>567</v>
      </c>
      <c r="S25" s="154">
        <v>1.0471975511965976</v>
      </c>
      <c r="V25" s="162"/>
      <c r="AA25" s="162" t="s">
        <v>724</v>
      </c>
      <c r="AB25" s="157" t="s">
        <v>670</v>
      </c>
      <c r="AC25" s="154">
        <v>0.6</v>
      </c>
      <c r="AD25" s="154">
        <v>0.73</v>
      </c>
      <c r="AF25" s="162" t="s">
        <v>1033</v>
      </c>
      <c r="AG25" s="157" t="s">
        <v>567</v>
      </c>
      <c r="AH25" s="154">
        <v>-1.2250000000000001</v>
      </c>
      <c r="AK25" s="162" t="s">
        <v>367</v>
      </c>
      <c r="AL25" s="157" t="s">
        <v>1125</v>
      </c>
      <c r="AM25" s="154">
        <v>2.3440323119352402</v>
      </c>
      <c r="AN25" s="154">
        <v>0</v>
      </c>
      <c r="AP25" s="162"/>
      <c r="BA25" s="162"/>
      <c r="BB25" s="158" t="s">
        <v>567</v>
      </c>
      <c r="BC25" s="158">
        <v>0.12634999999999999</v>
      </c>
      <c r="BF25" s="162" t="s">
        <v>54</v>
      </c>
      <c r="BG25" s="154" t="s">
        <v>670</v>
      </c>
      <c r="BH25" s="154">
        <v>0.51</v>
      </c>
      <c r="BI25" s="154">
        <v>-0.473576</v>
      </c>
      <c r="BK25" s="162" t="s">
        <v>493</v>
      </c>
      <c r="BL25" s="158" t="s">
        <v>1125</v>
      </c>
      <c r="BM25" s="158">
        <v>-1.1666300000000001</v>
      </c>
      <c r="BN25" s="158">
        <v>0</v>
      </c>
      <c r="BQ25" s="162" t="s">
        <v>611</v>
      </c>
      <c r="BR25" s="158" t="s">
        <v>1132</v>
      </c>
      <c r="BS25" s="158">
        <v>9.8174999999999998E-2</v>
      </c>
      <c r="BT25" s="158">
        <v>5.36</v>
      </c>
      <c r="BV25" s="162" t="s">
        <v>821</v>
      </c>
      <c r="BW25" s="158" t="s">
        <v>1132</v>
      </c>
      <c r="BX25" s="158">
        <f>1.383684/BY25/2</f>
        <v>9.8174804484996478E-2</v>
      </c>
      <c r="BY25" s="158">
        <v>7.0470423000000002</v>
      </c>
      <c r="BZ25" s="154">
        <v>29.1260622368907</v>
      </c>
      <c r="CA25" s="481" t="s">
        <v>1038</v>
      </c>
      <c r="CB25" s="482" t="s">
        <v>79</v>
      </c>
      <c r="CC25" s="482">
        <v>0.3</v>
      </c>
      <c r="CD25" s="482"/>
      <c r="CE25" s="482">
        <v>-15.7239</v>
      </c>
      <c r="CF25" s="482"/>
      <c r="CG25" s="162"/>
      <c r="CH25" s="184" t="s">
        <v>1125</v>
      </c>
      <c r="CI25" s="185">
        <v>0</v>
      </c>
      <c r="CJ25" s="186">
        <v>0</v>
      </c>
      <c r="CK25" s="187">
        <v>0</v>
      </c>
      <c r="CL25" s="188"/>
      <c r="CM25" s="499" t="s">
        <v>960</v>
      </c>
      <c r="CN25" s="493" t="s">
        <v>567</v>
      </c>
      <c r="CO25" s="493">
        <v>0.1</v>
      </c>
      <c r="CP25" s="493"/>
      <c r="CQ25" s="493"/>
      <c r="CR25" s="209"/>
      <c r="CT25" s="162" t="s">
        <v>394</v>
      </c>
      <c r="CU25" s="154" t="s">
        <v>760</v>
      </c>
      <c r="CV25" s="154">
        <v>2.8500000000000001E-2</v>
      </c>
      <c r="CW25" s="154">
        <v>25</v>
      </c>
      <c r="CX25" s="154">
        <v>209</v>
      </c>
      <c r="CZ25" s="162" t="s">
        <v>507</v>
      </c>
      <c r="DA25" s="154" t="s">
        <v>670</v>
      </c>
      <c r="DB25" s="154">
        <v>0.25</v>
      </c>
      <c r="DC25" s="154">
        <v>-0.74135059000000003</v>
      </c>
      <c r="DE25" s="162" t="s">
        <v>202</v>
      </c>
      <c r="DF25" s="154" t="s">
        <v>567</v>
      </c>
      <c r="DG25" s="154">
        <v>5.2650001000000002E-2</v>
      </c>
    </row>
    <row r="26" spans="1:112" ht="15.75">
      <c r="A26" s="194" t="s">
        <v>203</v>
      </c>
      <c r="B26" s="200" t="s">
        <v>698</v>
      </c>
      <c r="C26" s="201">
        <v>0</v>
      </c>
      <c r="D26" s="201">
        <v>0</v>
      </c>
      <c r="G26" s="162"/>
      <c r="H26" s="154" t="s">
        <v>760</v>
      </c>
      <c r="I26" s="154">
        <v>4.759988869075444E-2</v>
      </c>
      <c r="J26" s="154">
        <v>21.995799999999999</v>
      </c>
      <c r="L26" s="162"/>
      <c r="M26" s="154" t="s">
        <v>729</v>
      </c>
      <c r="Q26" s="162"/>
      <c r="R26" s="154" t="s">
        <v>567</v>
      </c>
      <c r="S26" s="154">
        <v>0</v>
      </c>
      <c r="V26" s="202" t="s">
        <v>6</v>
      </c>
      <c r="W26" s="203" t="s">
        <v>760</v>
      </c>
      <c r="X26" s="179">
        <v>5.7700000000000001E-2</v>
      </c>
      <c r="Y26" s="204">
        <v>-15.5</v>
      </c>
      <c r="AA26" s="162"/>
      <c r="AB26" s="157" t="s">
        <v>567</v>
      </c>
      <c r="AC26" s="154">
        <v>0.71199999999999997</v>
      </c>
      <c r="AF26" s="162" t="s">
        <v>7</v>
      </c>
      <c r="AG26" s="157" t="s">
        <v>760</v>
      </c>
      <c r="AH26" s="154">
        <v>2.1816599999999998E-2</v>
      </c>
      <c r="AI26" s="154">
        <v>22.918299999999999</v>
      </c>
      <c r="AK26" s="162"/>
      <c r="AL26" s="157" t="s">
        <v>567</v>
      </c>
      <c r="AM26" s="154">
        <v>0.32829499000000001</v>
      </c>
      <c r="AP26" s="162"/>
      <c r="AQ26" s="157" t="s">
        <v>567</v>
      </c>
      <c r="AR26" s="154">
        <f>0.95475/2</f>
        <v>0.47737499999999999</v>
      </c>
      <c r="BA26" s="162" t="s">
        <v>1168</v>
      </c>
      <c r="BB26" s="158" t="s">
        <v>1125</v>
      </c>
      <c r="BC26" s="158">
        <f>1/2*-2.898469</f>
        <v>-1.4492345</v>
      </c>
      <c r="BF26" s="162" t="s">
        <v>1167</v>
      </c>
      <c r="BG26" s="154" t="s">
        <v>567</v>
      </c>
      <c r="BH26" s="154">
        <v>1.1245000000000001</v>
      </c>
      <c r="BK26" s="162" t="s">
        <v>1025</v>
      </c>
      <c r="BL26" s="158" t="s">
        <v>698</v>
      </c>
      <c r="BM26" s="158">
        <v>0</v>
      </c>
      <c r="BN26" s="158">
        <v>0</v>
      </c>
      <c r="BQ26" s="162" t="s">
        <v>908</v>
      </c>
      <c r="BR26" s="158" t="s">
        <v>1132</v>
      </c>
      <c r="BS26" s="158">
        <v>9.8174999999999998E-2</v>
      </c>
      <c r="BT26" s="158">
        <v>5.36</v>
      </c>
      <c r="BV26" s="162" t="s">
        <v>821</v>
      </c>
      <c r="BW26" s="158" t="s">
        <v>1132</v>
      </c>
      <c r="BX26" s="158">
        <f>1.383684/BY26/2</f>
        <v>9.8174804484996478E-2</v>
      </c>
      <c r="BY26" s="158">
        <v>7.0470423000000002</v>
      </c>
      <c r="BZ26" s="154">
        <v>29.1260622368907</v>
      </c>
      <c r="CA26" s="481" t="s">
        <v>1039</v>
      </c>
      <c r="CB26" s="482" t="s">
        <v>567</v>
      </c>
      <c r="CC26" s="482">
        <v>0.66749999999999998</v>
      </c>
      <c r="CD26" s="482"/>
      <c r="CE26" s="482"/>
      <c r="CF26" s="482"/>
      <c r="CG26" s="162"/>
      <c r="CH26" s="189" t="s">
        <v>670</v>
      </c>
      <c r="CI26" s="190">
        <v>0.25141041358937133</v>
      </c>
      <c r="CJ26" s="191">
        <v>-2</v>
      </c>
      <c r="CK26" s="192">
        <v>0</v>
      </c>
      <c r="CL26" s="193">
        <v>0</v>
      </c>
      <c r="CM26" s="500" t="s">
        <v>382</v>
      </c>
      <c r="CN26" s="494" t="s">
        <v>567</v>
      </c>
      <c r="CO26" s="494">
        <v>0.15</v>
      </c>
      <c r="CP26" s="494"/>
      <c r="CQ26" s="494"/>
      <c r="CR26" s="492"/>
      <c r="CT26" s="162" t="s">
        <v>506</v>
      </c>
      <c r="CU26" s="154" t="s">
        <v>1077</v>
      </c>
      <c r="CV26" s="154">
        <v>2.8500000000000001E-2</v>
      </c>
      <c r="CW26" s="154">
        <v>25</v>
      </c>
      <c r="CX26" s="154">
        <v>0</v>
      </c>
      <c r="CZ26" s="162" t="s">
        <v>909</v>
      </c>
      <c r="DA26" s="154" t="s">
        <v>567</v>
      </c>
      <c r="DB26" s="154">
        <v>0.15000000999999999</v>
      </c>
      <c r="DE26" s="162" t="s">
        <v>507</v>
      </c>
      <c r="DF26" s="154" t="s">
        <v>670</v>
      </c>
      <c r="DG26" s="154">
        <v>0.10585</v>
      </c>
      <c r="DH26" s="154">
        <v>-2.0475066000000002</v>
      </c>
    </row>
    <row r="27" spans="1:112">
      <c r="A27" s="194" t="s">
        <v>1093</v>
      </c>
      <c r="B27" s="159" t="s">
        <v>567</v>
      </c>
      <c r="C27" s="170">
        <v>0.2</v>
      </c>
      <c r="D27" s="165"/>
      <c r="G27" s="162"/>
      <c r="H27" s="154" t="s">
        <v>1077</v>
      </c>
      <c r="I27" s="154">
        <v>4.759988869075444E-2</v>
      </c>
      <c r="J27" s="154">
        <v>21.995799999999999</v>
      </c>
      <c r="L27" s="162"/>
      <c r="M27" s="154" t="s">
        <v>567</v>
      </c>
      <c r="N27" s="154">
        <v>0.19500000000000001</v>
      </c>
      <c r="Q27" s="162"/>
      <c r="R27" s="154" t="s">
        <v>567</v>
      </c>
      <c r="S27" s="154">
        <v>0.38555000000000011</v>
      </c>
      <c r="V27" s="194" t="s">
        <v>1093</v>
      </c>
      <c r="W27" s="163" t="s">
        <v>567</v>
      </c>
      <c r="X27" s="170">
        <v>0.15</v>
      </c>
      <c r="Y27" s="165"/>
      <c r="AA27" s="162" t="s">
        <v>291</v>
      </c>
      <c r="AB27" s="157" t="s">
        <v>698</v>
      </c>
      <c r="AC27" s="154">
        <v>1.1499999999999999</v>
      </c>
      <c r="AD27" s="154">
        <v>0</v>
      </c>
      <c r="AF27" s="162" t="s">
        <v>1084</v>
      </c>
      <c r="AG27" s="157" t="s">
        <v>567</v>
      </c>
      <c r="AH27" s="154">
        <v>1.2250000000000001</v>
      </c>
      <c r="AK27" s="162" t="s">
        <v>191</v>
      </c>
      <c r="AL27" s="157" t="s">
        <v>670</v>
      </c>
      <c r="AM27" s="154">
        <v>0.94340997999999998</v>
      </c>
      <c r="AN27" s="154">
        <v>0.450488</v>
      </c>
      <c r="AP27" s="162" t="s">
        <v>1069</v>
      </c>
      <c r="AQ27" s="157" t="s">
        <v>698</v>
      </c>
      <c r="AR27" s="154">
        <v>0</v>
      </c>
      <c r="AS27" s="154">
        <v>0</v>
      </c>
      <c r="BA27" s="162"/>
      <c r="BB27" s="158" t="s">
        <v>567</v>
      </c>
      <c r="BC27" s="158">
        <v>0.12634999999999999</v>
      </c>
      <c r="BF27" s="162"/>
      <c r="BG27" s="154" t="s">
        <v>1077</v>
      </c>
      <c r="BH27" s="154">
        <v>3.5699916518065831E-2</v>
      </c>
      <c r="BI27" s="154">
        <v>39.271800517811357</v>
      </c>
      <c r="BK27" s="162"/>
      <c r="BL27" s="158" t="s">
        <v>567</v>
      </c>
      <c r="BM27" s="158">
        <v>0.33316499999999999</v>
      </c>
      <c r="BQ27" s="162" t="s">
        <v>741</v>
      </c>
      <c r="BR27" s="158" t="s">
        <v>1077</v>
      </c>
      <c r="BS27" s="158">
        <v>9.8174999999999998E-2</v>
      </c>
      <c r="BT27" s="158">
        <v>5.36</v>
      </c>
      <c r="BV27" s="162" t="s">
        <v>741</v>
      </c>
      <c r="BW27" s="158" t="s">
        <v>1077</v>
      </c>
      <c r="BX27" s="158">
        <v>9.8174999999999998E-2</v>
      </c>
      <c r="BY27" s="158">
        <v>7.0470423000000002</v>
      </c>
      <c r="BZ27" s="154"/>
      <c r="CA27" s="481"/>
      <c r="CB27" s="482" t="s">
        <v>1077</v>
      </c>
      <c r="CC27" s="482">
        <v>6.5449999999999994E-2</v>
      </c>
      <c r="CD27" s="482">
        <v>7.1504969999999997</v>
      </c>
      <c r="CE27" s="482"/>
      <c r="CF27" s="482"/>
      <c r="CG27" s="162"/>
      <c r="CH27" s="184" t="s">
        <v>1125</v>
      </c>
      <c r="CI27" s="185">
        <v>-5.4850102356818597</v>
      </c>
      <c r="CJ27" s="186">
        <v>0</v>
      </c>
      <c r="CK27" s="187">
        <v>0</v>
      </c>
      <c r="CL27" s="188"/>
      <c r="CM27" s="499" t="s">
        <v>54</v>
      </c>
      <c r="CN27" s="493" t="s">
        <v>670</v>
      </c>
      <c r="CO27" s="493">
        <v>0.3</v>
      </c>
      <c r="CP27" s="493">
        <v>1.646253</v>
      </c>
      <c r="CQ27" s="493"/>
      <c r="CR27" s="209"/>
      <c r="CT27" s="162" t="s">
        <v>1070</v>
      </c>
      <c r="CU27" s="154" t="s">
        <v>567</v>
      </c>
      <c r="CV27" s="154">
        <v>0.48499999999999999</v>
      </c>
      <c r="CZ27" s="162" t="s">
        <v>909</v>
      </c>
      <c r="DA27" s="154" t="s">
        <v>567</v>
      </c>
      <c r="DB27" s="154">
        <v>0.15000000999999999</v>
      </c>
      <c r="DE27" s="162" t="s">
        <v>1193</v>
      </c>
      <c r="DF27" s="154" t="s">
        <v>1125</v>
      </c>
      <c r="DG27" s="154">
        <v>-8.002950499999999</v>
      </c>
    </row>
    <row r="28" spans="1:112" ht="15.75">
      <c r="A28" s="194" t="s">
        <v>981</v>
      </c>
      <c r="B28" s="200" t="s">
        <v>698</v>
      </c>
      <c r="C28" s="201">
        <v>0</v>
      </c>
      <c r="D28" s="201">
        <v>0</v>
      </c>
      <c r="G28" s="162"/>
      <c r="H28" s="154" t="s">
        <v>567</v>
      </c>
      <c r="I28" s="154">
        <v>0.38600000000000001</v>
      </c>
      <c r="L28" s="162"/>
      <c r="M28" s="154" t="s">
        <v>670</v>
      </c>
      <c r="N28" s="154">
        <v>0.6</v>
      </c>
      <c r="O28" s="154">
        <v>-0.65</v>
      </c>
      <c r="P28" s="154">
        <v>0</v>
      </c>
      <c r="Q28" s="162" t="s">
        <v>148</v>
      </c>
      <c r="R28" s="154" t="s">
        <v>698</v>
      </c>
      <c r="S28" s="154">
        <v>0</v>
      </c>
      <c r="T28" s="154">
        <v>0</v>
      </c>
      <c r="V28" s="202" t="s">
        <v>149</v>
      </c>
      <c r="W28" s="203" t="s">
        <v>760</v>
      </c>
      <c r="X28" s="179">
        <v>3.4599999999999999E-2</v>
      </c>
      <c r="Y28" s="204">
        <v>-15.5</v>
      </c>
      <c r="AA28" s="162"/>
      <c r="AB28" s="157" t="s">
        <v>567</v>
      </c>
      <c r="AC28" s="154">
        <v>2.5299999999999998</v>
      </c>
      <c r="AF28" s="162" t="s">
        <v>364</v>
      </c>
      <c r="AG28" s="157" t="s">
        <v>760</v>
      </c>
      <c r="AH28" s="154">
        <v>4.2673299999999997E-2</v>
      </c>
      <c r="AI28" s="154">
        <v>22.918299999999999</v>
      </c>
      <c r="AK28" s="162"/>
      <c r="AL28" s="157" t="s">
        <v>567</v>
      </c>
      <c r="AM28" s="154">
        <v>9.5294997000000006E-2</v>
      </c>
      <c r="AP28" s="162"/>
      <c r="AQ28" s="157" t="s">
        <v>567</v>
      </c>
      <c r="AR28" s="154">
        <f>0.95475/2</f>
        <v>0.47737499999999999</v>
      </c>
      <c r="BA28" s="162" t="s">
        <v>1049</v>
      </c>
      <c r="BB28" s="158" t="s">
        <v>567</v>
      </c>
      <c r="BC28" s="158">
        <v>0.22364999999999999</v>
      </c>
      <c r="BF28" s="162"/>
      <c r="BG28" s="154" t="s">
        <v>760</v>
      </c>
      <c r="BH28" s="154">
        <v>3.5699916518065831E-2</v>
      </c>
      <c r="BI28" s="154">
        <v>39.271800517811357</v>
      </c>
      <c r="BK28" s="162" t="s">
        <v>157</v>
      </c>
      <c r="BL28" s="158" t="s">
        <v>670</v>
      </c>
      <c r="BM28" s="158">
        <v>0.53366999999999998</v>
      </c>
      <c r="BN28" s="158">
        <v>-0.61749799999999999</v>
      </c>
      <c r="BQ28" s="162" t="s">
        <v>993</v>
      </c>
      <c r="BR28" s="158" t="s">
        <v>567</v>
      </c>
      <c r="BS28" s="158">
        <v>0.44</v>
      </c>
      <c r="BV28" s="162" t="s">
        <v>742</v>
      </c>
      <c r="BW28" s="158" t="s">
        <v>567</v>
      </c>
      <c r="BX28" s="158">
        <v>0.27500000000000002</v>
      </c>
      <c r="CA28" s="480"/>
      <c r="CB28" s="479" t="s">
        <v>1132</v>
      </c>
      <c r="CC28" s="479">
        <v>0.13089999999999999</v>
      </c>
      <c r="CD28" s="479">
        <v>7.1504969999999997</v>
      </c>
      <c r="CG28" s="162"/>
      <c r="CH28" s="159" t="s">
        <v>567</v>
      </c>
      <c r="CI28" s="180">
        <v>2.0061341940942099</v>
      </c>
      <c r="CJ28" s="165"/>
      <c r="CK28" s="165"/>
      <c r="CL28" s="181"/>
      <c r="CM28" s="498" t="s">
        <v>1043</v>
      </c>
      <c r="CN28" s="157" t="s">
        <v>567</v>
      </c>
      <c r="CO28" s="157">
        <v>0.15</v>
      </c>
      <c r="CR28" s="165"/>
      <c r="CT28" s="162" t="s">
        <v>1193</v>
      </c>
      <c r="CU28" s="154" t="s">
        <v>1125</v>
      </c>
      <c r="CV28" s="154">
        <v>9.9999999999999995E-7</v>
      </c>
      <c r="CW28" s="154">
        <v>0</v>
      </c>
      <c r="CZ28" s="162" t="s">
        <v>578</v>
      </c>
      <c r="DA28" s="154" t="s">
        <v>670</v>
      </c>
      <c r="DB28" s="154">
        <v>0.40000001000000002</v>
      </c>
      <c r="DC28" s="154">
        <v>1.6648122999999999</v>
      </c>
      <c r="DE28" s="162" t="s">
        <v>507</v>
      </c>
      <c r="DF28" s="154" t="s">
        <v>670</v>
      </c>
      <c r="DG28" s="154">
        <v>0.10585</v>
      </c>
      <c r="DH28" s="154">
        <v>-2.0475066000000002</v>
      </c>
    </row>
    <row r="29" spans="1:112">
      <c r="A29" s="194" t="s">
        <v>994</v>
      </c>
      <c r="B29" s="159" t="s">
        <v>567</v>
      </c>
      <c r="C29" s="170">
        <v>0.26880999999999999</v>
      </c>
      <c r="D29" s="165"/>
      <c r="G29" s="162" t="s">
        <v>588</v>
      </c>
      <c r="H29" s="154" t="s">
        <v>698</v>
      </c>
      <c r="I29" s="154">
        <v>0</v>
      </c>
      <c r="J29" s="154">
        <v>0</v>
      </c>
      <c r="L29" s="162"/>
      <c r="M29" s="154" t="s">
        <v>567</v>
      </c>
      <c r="N29" s="154">
        <v>0.1618</v>
      </c>
      <c r="Q29" s="162"/>
      <c r="R29" s="154" t="s">
        <v>567</v>
      </c>
      <c r="S29" s="154">
        <v>0.16500000000000001</v>
      </c>
      <c r="V29" s="194" t="s">
        <v>1093</v>
      </c>
      <c r="W29" s="163" t="s">
        <v>567</v>
      </c>
      <c r="X29" s="170">
        <v>0.3</v>
      </c>
      <c r="Y29" s="165"/>
      <c r="AA29" s="162" t="s">
        <v>589</v>
      </c>
      <c r="AB29" s="157" t="s">
        <v>670</v>
      </c>
      <c r="AC29" s="154">
        <v>0.6</v>
      </c>
      <c r="AD29" s="154">
        <v>-0.65</v>
      </c>
      <c r="AF29" s="162" t="s">
        <v>87</v>
      </c>
      <c r="AG29" s="157" t="s">
        <v>567</v>
      </c>
      <c r="AH29" s="154">
        <v>0.15</v>
      </c>
      <c r="AK29" s="162"/>
      <c r="AL29" s="157" t="s">
        <v>729</v>
      </c>
      <c r="AP29" s="162"/>
      <c r="AQ29" s="157" t="s">
        <v>1077</v>
      </c>
      <c r="AR29" s="154">
        <v>0.05</v>
      </c>
      <c r="AS29" s="154">
        <v>23.366299999999999</v>
      </c>
      <c r="BA29" s="162"/>
      <c r="BB29" s="158" t="s">
        <v>1077</v>
      </c>
      <c r="BC29" s="158">
        <f>PI()/80</f>
        <v>3.9269908169872414E-2</v>
      </c>
      <c r="BD29" s="158">
        <v>38.961130068895983</v>
      </c>
      <c r="BF29" s="162"/>
      <c r="BG29" s="154" t="s">
        <v>760</v>
      </c>
      <c r="BH29" s="154">
        <v>3.5699916518065831E-2</v>
      </c>
      <c r="BI29" s="154">
        <v>39.271800517811357</v>
      </c>
      <c r="BK29" s="162"/>
      <c r="BL29" s="158" t="s">
        <v>567</v>
      </c>
      <c r="BM29" s="158">
        <v>1.05542</v>
      </c>
      <c r="BQ29" s="162" t="s">
        <v>283</v>
      </c>
      <c r="BR29" s="158" t="s">
        <v>670</v>
      </c>
      <c r="BS29" s="158">
        <v>0.32</v>
      </c>
      <c r="BT29" s="158">
        <v>-1.3942300000000001</v>
      </c>
      <c r="BV29" s="162" t="s">
        <v>989</v>
      </c>
      <c r="BW29" s="158" t="s">
        <v>1125</v>
      </c>
      <c r="BX29" s="158">
        <v>-5.57</v>
      </c>
      <c r="CA29" s="480"/>
      <c r="CB29" s="479" t="s">
        <v>1077</v>
      </c>
      <c r="CC29" s="479">
        <v>6.5449999999999994E-2</v>
      </c>
      <c r="CD29" s="479">
        <v>7.1504969999999997</v>
      </c>
      <c r="CG29" s="162"/>
      <c r="CH29" s="184" t="s">
        <v>1125</v>
      </c>
      <c r="CI29" s="185">
        <v>0</v>
      </c>
      <c r="CJ29" s="186">
        <v>0</v>
      </c>
      <c r="CK29" s="187">
        <v>0</v>
      </c>
      <c r="CL29" s="188"/>
      <c r="CM29" s="499" t="s">
        <v>962</v>
      </c>
      <c r="CN29" s="493" t="s">
        <v>567</v>
      </c>
      <c r="CO29" s="493">
        <v>0.1</v>
      </c>
      <c r="CP29" s="493"/>
      <c r="CQ29" s="493"/>
      <c r="CR29" s="209"/>
      <c r="CT29" s="162" t="s">
        <v>1070</v>
      </c>
      <c r="CU29" s="154" t="s">
        <v>567</v>
      </c>
      <c r="CV29" s="154">
        <v>0.48499999999999999</v>
      </c>
      <c r="CZ29" s="162" t="s">
        <v>284</v>
      </c>
      <c r="DA29" s="154" t="s">
        <v>1125</v>
      </c>
      <c r="DB29" s="154">
        <v>40.656935999999995</v>
      </c>
      <c r="DE29" s="162" t="s">
        <v>1133</v>
      </c>
      <c r="DF29" s="154" t="s">
        <v>567</v>
      </c>
      <c r="DG29" s="154">
        <v>0.16914999</v>
      </c>
    </row>
    <row r="30" spans="1:112">
      <c r="A30" s="205" t="s">
        <v>334</v>
      </c>
      <c r="B30" s="189" t="s">
        <v>670</v>
      </c>
      <c r="C30" s="206">
        <v>0.22</v>
      </c>
      <c r="D30" s="206">
        <v>2.7213799999999999</v>
      </c>
      <c r="G30" s="162"/>
      <c r="H30" s="154" t="s">
        <v>567</v>
      </c>
      <c r="I30" s="154">
        <v>0.16500000000000001</v>
      </c>
      <c r="L30" s="162"/>
      <c r="M30" s="154" t="s">
        <v>1125</v>
      </c>
      <c r="N30" s="154">
        <v>0</v>
      </c>
      <c r="O30" s="154">
        <v>0</v>
      </c>
      <c r="P30" s="154">
        <v>0</v>
      </c>
      <c r="Q30" s="162"/>
      <c r="R30" s="154" t="s">
        <v>729</v>
      </c>
      <c r="V30" s="207" t="s">
        <v>370</v>
      </c>
      <c r="W30" s="208" t="s">
        <v>729</v>
      </c>
      <c r="X30" s="209"/>
      <c r="Y30" s="165"/>
      <c r="AA30" s="162"/>
      <c r="AB30" s="157" t="s">
        <v>567</v>
      </c>
      <c r="AC30" s="154">
        <v>3.242</v>
      </c>
      <c r="AF30" s="162" t="s">
        <v>371</v>
      </c>
      <c r="AG30" s="157" t="s">
        <v>760</v>
      </c>
      <c r="AH30" s="154">
        <v>4.2673299999999997E-2</v>
      </c>
      <c r="AI30" s="154">
        <v>22.918299999999999</v>
      </c>
      <c r="AK30" s="162"/>
      <c r="AL30" s="157" t="s">
        <v>567</v>
      </c>
      <c r="AM30" s="154">
        <v>0.28299998999999998</v>
      </c>
      <c r="AP30" s="162" t="s">
        <v>175</v>
      </c>
      <c r="AQ30" s="157" t="s">
        <v>1132</v>
      </c>
      <c r="AR30" s="154">
        <v>5.8497881525301785E-3</v>
      </c>
      <c r="AS30" s="154">
        <v>50.036000000000001</v>
      </c>
      <c r="BA30" s="162"/>
      <c r="BB30" s="158" t="s">
        <v>760</v>
      </c>
      <c r="BC30" s="158">
        <v>3.9269908169872414E-2</v>
      </c>
      <c r="BD30" s="158">
        <v>38.961130068895983</v>
      </c>
      <c r="BE30" s="158">
        <v>0</v>
      </c>
      <c r="BF30" s="162"/>
      <c r="BG30" s="154" t="s">
        <v>1077</v>
      </c>
      <c r="BH30" s="154">
        <v>3.5699916518065831E-2</v>
      </c>
      <c r="BI30" s="154">
        <v>39.271800517811357</v>
      </c>
      <c r="BK30" s="162"/>
      <c r="BL30" s="158" t="s">
        <v>1077</v>
      </c>
      <c r="BM30" s="158">
        <v>4.9087401000000003E-2</v>
      </c>
      <c r="BN30" s="158">
        <v>23.366299999999999</v>
      </c>
      <c r="BQ30" s="162" t="s">
        <v>779</v>
      </c>
      <c r="BR30" s="158" t="s">
        <v>567</v>
      </c>
      <c r="BS30" s="158">
        <v>0.2</v>
      </c>
      <c r="BV30" s="162" t="s">
        <v>990</v>
      </c>
      <c r="BW30" s="158" t="s">
        <v>567</v>
      </c>
      <c r="BX30" s="158">
        <v>0.22500000000000001</v>
      </c>
      <c r="CA30" s="480" t="s">
        <v>1040</v>
      </c>
      <c r="CB30" s="479" t="s">
        <v>567</v>
      </c>
      <c r="CC30" s="479">
        <v>0.58750000000000002</v>
      </c>
      <c r="CG30" s="162"/>
      <c r="CH30" s="210" t="s">
        <v>254</v>
      </c>
      <c r="CI30" s="211"/>
      <c r="CJ30" s="212"/>
      <c r="CK30" s="212"/>
      <c r="CL30" s="213"/>
      <c r="CM30" s="498" t="s">
        <v>963</v>
      </c>
      <c r="CN30" s="157" t="s">
        <v>770</v>
      </c>
      <c r="CO30" s="157">
        <v>0</v>
      </c>
      <c r="CP30" s="157">
        <v>-3.3193349999999997</v>
      </c>
      <c r="CR30" s="165"/>
      <c r="CT30" s="162" t="s">
        <v>159</v>
      </c>
      <c r="CU30" s="154" t="s">
        <v>670</v>
      </c>
      <c r="CV30" s="154">
        <v>0.25</v>
      </c>
      <c r="CW30" s="154">
        <v>-0.59499999999999997</v>
      </c>
      <c r="CZ30" s="162" t="s">
        <v>578</v>
      </c>
      <c r="DA30" s="154" t="s">
        <v>670</v>
      </c>
      <c r="DB30" s="154">
        <v>0.40000001000000002</v>
      </c>
      <c r="DC30" s="154">
        <v>1.6648122999999999</v>
      </c>
      <c r="DE30" s="162" t="s">
        <v>91</v>
      </c>
      <c r="DF30" s="154" t="s">
        <v>567</v>
      </c>
      <c r="DG30" s="154">
        <v>0.20919999</v>
      </c>
    </row>
    <row r="31" spans="1:112">
      <c r="A31" s="194" t="s">
        <v>399</v>
      </c>
      <c r="B31" s="159" t="s">
        <v>567</v>
      </c>
      <c r="C31" s="170">
        <v>0.76400000000000001</v>
      </c>
      <c r="D31" s="165"/>
      <c r="G31" s="162"/>
      <c r="H31" s="154" t="s">
        <v>729</v>
      </c>
      <c r="L31" s="162"/>
      <c r="M31" s="154" t="s">
        <v>567</v>
      </c>
      <c r="N31" s="154">
        <v>0.24</v>
      </c>
      <c r="Q31" s="162"/>
      <c r="R31" s="154" t="s">
        <v>567</v>
      </c>
      <c r="S31" s="154">
        <v>0.19500000000000001</v>
      </c>
      <c r="V31" s="194" t="s">
        <v>1093</v>
      </c>
      <c r="W31" s="163" t="s">
        <v>567</v>
      </c>
      <c r="X31" s="170">
        <v>0.8</v>
      </c>
      <c r="Y31" s="165"/>
      <c r="AA31" s="162" t="s">
        <v>334</v>
      </c>
      <c r="AB31" s="157" t="s">
        <v>670</v>
      </c>
      <c r="AC31" s="154">
        <v>0.6</v>
      </c>
      <c r="AD31" s="154">
        <v>0.73</v>
      </c>
      <c r="AF31" s="162"/>
      <c r="AG31" s="157" t="s">
        <v>567</v>
      </c>
      <c r="AH31" s="154">
        <v>0.36</v>
      </c>
      <c r="AK31" s="162" t="s">
        <v>493</v>
      </c>
      <c r="AL31" s="157" t="s">
        <v>1125</v>
      </c>
      <c r="AM31" s="154">
        <v>-3.1823361901101799</v>
      </c>
      <c r="AN31" s="154">
        <v>0</v>
      </c>
      <c r="AP31" s="162" t="s">
        <v>175</v>
      </c>
      <c r="AQ31" s="157" t="s">
        <v>1132</v>
      </c>
      <c r="AR31" s="154">
        <v>4.61604960990828E-2</v>
      </c>
      <c r="AS31" s="154">
        <v>23.366299999999999</v>
      </c>
      <c r="BA31" s="162"/>
      <c r="BB31" s="158" t="s">
        <v>760</v>
      </c>
      <c r="BC31" s="158">
        <v>3.9269908169872414E-2</v>
      </c>
      <c r="BD31" s="158">
        <v>38.961130068895983</v>
      </c>
      <c r="BE31" s="158">
        <v>0</v>
      </c>
      <c r="BF31" s="162" t="s">
        <v>699</v>
      </c>
      <c r="BG31" s="154" t="s">
        <v>567</v>
      </c>
      <c r="BH31" s="154">
        <v>1.4145000000000001</v>
      </c>
      <c r="BK31" s="162" t="s">
        <v>175</v>
      </c>
      <c r="BL31" s="158" t="s">
        <v>1132</v>
      </c>
      <c r="BM31" s="158">
        <v>4.6162400499999999E-2</v>
      </c>
      <c r="BN31" s="158">
        <v>23.366299999999999</v>
      </c>
      <c r="BQ31" s="162" t="s">
        <v>400</v>
      </c>
      <c r="BR31" s="158" t="s">
        <v>1125</v>
      </c>
      <c r="BS31" s="158">
        <v>-2.1693799999999999</v>
      </c>
      <c r="BT31" s="158" t="s">
        <v>1178</v>
      </c>
      <c r="BV31" s="162" t="s">
        <v>991</v>
      </c>
      <c r="BW31" s="158" t="s">
        <v>670</v>
      </c>
      <c r="BX31" s="158">
        <v>0.15</v>
      </c>
      <c r="BY31" s="158">
        <v>1.5229999999999999</v>
      </c>
      <c r="CA31" s="480" t="s">
        <v>1041</v>
      </c>
      <c r="CB31" s="479" t="s">
        <v>729</v>
      </c>
      <c r="CM31" s="498" t="s">
        <v>962</v>
      </c>
      <c r="CN31" s="157" t="s">
        <v>567</v>
      </c>
      <c r="CO31" s="157">
        <v>0.1</v>
      </c>
      <c r="CT31" s="162" t="s">
        <v>11</v>
      </c>
      <c r="CU31" s="154" t="s">
        <v>1125</v>
      </c>
      <c r="CV31" s="154">
        <v>-4.49</v>
      </c>
      <c r="CZ31" s="162" t="s">
        <v>909</v>
      </c>
      <c r="DA31" s="154" t="s">
        <v>567</v>
      </c>
      <c r="DB31" s="154">
        <v>0.15000000999999999</v>
      </c>
      <c r="DE31" s="162" t="s">
        <v>578</v>
      </c>
      <c r="DF31" s="154" t="s">
        <v>670</v>
      </c>
      <c r="DG31" s="154">
        <v>0.13079999</v>
      </c>
      <c r="DH31" s="154">
        <v>2.5592084000000002</v>
      </c>
    </row>
    <row r="32" spans="1:112">
      <c r="A32" s="205" t="s">
        <v>499</v>
      </c>
      <c r="B32" s="189" t="s">
        <v>670</v>
      </c>
      <c r="C32" s="206">
        <v>0.22</v>
      </c>
      <c r="D32" s="206">
        <v>-2.18031</v>
      </c>
      <c r="G32" s="162"/>
      <c r="H32" s="154" t="s">
        <v>567</v>
      </c>
      <c r="I32" s="154">
        <v>0.19500000000000001</v>
      </c>
      <c r="L32" s="162"/>
      <c r="M32" s="154" t="s">
        <v>1077</v>
      </c>
      <c r="N32" s="154">
        <v>4.759988869075444E-2</v>
      </c>
      <c r="O32" s="154">
        <v>21.995799999999999</v>
      </c>
      <c r="Q32" s="162" t="s">
        <v>124</v>
      </c>
      <c r="R32" s="154" t="s">
        <v>670</v>
      </c>
      <c r="S32" s="154">
        <v>0.3</v>
      </c>
      <c r="T32" s="154">
        <v>0.73</v>
      </c>
      <c r="V32" s="214" t="s">
        <v>125</v>
      </c>
      <c r="W32" s="215" t="s">
        <v>698</v>
      </c>
      <c r="X32" s="201">
        <v>0</v>
      </c>
      <c r="Y32" s="201">
        <v>0</v>
      </c>
      <c r="AA32" s="162"/>
      <c r="AB32" s="157" t="s">
        <v>567</v>
      </c>
      <c r="AC32" s="154">
        <v>0.24</v>
      </c>
      <c r="AF32" s="162" t="s">
        <v>413</v>
      </c>
      <c r="AG32" s="157" t="s">
        <v>729</v>
      </c>
      <c r="AK32" s="162" t="s">
        <v>1025</v>
      </c>
      <c r="AL32" s="157" t="s">
        <v>698</v>
      </c>
      <c r="AM32" s="154">
        <v>0</v>
      </c>
      <c r="AN32" s="154">
        <v>0</v>
      </c>
      <c r="AP32" s="162" t="s">
        <v>175</v>
      </c>
      <c r="AQ32" s="157" t="s">
        <v>1132</v>
      </c>
      <c r="AR32" s="154">
        <v>4.61604960990828E-2</v>
      </c>
      <c r="AS32" s="154">
        <v>23.366299999999999</v>
      </c>
      <c r="BA32" s="162" t="s">
        <v>414</v>
      </c>
      <c r="BB32" s="158" t="s">
        <v>1077</v>
      </c>
      <c r="BC32" s="158">
        <f>PI()/80</f>
        <v>3.9269908169872414E-2</v>
      </c>
      <c r="BD32" s="158">
        <v>38.961130068895983</v>
      </c>
      <c r="BF32" s="162" t="s">
        <v>366</v>
      </c>
      <c r="BG32" s="154" t="s">
        <v>670</v>
      </c>
      <c r="BH32" s="154">
        <v>0.41</v>
      </c>
      <c r="BI32" s="154">
        <v>-0.56893269999999996</v>
      </c>
      <c r="BK32" s="162" t="s">
        <v>175</v>
      </c>
      <c r="BL32" s="158" t="s">
        <v>1132</v>
      </c>
      <c r="BM32" s="158">
        <v>4.6162400499999999E-2</v>
      </c>
      <c r="BN32" s="158">
        <v>23.366299999999999</v>
      </c>
      <c r="BQ32" s="162" t="s">
        <v>858</v>
      </c>
      <c r="BR32" s="158" t="s">
        <v>567</v>
      </c>
      <c r="BS32" s="158">
        <v>0.47633999999999999</v>
      </c>
      <c r="BV32" s="162" t="s">
        <v>839</v>
      </c>
      <c r="BW32" s="158" t="s">
        <v>567</v>
      </c>
      <c r="BX32" s="158">
        <v>0.38</v>
      </c>
      <c r="CA32" s="480" t="s">
        <v>1042</v>
      </c>
      <c r="CB32" s="479" t="s">
        <v>670</v>
      </c>
      <c r="CC32" s="479">
        <v>0.4</v>
      </c>
      <c r="CD32" s="479">
        <v>-0.98963000000000001</v>
      </c>
      <c r="CM32" s="498" t="s">
        <v>384</v>
      </c>
      <c r="CN32" s="157" t="s">
        <v>567</v>
      </c>
      <c r="CO32" s="157">
        <v>0.24</v>
      </c>
      <c r="CT32" s="162" t="s">
        <v>159</v>
      </c>
      <c r="CU32" s="154" t="s">
        <v>670</v>
      </c>
      <c r="CV32" s="154">
        <v>0.25</v>
      </c>
      <c r="CW32" s="154">
        <v>-0.59499999999999997</v>
      </c>
      <c r="CZ32" s="162" t="s">
        <v>909</v>
      </c>
      <c r="DA32" s="154" t="s">
        <v>567</v>
      </c>
      <c r="DB32" s="154">
        <v>0.15000000999999999</v>
      </c>
      <c r="DE32" s="162" t="s">
        <v>284</v>
      </c>
      <c r="DF32" s="154" t="s">
        <v>1125</v>
      </c>
      <c r="DG32" s="154">
        <v>6.4222754999999996</v>
      </c>
    </row>
    <row r="33" spans="1:112">
      <c r="A33" s="194" t="s">
        <v>859</v>
      </c>
      <c r="B33" s="159" t="s">
        <v>567</v>
      </c>
      <c r="C33" s="170">
        <v>2.5401899999999999</v>
      </c>
      <c r="D33" s="165"/>
      <c r="G33" s="162" t="s">
        <v>124</v>
      </c>
      <c r="H33" s="154" t="s">
        <v>670</v>
      </c>
      <c r="I33" s="154">
        <v>0.3</v>
      </c>
      <c r="J33" s="154">
        <v>0.73</v>
      </c>
      <c r="L33" s="162"/>
      <c r="M33" s="154" t="s">
        <v>760</v>
      </c>
      <c r="N33" s="154">
        <v>4.759988869075444E-2</v>
      </c>
      <c r="O33" s="154">
        <v>21.995799999999999</v>
      </c>
      <c r="P33" s="154">
        <v>0</v>
      </c>
      <c r="Q33" s="162" t="s">
        <v>124</v>
      </c>
      <c r="R33" s="154" t="s">
        <v>670</v>
      </c>
      <c r="S33" s="154">
        <v>0.3</v>
      </c>
      <c r="T33" s="154">
        <v>0.73</v>
      </c>
      <c r="V33" s="194" t="s">
        <v>1093</v>
      </c>
      <c r="W33" s="163" t="s">
        <v>567</v>
      </c>
      <c r="X33" s="170">
        <v>2.2040000000000002</v>
      </c>
      <c r="Y33" s="165"/>
      <c r="AA33" s="162" t="s">
        <v>133</v>
      </c>
      <c r="AB33" s="157" t="s">
        <v>760</v>
      </c>
      <c r="AC33" s="154">
        <v>0.182</v>
      </c>
      <c r="AD33" s="154">
        <v>-3.2967032967032965</v>
      </c>
      <c r="AF33" s="162"/>
      <c r="AG33" s="157" t="s">
        <v>567</v>
      </c>
      <c r="AH33" s="154">
        <v>0.93500000000000005</v>
      </c>
      <c r="AK33" s="162"/>
      <c r="AL33" s="157" t="s">
        <v>567</v>
      </c>
      <c r="AM33" s="154">
        <v>0.33300000000000002</v>
      </c>
      <c r="AP33" s="162"/>
      <c r="AQ33" s="157" t="s">
        <v>1077</v>
      </c>
      <c r="AR33" s="154">
        <v>0.05</v>
      </c>
      <c r="AS33" s="154">
        <v>23.366299999999999</v>
      </c>
      <c r="BA33" s="162" t="s">
        <v>361</v>
      </c>
      <c r="BB33" s="158" t="s">
        <v>567</v>
      </c>
      <c r="BC33" s="158">
        <v>0.22364999999999999</v>
      </c>
      <c r="BF33" s="162" t="s">
        <v>1049</v>
      </c>
      <c r="BG33" s="154" t="s">
        <v>567</v>
      </c>
      <c r="BH33" s="154">
        <v>0.34689999999999999</v>
      </c>
      <c r="BK33" s="162"/>
      <c r="BL33" s="158" t="s">
        <v>1077</v>
      </c>
      <c r="BM33" s="158">
        <v>4.3237399000000003E-2</v>
      </c>
      <c r="BN33" s="158">
        <v>23.366299999999999</v>
      </c>
      <c r="BQ33" s="162" t="s">
        <v>973</v>
      </c>
      <c r="BR33" s="158" t="s">
        <v>670</v>
      </c>
      <c r="BS33" s="158">
        <v>0.32</v>
      </c>
      <c r="BT33" s="158">
        <v>1.8911899999999999</v>
      </c>
      <c r="BV33" s="162" t="s">
        <v>85</v>
      </c>
      <c r="BW33" s="158" t="s">
        <v>670</v>
      </c>
      <c r="BX33" s="158">
        <v>0.31</v>
      </c>
      <c r="BY33" s="158">
        <v>1.8777999999999999</v>
      </c>
      <c r="CA33" s="480" t="s">
        <v>1043</v>
      </c>
      <c r="CB33" s="479" t="s">
        <v>567</v>
      </c>
      <c r="CC33" s="479">
        <v>0.42499999999999999</v>
      </c>
      <c r="CM33" s="498" t="s">
        <v>29</v>
      </c>
      <c r="CN33" s="157" t="s">
        <v>670</v>
      </c>
      <c r="CO33" s="157">
        <v>0.3</v>
      </c>
      <c r="CP33" s="157">
        <v>-1.3978660000000001</v>
      </c>
      <c r="CT33" s="162" t="s">
        <v>909</v>
      </c>
      <c r="CU33" s="154" t="s">
        <v>567</v>
      </c>
      <c r="CV33" s="154">
        <v>0.81499999999999995</v>
      </c>
      <c r="CZ33" s="162" t="s">
        <v>507</v>
      </c>
      <c r="DA33" s="154" t="s">
        <v>670</v>
      </c>
      <c r="DB33" s="154">
        <v>0.25</v>
      </c>
      <c r="DC33" s="154">
        <v>-0.74135059000000003</v>
      </c>
      <c r="DE33" s="162" t="s">
        <v>578</v>
      </c>
      <c r="DF33" s="154" t="s">
        <v>670</v>
      </c>
      <c r="DG33" s="154">
        <v>0.13079999</v>
      </c>
      <c r="DH33" s="154">
        <v>2.5592084000000002</v>
      </c>
    </row>
    <row r="34" spans="1:112">
      <c r="A34" s="194" t="s">
        <v>969</v>
      </c>
      <c r="B34" s="216" t="s">
        <v>729</v>
      </c>
      <c r="C34" s="209"/>
      <c r="D34" s="165"/>
      <c r="G34" s="162" t="s">
        <v>124</v>
      </c>
      <c r="H34" s="154" t="s">
        <v>670</v>
      </c>
      <c r="I34" s="154">
        <v>0.3</v>
      </c>
      <c r="J34" s="154">
        <v>0.73</v>
      </c>
      <c r="L34" s="162"/>
      <c r="M34" s="154" t="s">
        <v>760</v>
      </c>
      <c r="N34" s="154">
        <v>4.759988869075444E-2</v>
      </c>
      <c r="O34" s="154">
        <v>21.995799999999999</v>
      </c>
      <c r="P34" s="154">
        <v>0</v>
      </c>
      <c r="Q34" s="162"/>
      <c r="R34" s="154" t="s">
        <v>567</v>
      </c>
      <c r="S34" s="154">
        <v>0.1618</v>
      </c>
      <c r="V34" s="214" t="s">
        <v>981</v>
      </c>
      <c r="W34" s="215" t="s">
        <v>698</v>
      </c>
      <c r="X34" s="201">
        <v>0</v>
      </c>
      <c r="Y34" s="201">
        <v>0</v>
      </c>
      <c r="AA34" s="162"/>
      <c r="AB34" s="157" t="s">
        <v>567</v>
      </c>
      <c r="AC34" s="154">
        <v>2.4019999999999997</v>
      </c>
      <c r="AF34" s="162" t="s">
        <v>854</v>
      </c>
      <c r="AG34" s="157" t="s">
        <v>698</v>
      </c>
      <c r="AH34" s="154">
        <v>0</v>
      </c>
      <c r="AI34" s="154">
        <v>0</v>
      </c>
      <c r="AK34" s="162" t="s">
        <v>157</v>
      </c>
      <c r="AL34" s="157" t="s">
        <v>670</v>
      </c>
      <c r="AM34" s="154">
        <v>0.53367001000000003</v>
      </c>
      <c r="AN34" s="154">
        <v>-0.61749798</v>
      </c>
      <c r="AP34" s="162"/>
      <c r="AQ34" s="157" t="s">
        <v>567</v>
      </c>
      <c r="AR34" s="154">
        <f>1.05542/2</f>
        <v>0.52771000000000001</v>
      </c>
      <c r="BA34" s="162"/>
      <c r="BB34" s="158" t="s">
        <v>567</v>
      </c>
      <c r="BC34" s="158">
        <v>0.12634999999999999</v>
      </c>
      <c r="BF34" s="162" t="s">
        <v>92</v>
      </c>
      <c r="BG34" s="154" t="s">
        <v>567</v>
      </c>
      <c r="BH34" s="154">
        <v>0.15</v>
      </c>
      <c r="BK34" s="162"/>
      <c r="BL34" s="158" t="s">
        <v>1077</v>
      </c>
      <c r="BM34" s="158">
        <v>-4.3237399000000003E-2</v>
      </c>
      <c r="BN34" s="158">
        <v>50.036000000000001</v>
      </c>
      <c r="BQ34" s="162" t="s">
        <v>855</v>
      </c>
      <c r="BR34" s="158" t="s">
        <v>567</v>
      </c>
      <c r="BS34" s="158">
        <v>0.47</v>
      </c>
      <c r="BV34" s="162" t="s">
        <v>86</v>
      </c>
      <c r="BW34" s="158" t="s">
        <v>567</v>
      </c>
      <c r="BX34" s="158">
        <v>0.26</v>
      </c>
      <c r="CA34" s="480" t="s">
        <v>204</v>
      </c>
      <c r="CB34" s="479" t="s">
        <v>79</v>
      </c>
      <c r="CC34" s="479">
        <v>0.2</v>
      </c>
      <c r="CE34" s="479">
        <v>-16.4864</v>
      </c>
      <c r="CM34" s="498" t="s">
        <v>729</v>
      </c>
      <c r="CN34" s="157" t="s">
        <v>729</v>
      </c>
      <c r="CT34" s="162" t="s">
        <v>856</v>
      </c>
      <c r="CU34" s="154" t="s">
        <v>670</v>
      </c>
      <c r="CV34" s="154">
        <v>0.25</v>
      </c>
      <c r="CW34" s="154">
        <v>1.75</v>
      </c>
      <c r="CZ34" s="162" t="s">
        <v>1193</v>
      </c>
      <c r="DA34" s="154" t="s">
        <v>1125</v>
      </c>
      <c r="DB34" s="154">
        <v>-36.528995999999999</v>
      </c>
      <c r="DE34" s="162" t="s">
        <v>986</v>
      </c>
      <c r="DF34" s="154" t="s">
        <v>567</v>
      </c>
      <c r="DG34" s="154">
        <v>0.14362501</v>
      </c>
    </row>
    <row r="35" spans="1:112">
      <c r="A35" s="194" t="s">
        <v>264</v>
      </c>
      <c r="B35" s="159" t="s">
        <v>567</v>
      </c>
      <c r="C35" s="170">
        <v>1.7978099999999999</v>
      </c>
      <c r="D35" s="165"/>
      <c r="G35" s="162"/>
      <c r="H35" s="154" t="s">
        <v>567</v>
      </c>
      <c r="I35" s="154">
        <v>0.1618</v>
      </c>
      <c r="L35" s="162"/>
      <c r="M35" s="154" t="s">
        <v>1077</v>
      </c>
      <c r="N35" s="154">
        <v>4.759988869075444E-2</v>
      </c>
      <c r="O35" s="154">
        <v>21.995799999999999</v>
      </c>
      <c r="Q35" s="162" t="s">
        <v>575</v>
      </c>
      <c r="R35" s="154" t="s">
        <v>1125</v>
      </c>
      <c r="S35" s="154">
        <v>0</v>
      </c>
      <c r="T35" s="154">
        <v>0</v>
      </c>
      <c r="V35" s="194" t="s">
        <v>265</v>
      </c>
      <c r="W35" s="163" t="s">
        <v>567</v>
      </c>
      <c r="X35" s="170">
        <v>0.27700000000000002</v>
      </c>
      <c r="Y35" s="165"/>
      <c r="AA35" s="162" t="s">
        <v>568</v>
      </c>
      <c r="AB35" s="157" t="s">
        <v>670</v>
      </c>
      <c r="AC35" s="154">
        <v>0.6</v>
      </c>
      <c r="AD35" s="154">
        <v>-0.65</v>
      </c>
      <c r="AF35" s="162"/>
      <c r="AG35" s="157" t="s">
        <v>567</v>
      </c>
      <c r="AH35" s="154">
        <v>0.83</v>
      </c>
      <c r="AK35" s="162"/>
      <c r="AL35" s="157" t="s">
        <v>567</v>
      </c>
      <c r="AM35" s="154">
        <f>1.05542/2</f>
        <v>0.52771000000000001</v>
      </c>
      <c r="AP35" s="162" t="s">
        <v>927</v>
      </c>
      <c r="AQ35" s="157" t="s">
        <v>698</v>
      </c>
      <c r="AR35" s="154">
        <v>0</v>
      </c>
      <c r="AS35" s="154">
        <v>0</v>
      </c>
      <c r="BA35" s="162" t="s">
        <v>723</v>
      </c>
      <c r="BB35" s="158" t="s">
        <v>1125</v>
      </c>
      <c r="BC35" s="158">
        <f>1/2*-4.1733405</f>
        <v>-2.0866702500000001</v>
      </c>
      <c r="BF35" s="162" t="s">
        <v>575</v>
      </c>
      <c r="BG35" s="154" t="s">
        <v>1125</v>
      </c>
      <c r="BH35" s="154">
        <v>-2.2690169</v>
      </c>
      <c r="BK35" s="162" t="s">
        <v>175</v>
      </c>
      <c r="BL35" s="158" t="s">
        <v>1132</v>
      </c>
      <c r="BM35" s="158">
        <v>5.8500000000000002E-3</v>
      </c>
      <c r="BN35" s="158">
        <v>50.036000000000001</v>
      </c>
      <c r="BQ35" s="162" t="s">
        <v>928</v>
      </c>
      <c r="BR35" s="158" t="s">
        <v>1125</v>
      </c>
      <c r="BS35" s="158">
        <v>3.6046499999999999</v>
      </c>
      <c r="BT35" s="158" t="s">
        <v>1178</v>
      </c>
      <c r="BV35" s="162" t="s">
        <v>574</v>
      </c>
      <c r="BW35" s="158" t="s">
        <v>1125</v>
      </c>
      <c r="BX35" s="158">
        <v>6.7</v>
      </c>
      <c r="BY35" s="158" t="s">
        <v>1178</v>
      </c>
      <c r="CA35" s="480" t="s">
        <v>205</v>
      </c>
      <c r="CB35" s="479" t="s">
        <v>567</v>
      </c>
      <c r="CC35" s="479">
        <v>0.19900000000000001</v>
      </c>
      <c r="CM35" s="498" t="s">
        <v>1040</v>
      </c>
      <c r="CN35" s="157" t="s">
        <v>567</v>
      </c>
      <c r="CO35" s="157">
        <v>0.15</v>
      </c>
      <c r="CT35" s="162" t="s">
        <v>284</v>
      </c>
      <c r="CU35" s="154" t="s">
        <v>1125</v>
      </c>
      <c r="CV35" s="154">
        <v>2.97</v>
      </c>
      <c r="CZ35" s="162" t="s">
        <v>507</v>
      </c>
      <c r="DA35" s="154" t="s">
        <v>670</v>
      </c>
      <c r="DB35" s="154">
        <v>0.25</v>
      </c>
      <c r="DC35" s="154">
        <v>-0.74135059000000003</v>
      </c>
      <c r="DE35" s="162" t="s">
        <v>986</v>
      </c>
      <c r="DF35" s="154" t="s">
        <v>567</v>
      </c>
      <c r="DG35" s="154">
        <v>0.14362501</v>
      </c>
    </row>
    <row r="36" spans="1:112">
      <c r="A36" s="205" t="s">
        <v>157</v>
      </c>
      <c r="B36" s="189" t="s">
        <v>670</v>
      </c>
      <c r="C36" s="206">
        <v>0.22</v>
      </c>
      <c r="D36" s="206">
        <v>-4.6387200000000002</v>
      </c>
      <c r="G36" s="162" t="s">
        <v>999</v>
      </c>
      <c r="H36" s="154" t="s">
        <v>1125</v>
      </c>
      <c r="I36" s="154">
        <v>0</v>
      </c>
      <c r="J36" s="154">
        <v>0</v>
      </c>
      <c r="L36" s="162"/>
      <c r="M36" s="154" t="s">
        <v>567</v>
      </c>
      <c r="N36" s="154">
        <v>0.38600000000000001</v>
      </c>
      <c r="Q36" s="162"/>
      <c r="R36" s="154" t="s">
        <v>567</v>
      </c>
      <c r="S36" s="154">
        <v>0.24</v>
      </c>
      <c r="V36" s="207" t="s">
        <v>1128</v>
      </c>
      <c r="W36" s="208" t="s">
        <v>729</v>
      </c>
      <c r="X36" s="209"/>
      <c r="Y36" s="165"/>
      <c r="AA36" s="162"/>
      <c r="AB36" s="157" t="s">
        <v>567</v>
      </c>
      <c r="AC36" s="154">
        <v>0.2</v>
      </c>
      <c r="AF36" s="162" t="s">
        <v>32</v>
      </c>
      <c r="AG36" s="157" t="s">
        <v>670</v>
      </c>
      <c r="AH36" s="154">
        <v>0.6</v>
      </c>
      <c r="AI36" s="154">
        <v>-0.37853500000000001</v>
      </c>
      <c r="AK36" s="162" t="s">
        <v>927</v>
      </c>
      <c r="AL36" s="157" t="s">
        <v>698</v>
      </c>
      <c r="AM36" s="154">
        <v>0</v>
      </c>
      <c r="AN36" s="154">
        <v>0</v>
      </c>
      <c r="AP36" s="162"/>
      <c r="AQ36" s="157" t="s">
        <v>567</v>
      </c>
      <c r="AR36" s="154">
        <f>1.05542/2</f>
        <v>0.52771000000000001</v>
      </c>
      <c r="BA36" s="162"/>
      <c r="BB36" s="158" t="s">
        <v>567</v>
      </c>
      <c r="BC36" s="158">
        <v>0.12634999999999999</v>
      </c>
      <c r="BF36" s="162" t="s">
        <v>92</v>
      </c>
      <c r="BG36" s="154" t="s">
        <v>567</v>
      </c>
      <c r="BH36" s="154">
        <v>0.15</v>
      </c>
      <c r="BK36" s="162"/>
      <c r="BL36" s="158" t="s">
        <v>1077</v>
      </c>
      <c r="BM36" s="158">
        <v>4.9087401000000003E-2</v>
      </c>
      <c r="BN36" s="158">
        <v>50.036000000000001</v>
      </c>
      <c r="BQ36" s="162" t="s">
        <v>33</v>
      </c>
      <c r="BR36" s="158" t="s">
        <v>567</v>
      </c>
      <c r="BS36" s="158">
        <v>0.47</v>
      </c>
      <c r="BV36" s="162" t="s">
        <v>308</v>
      </c>
      <c r="BW36" s="158" t="s">
        <v>567</v>
      </c>
      <c r="BX36" s="158">
        <v>0.26</v>
      </c>
      <c r="CA36" s="480" t="s">
        <v>206</v>
      </c>
      <c r="CB36" s="479" t="s">
        <v>670</v>
      </c>
      <c r="CC36" s="479">
        <v>0.4</v>
      </c>
      <c r="CD36" s="479">
        <v>1.26356</v>
      </c>
      <c r="CM36" s="498" t="s">
        <v>964</v>
      </c>
      <c r="CN36" s="157" t="s">
        <v>567</v>
      </c>
      <c r="CO36" s="157">
        <v>0.1</v>
      </c>
      <c r="CT36" s="162" t="s">
        <v>856</v>
      </c>
      <c r="CU36" s="154" t="s">
        <v>670</v>
      </c>
      <c r="CV36" s="154">
        <v>0.25</v>
      </c>
      <c r="CW36" s="154">
        <v>1.75</v>
      </c>
      <c r="CZ36" s="162" t="s">
        <v>1000</v>
      </c>
      <c r="DA36" s="154" t="s">
        <v>567</v>
      </c>
      <c r="DB36" s="154">
        <v>0.25</v>
      </c>
      <c r="DE36" s="162" t="s">
        <v>636</v>
      </c>
      <c r="DF36" s="154" t="s">
        <v>567</v>
      </c>
      <c r="DG36" s="154">
        <v>5.2700002000000003E-2</v>
      </c>
    </row>
    <row r="37" spans="1:112">
      <c r="A37" s="194" t="s">
        <v>1140</v>
      </c>
      <c r="B37" s="159" t="s">
        <v>567</v>
      </c>
      <c r="C37" s="170">
        <v>0.13</v>
      </c>
      <c r="D37" s="165"/>
      <c r="G37" s="162"/>
      <c r="H37" s="154" t="s">
        <v>567</v>
      </c>
      <c r="I37" s="154">
        <v>0.24</v>
      </c>
      <c r="L37" s="162"/>
      <c r="M37" s="154" t="s">
        <v>698</v>
      </c>
      <c r="N37" s="154">
        <v>0</v>
      </c>
      <c r="O37" s="154">
        <v>0</v>
      </c>
      <c r="Q37" s="162"/>
      <c r="R37" s="154" t="s">
        <v>1077</v>
      </c>
      <c r="S37" s="154">
        <v>4.759988869075444E-2</v>
      </c>
      <c r="T37" s="154">
        <v>21.995799999999999</v>
      </c>
      <c r="V37" s="194" t="s">
        <v>265</v>
      </c>
      <c r="W37" s="163" t="s">
        <v>567</v>
      </c>
      <c r="X37" s="170">
        <v>0.27700000000000002</v>
      </c>
      <c r="Y37" s="165"/>
      <c r="AA37" s="162" t="s">
        <v>6</v>
      </c>
      <c r="AB37" s="157" t="s">
        <v>760</v>
      </c>
      <c r="AC37" s="154">
        <v>5.7700000000000001E-2</v>
      </c>
      <c r="AD37" s="154">
        <v>-15.5</v>
      </c>
      <c r="AF37" s="162" t="s">
        <v>1141</v>
      </c>
      <c r="AG37" s="157" t="s">
        <v>567</v>
      </c>
      <c r="AH37" s="154">
        <v>0.51700000000000002</v>
      </c>
      <c r="AK37" s="162"/>
      <c r="AL37" s="157" t="s">
        <v>567</v>
      </c>
      <c r="AM37" s="154">
        <f>1.05542/2</f>
        <v>0.52771000000000001</v>
      </c>
      <c r="AP37" s="162" t="s">
        <v>157</v>
      </c>
      <c r="AQ37" s="157" t="s">
        <v>670</v>
      </c>
      <c r="AR37" s="154">
        <v>0.53367001000000003</v>
      </c>
      <c r="AS37" s="154">
        <v>-0.61749798</v>
      </c>
      <c r="BA37" s="162" t="s">
        <v>1104</v>
      </c>
      <c r="BB37" s="158" t="s">
        <v>567</v>
      </c>
      <c r="BC37" s="158">
        <v>0.78364999999999996</v>
      </c>
      <c r="BF37" s="162" t="s">
        <v>361</v>
      </c>
      <c r="BG37" s="154" t="s">
        <v>567</v>
      </c>
      <c r="BH37" s="154">
        <v>0.3468</v>
      </c>
      <c r="BK37" s="162"/>
      <c r="BL37" s="158" t="s">
        <v>567</v>
      </c>
      <c r="BM37" s="158">
        <v>0.95474999999999999</v>
      </c>
      <c r="BQ37" s="162" t="s">
        <v>973</v>
      </c>
      <c r="BR37" s="158" t="s">
        <v>670</v>
      </c>
      <c r="BS37" s="158">
        <v>0.32</v>
      </c>
      <c r="BT37" s="158">
        <v>1.8911899999999999</v>
      </c>
      <c r="BV37" s="162" t="s">
        <v>578</v>
      </c>
      <c r="BW37" s="158" t="s">
        <v>670</v>
      </c>
      <c r="BX37" s="158">
        <v>0.26</v>
      </c>
      <c r="BY37" s="158">
        <v>1.36178</v>
      </c>
      <c r="CA37" s="480" t="s">
        <v>243</v>
      </c>
      <c r="CB37" s="479" t="s">
        <v>567</v>
      </c>
      <c r="CC37" s="479">
        <v>0.23849999999999999</v>
      </c>
      <c r="CM37" s="498" t="s">
        <v>965</v>
      </c>
      <c r="CN37" s="157" t="s">
        <v>770</v>
      </c>
      <c r="CO37" s="157">
        <v>0</v>
      </c>
      <c r="CP37" s="157">
        <v>0.646088</v>
      </c>
      <c r="CT37" s="162" t="s">
        <v>909</v>
      </c>
      <c r="CU37" s="154" t="s">
        <v>567</v>
      </c>
      <c r="CV37" s="154">
        <v>0.81499999999999995</v>
      </c>
      <c r="CZ37" s="162" t="s">
        <v>1000</v>
      </c>
      <c r="DA37" s="154" t="s">
        <v>567</v>
      </c>
      <c r="DB37" s="154">
        <v>0.25</v>
      </c>
      <c r="DE37" s="162" t="s">
        <v>276</v>
      </c>
      <c r="DF37" s="154" t="s">
        <v>670</v>
      </c>
      <c r="DG37" s="154">
        <v>0.13079999</v>
      </c>
      <c r="DH37" s="154">
        <v>2.4701833999999998</v>
      </c>
    </row>
    <row r="38" spans="1:112">
      <c r="A38" s="205" t="s">
        <v>85</v>
      </c>
      <c r="B38" s="189" t="s">
        <v>670</v>
      </c>
      <c r="C38" s="206">
        <v>0.22</v>
      </c>
      <c r="D38" s="206">
        <v>5.9535600000000004</v>
      </c>
      <c r="G38" s="162"/>
      <c r="H38" s="154" t="s">
        <v>1077</v>
      </c>
      <c r="I38" s="154">
        <v>4.759988869075444E-2</v>
      </c>
      <c r="J38" s="154">
        <v>21.995799999999999</v>
      </c>
      <c r="L38" s="162"/>
      <c r="M38" s="154" t="s">
        <v>567</v>
      </c>
      <c r="N38" s="154">
        <v>0.16500000000000001</v>
      </c>
      <c r="Q38" s="162"/>
      <c r="R38" s="154" t="s">
        <v>760</v>
      </c>
      <c r="S38" s="154">
        <v>6.3375520023285947E-2</v>
      </c>
      <c r="T38" s="154">
        <v>21.995799999999999</v>
      </c>
      <c r="V38" s="214" t="s">
        <v>203</v>
      </c>
      <c r="W38" s="215" t="s">
        <v>698</v>
      </c>
      <c r="X38" s="201">
        <v>0</v>
      </c>
      <c r="Y38" s="201">
        <v>0</v>
      </c>
      <c r="AA38" s="162" t="s">
        <v>1093</v>
      </c>
      <c r="AB38" s="157" t="s">
        <v>567</v>
      </c>
      <c r="AC38" s="154">
        <v>0.15</v>
      </c>
      <c r="AF38" s="162" t="s">
        <v>277</v>
      </c>
      <c r="AG38" s="157" t="s">
        <v>670</v>
      </c>
      <c r="AH38" s="154">
        <v>0.6</v>
      </c>
      <c r="AI38" s="154">
        <v>1.14377</v>
      </c>
      <c r="AK38" s="162"/>
      <c r="AL38" s="157" t="s">
        <v>1077</v>
      </c>
      <c r="AM38" s="154">
        <v>0.05</v>
      </c>
      <c r="AN38" s="154">
        <v>23.366299999999999</v>
      </c>
      <c r="AP38" s="162"/>
      <c r="AQ38" s="157" t="s">
        <v>567</v>
      </c>
      <c r="AR38" s="154">
        <v>0.33300000000000002</v>
      </c>
      <c r="BA38" s="162" t="s">
        <v>29</v>
      </c>
      <c r="BB38" s="158" t="s">
        <v>670</v>
      </c>
      <c r="BC38" s="158">
        <v>0.5</v>
      </c>
      <c r="BD38" s="158">
        <v>-0.80954550000000003</v>
      </c>
      <c r="BF38" s="162" t="s">
        <v>124</v>
      </c>
      <c r="BG38" s="154" t="s">
        <v>670</v>
      </c>
      <c r="BH38" s="154">
        <v>0.51</v>
      </c>
      <c r="BI38" s="154">
        <v>0.62670983000000002</v>
      </c>
      <c r="BK38" s="162"/>
      <c r="BL38" s="158" t="s">
        <v>729</v>
      </c>
      <c r="BQ38" s="162" t="s">
        <v>858</v>
      </c>
      <c r="BR38" s="158" t="s">
        <v>567</v>
      </c>
      <c r="BS38" s="158">
        <v>0.47633999999999999</v>
      </c>
      <c r="BV38" s="162" t="s">
        <v>1166</v>
      </c>
      <c r="BW38" s="158" t="s">
        <v>567</v>
      </c>
      <c r="BX38" s="158">
        <v>0.38</v>
      </c>
      <c r="CA38" s="480" t="s">
        <v>244</v>
      </c>
      <c r="CB38" s="479" t="s">
        <v>79</v>
      </c>
      <c r="CC38" s="479">
        <v>0.3</v>
      </c>
      <c r="CE38" s="479">
        <v>17.746449999999999</v>
      </c>
      <c r="CM38" s="498" t="s">
        <v>964</v>
      </c>
      <c r="CN38" s="157" t="s">
        <v>567</v>
      </c>
      <c r="CO38" s="157">
        <v>0.1</v>
      </c>
      <c r="CT38" s="162" t="s">
        <v>77</v>
      </c>
      <c r="CU38" s="154" t="s">
        <v>670</v>
      </c>
      <c r="CV38" s="154">
        <v>0.25</v>
      </c>
      <c r="CW38" s="154">
        <v>-0.71299999999999997</v>
      </c>
      <c r="CZ38" s="162">
        <v>6</v>
      </c>
      <c r="DA38" s="154" t="s">
        <v>1077</v>
      </c>
      <c r="DB38" s="154">
        <v>2.4543692999999998E-2</v>
      </c>
      <c r="DC38" s="154">
        <v>21.124366999999999</v>
      </c>
      <c r="DE38" s="162" t="s">
        <v>432</v>
      </c>
      <c r="DF38" s="154" t="s">
        <v>1125</v>
      </c>
      <c r="DG38" s="154">
        <v>6.0123024999999997</v>
      </c>
    </row>
    <row r="39" spans="1:112">
      <c r="A39" s="194" t="s">
        <v>163</v>
      </c>
      <c r="B39" s="159" t="s">
        <v>567</v>
      </c>
      <c r="C39" s="170">
        <v>0.78918999999999995</v>
      </c>
      <c r="D39" s="165"/>
      <c r="G39" s="162"/>
      <c r="H39" s="154" t="s">
        <v>760</v>
      </c>
      <c r="I39" s="154">
        <v>4.759988869075444E-2</v>
      </c>
      <c r="J39" s="154">
        <v>22</v>
      </c>
      <c r="L39" s="162"/>
      <c r="M39" s="154" t="s">
        <v>729</v>
      </c>
      <c r="Q39" s="162" t="s">
        <v>702</v>
      </c>
      <c r="R39" s="154" t="s">
        <v>729</v>
      </c>
      <c r="V39" s="194" t="s">
        <v>703</v>
      </c>
      <c r="W39" s="163" t="s">
        <v>567</v>
      </c>
      <c r="X39" s="170">
        <v>0.373</v>
      </c>
      <c r="Y39" s="165"/>
      <c r="AA39" s="162" t="s">
        <v>149</v>
      </c>
      <c r="AB39" s="157" t="s">
        <v>760</v>
      </c>
      <c r="AC39" s="154">
        <v>3.4599999999999999E-2</v>
      </c>
      <c r="AD39" s="154">
        <v>-15.5</v>
      </c>
      <c r="AF39" s="162" t="s">
        <v>704</v>
      </c>
      <c r="AG39" s="157" t="s">
        <v>567</v>
      </c>
      <c r="AH39" s="154">
        <v>0.60699999999999998</v>
      </c>
      <c r="AK39" s="162" t="s">
        <v>175</v>
      </c>
      <c r="AL39" s="157" t="s">
        <v>1132</v>
      </c>
      <c r="AM39" s="154">
        <v>4.61604960990828E-2</v>
      </c>
      <c r="AN39" s="154">
        <v>23.366299999999999</v>
      </c>
      <c r="AP39" s="162" t="s">
        <v>1025</v>
      </c>
      <c r="AQ39" s="157" t="s">
        <v>698</v>
      </c>
      <c r="AR39" s="154">
        <v>0</v>
      </c>
      <c r="AS39" s="154">
        <v>0</v>
      </c>
      <c r="BA39" s="162" t="s">
        <v>404</v>
      </c>
      <c r="BB39" s="158" t="s">
        <v>567</v>
      </c>
      <c r="BC39" s="158">
        <v>0.35</v>
      </c>
      <c r="BF39" s="162" t="s">
        <v>1104</v>
      </c>
      <c r="BG39" s="154" t="s">
        <v>567</v>
      </c>
      <c r="BH39" s="154">
        <v>0.30609999999999998</v>
      </c>
      <c r="BK39" s="162"/>
      <c r="BL39" s="158" t="s">
        <v>567</v>
      </c>
      <c r="BM39" s="158">
        <v>0.105945</v>
      </c>
      <c r="BQ39" s="162" t="s">
        <v>400</v>
      </c>
      <c r="BR39" s="158" t="s">
        <v>1125</v>
      </c>
      <c r="BS39" s="158">
        <v>-2.1693799999999999</v>
      </c>
      <c r="BT39" s="158" t="s">
        <v>1178</v>
      </c>
      <c r="BV39" s="162" t="s">
        <v>1161</v>
      </c>
      <c r="BW39" s="158" t="s">
        <v>670</v>
      </c>
      <c r="BX39" s="158">
        <v>0.15</v>
      </c>
      <c r="BY39" s="158">
        <v>1.5372699999999999</v>
      </c>
      <c r="CA39" s="480" t="s">
        <v>890</v>
      </c>
      <c r="CB39" s="479" t="s">
        <v>729</v>
      </c>
      <c r="CM39" s="498" t="s">
        <v>709</v>
      </c>
      <c r="CN39" s="157" t="s">
        <v>567</v>
      </c>
      <c r="CO39" s="157">
        <v>0.15</v>
      </c>
      <c r="CT39" s="162" t="s">
        <v>11</v>
      </c>
      <c r="CU39" s="154" t="s">
        <v>1125</v>
      </c>
      <c r="CV39" s="154">
        <v>-4.49</v>
      </c>
      <c r="CZ39" s="162" t="s">
        <v>569</v>
      </c>
      <c r="DA39" s="154" t="s">
        <v>760</v>
      </c>
      <c r="DB39" s="154">
        <v>2.4543692999999998E-2</v>
      </c>
      <c r="DC39" s="154">
        <v>21.124366999999999</v>
      </c>
      <c r="DE39" s="162" t="s">
        <v>276</v>
      </c>
      <c r="DF39" s="154" t="s">
        <v>670</v>
      </c>
      <c r="DG39" s="154">
        <v>0.13079999</v>
      </c>
      <c r="DH39" s="154">
        <v>2.4701833999999998</v>
      </c>
    </row>
    <row r="40" spans="1:112">
      <c r="A40" s="194" t="s">
        <v>1128</v>
      </c>
      <c r="B40" s="216" t="s">
        <v>729</v>
      </c>
      <c r="C40" s="209"/>
      <c r="D40" s="165"/>
      <c r="G40" s="162"/>
      <c r="H40" s="154" t="s">
        <v>760</v>
      </c>
      <c r="I40" s="154">
        <v>4.759988869075444E-2</v>
      </c>
      <c r="J40" s="154">
        <v>22</v>
      </c>
      <c r="L40" s="162"/>
      <c r="M40" s="154" t="s">
        <v>567</v>
      </c>
      <c r="N40" s="154">
        <v>0.19500000000000001</v>
      </c>
      <c r="Q40" s="162"/>
      <c r="R40" s="154" t="s">
        <v>760</v>
      </c>
      <c r="S40" s="154">
        <v>3.1824257358222932E-2</v>
      </c>
      <c r="T40" s="154">
        <v>21.995799999999999</v>
      </c>
      <c r="V40" s="217" t="s">
        <v>334</v>
      </c>
      <c r="W40" s="218" t="s">
        <v>670</v>
      </c>
      <c r="X40" s="206">
        <v>0.6</v>
      </c>
      <c r="Y40" s="206">
        <v>0.611487</v>
      </c>
      <c r="AA40" s="162" t="s">
        <v>1093</v>
      </c>
      <c r="AB40" s="157" t="s">
        <v>567</v>
      </c>
      <c r="AC40" s="154">
        <v>0.3</v>
      </c>
      <c r="AF40" s="162" t="s">
        <v>985</v>
      </c>
      <c r="AG40" s="157" t="s">
        <v>698</v>
      </c>
      <c r="AH40" s="154">
        <v>0</v>
      </c>
      <c r="AI40" s="154">
        <v>0</v>
      </c>
      <c r="AK40" s="162" t="s">
        <v>175</v>
      </c>
      <c r="AL40" s="157" t="s">
        <v>1132</v>
      </c>
      <c r="AM40" s="154">
        <v>4.61604960990828E-2</v>
      </c>
      <c r="AN40" s="154">
        <v>23.366299999999999</v>
      </c>
      <c r="AP40" s="162" t="s">
        <v>493</v>
      </c>
      <c r="AQ40" s="157" t="s">
        <v>1125</v>
      </c>
      <c r="AR40" s="154">
        <v>-1.1659999999999999</v>
      </c>
      <c r="AS40" s="154">
        <v>0</v>
      </c>
      <c r="BA40" s="162" t="s">
        <v>856</v>
      </c>
      <c r="BB40" s="158" t="s">
        <v>670</v>
      </c>
      <c r="BC40" s="158">
        <v>0.6</v>
      </c>
      <c r="BD40" s="158">
        <v>0.78013605699999999</v>
      </c>
      <c r="BF40" s="162" t="s">
        <v>677</v>
      </c>
      <c r="BG40" s="154" t="s">
        <v>567</v>
      </c>
      <c r="BH40" s="154">
        <v>0.25</v>
      </c>
      <c r="BK40" s="162" t="s">
        <v>507</v>
      </c>
      <c r="BL40" s="158" t="s">
        <v>670</v>
      </c>
      <c r="BM40" s="158">
        <v>0.42210999999999999</v>
      </c>
      <c r="BN40" s="158">
        <v>-0.66051000000000004</v>
      </c>
      <c r="BQ40" s="162" t="s">
        <v>779</v>
      </c>
      <c r="BR40" s="158" t="s">
        <v>567</v>
      </c>
      <c r="BS40" s="158">
        <v>0.2</v>
      </c>
      <c r="BV40" s="162" t="s">
        <v>1162</v>
      </c>
      <c r="BW40" s="158" t="s">
        <v>567</v>
      </c>
      <c r="BX40" s="158">
        <v>0.22500000000000001</v>
      </c>
      <c r="CA40" s="480" t="s">
        <v>243</v>
      </c>
      <c r="CB40" s="479" t="s">
        <v>567</v>
      </c>
      <c r="CC40" s="479">
        <v>0.23849999999999999</v>
      </c>
      <c r="CM40" s="498" t="s">
        <v>959</v>
      </c>
      <c r="CN40" s="157" t="s">
        <v>698</v>
      </c>
      <c r="CO40" s="157">
        <v>0</v>
      </c>
      <c r="CP40" s="157">
        <v>0</v>
      </c>
      <c r="CT40" s="162" t="s">
        <v>77</v>
      </c>
      <c r="CU40" s="154" t="s">
        <v>670</v>
      </c>
      <c r="CV40" s="154">
        <v>0.25</v>
      </c>
      <c r="CW40" s="154">
        <v>-0.71299999999999997</v>
      </c>
      <c r="CZ40" s="162" t="s">
        <v>569</v>
      </c>
      <c r="DA40" s="154" t="s">
        <v>760</v>
      </c>
      <c r="DB40" s="154">
        <v>2.4543692999999998E-2</v>
      </c>
      <c r="DC40" s="154">
        <v>21.124366999999999</v>
      </c>
      <c r="DE40" s="162" t="s">
        <v>91</v>
      </c>
      <c r="DF40" s="154" t="s">
        <v>567</v>
      </c>
      <c r="DG40" s="154">
        <v>0.20919999</v>
      </c>
    </row>
    <row r="41" spans="1:112">
      <c r="A41" s="194" t="s">
        <v>758</v>
      </c>
      <c r="B41" s="159" t="s">
        <v>567</v>
      </c>
      <c r="C41" s="170">
        <v>0.34981000000000001</v>
      </c>
      <c r="D41" s="165"/>
      <c r="G41" s="162"/>
      <c r="H41" s="154" t="s">
        <v>1077</v>
      </c>
      <c r="I41" s="154">
        <v>4.759988869075444E-2</v>
      </c>
      <c r="J41" s="154">
        <v>21.995799999999999</v>
      </c>
      <c r="L41" s="162"/>
      <c r="M41" s="154" t="s">
        <v>670</v>
      </c>
      <c r="N41" s="154">
        <v>0.6</v>
      </c>
      <c r="O41" s="154">
        <v>0.73</v>
      </c>
      <c r="P41" s="154">
        <v>0</v>
      </c>
      <c r="Q41" s="162"/>
      <c r="R41" s="154" t="s">
        <v>1077</v>
      </c>
      <c r="S41" s="154">
        <v>4.759988869075444E-2</v>
      </c>
      <c r="T41" s="154">
        <v>21.995799999999999</v>
      </c>
      <c r="V41" s="194" t="s">
        <v>859</v>
      </c>
      <c r="W41" s="163" t="s">
        <v>567</v>
      </c>
      <c r="X41" s="170">
        <v>1.81</v>
      </c>
      <c r="Y41" s="165"/>
      <c r="AA41" s="162" t="s">
        <v>370</v>
      </c>
      <c r="AB41" s="157" t="s">
        <v>729</v>
      </c>
      <c r="AF41" s="162" t="s">
        <v>265</v>
      </c>
      <c r="AG41" s="157" t="s">
        <v>567</v>
      </c>
      <c r="AH41" s="154">
        <v>0.27700000000000002</v>
      </c>
      <c r="AK41" s="162" t="s">
        <v>175</v>
      </c>
      <c r="AL41" s="157" t="s">
        <v>1132</v>
      </c>
      <c r="AM41" s="154">
        <v>5.8497881525301785E-3</v>
      </c>
      <c r="AN41" s="154">
        <v>50.036000000000001</v>
      </c>
      <c r="AP41" s="162"/>
      <c r="AQ41" s="157" t="s">
        <v>670</v>
      </c>
      <c r="AR41" s="154">
        <v>1E-3</v>
      </c>
      <c r="AS41" s="154">
        <v>0</v>
      </c>
      <c r="BA41" s="162" t="s">
        <v>566</v>
      </c>
      <c r="BB41" s="158" t="s">
        <v>567</v>
      </c>
      <c r="BC41" s="158">
        <v>0.17365</v>
      </c>
      <c r="BF41" s="162" t="s">
        <v>999</v>
      </c>
      <c r="BG41" s="154" t="s">
        <v>1125</v>
      </c>
      <c r="BH41" s="154">
        <v>3.8650592000000001</v>
      </c>
      <c r="BK41" s="162"/>
      <c r="BL41" s="158" t="s">
        <v>567</v>
      </c>
      <c r="BM41" s="158">
        <v>0.338945</v>
      </c>
      <c r="BQ41" s="162" t="s">
        <v>283</v>
      </c>
      <c r="BR41" s="158" t="s">
        <v>670</v>
      </c>
      <c r="BS41" s="158">
        <v>0.32</v>
      </c>
      <c r="BT41" s="158">
        <v>-1.3942300000000001</v>
      </c>
      <c r="BV41" s="162" t="s">
        <v>581</v>
      </c>
      <c r="BW41" s="158" t="s">
        <v>1125</v>
      </c>
      <c r="BX41" s="158">
        <v>-4</v>
      </c>
      <c r="CA41" s="480" t="s">
        <v>714</v>
      </c>
      <c r="CB41" s="479" t="s">
        <v>670</v>
      </c>
      <c r="CC41" s="479">
        <v>0.4</v>
      </c>
      <c r="CD41" s="479">
        <v>1.2861899999999999</v>
      </c>
      <c r="CM41" s="498" t="s">
        <v>710</v>
      </c>
      <c r="CN41" s="157" t="s">
        <v>567</v>
      </c>
      <c r="CO41" s="157">
        <v>0.4</v>
      </c>
      <c r="CT41" s="162" t="s">
        <v>217</v>
      </c>
      <c r="CU41" s="154" t="s">
        <v>567</v>
      </c>
      <c r="CV41" s="154">
        <v>0.36499999999999999</v>
      </c>
      <c r="CZ41" s="162">
        <v>6</v>
      </c>
      <c r="DA41" s="154" t="s">
        <v>1077</v>
      </c>
      <c r="DB41" s="154">
        <v>2.4543692999999998E-2</v>
      </c>
      <c r="DC41" s="154">
        <v>21.124366999999999</v>
      </c>
      <c r="DE41" s="162" t="s">
        <v>1133</v>
      </c>
      <c r="DF41" s="154" t="s">
        <v>567</v>
      </c>
      <c r="DG41" s="154">
        <v>0.16914999</v>
      </c>
    </row>
    <row r="42" spans="1:112" ht="15.75">
      <c r="A42" s="205"/>
      <c r="B42" s="174" t="s">
        <v>1077</v>
      </c>
      <c r="C42" s="179">
        <f>C43/2</f>
        <v>0.1285345</v>
      </c>
      <c r="D42" s="204">
        <v>1.556</v>
      </c>
      <c r="G42" s="162"/>
      <c r="H42" s="154" t="s">
        <v>567</v>
      </c>
      <c r="I42" s="154">
        <v>0.38555000000000011</v>
      </c>
      <c r="L42" s="162"/>
      <c r="M42" s="154" t="s">
        <v>567</v>
      </c>
      <c r="N42" s="154">
        <v>0.1618</v>
      </c>
      <c r="Q42" s="162"/>
      <c r="R42" s="154" t="s">
        <v>567</v>
      </c>
      <c r="S42" s="154">
        <v>0.38600000000000001</v>
      </c>
      <c r="V42" s="214" t="s">
        <v>218</v>
      </c>
      <c r="W42" s="215" t="s">
        <v>698</v>
      </c>
      <c r="X42" s="201">
        <v>0</v>
      </c>
      <c r="Y42" s="201">
        <v>0</v>
      </c>
      <c r="AA42" s="162" t="s">
        <v>1093</v>
      </c>
      <c r="AB42" s="157" t="s">
        <v>567</v>
      </c>
      <c r="AC42" s="154">
        <v>0.8</v>
      </c>
      <c r="AF42" s="162" t="s">
        <v>219</v>
      </c>
      <c r="AG42" s="157" t="s">
        <v>729</v>
      </c>
      <c r="AK42" s="162"/>
      <c r="AL42" s="157" t="s">
        <v>1077</v>
      </c>
      <c r="AM42" s="154">
        <v>0.05</v>
      </c>
      <c r="AN42" s="154">
        <v>23.366299999999999</v>
      </c>
      <c r="AP42" s="162"/>
      <c r="AQ42" s="157" t="s">
        <v>567</v>
      </c>
      <c r="AR42" s="154">
        <v>0.28299998999999998</v>
      </c>
      <c r="BA42" s="162"/>
      <c r="BB42" s="158" t="s">
        <v>567</v>
      </c>
      <c r="BC42" s="158">
        <v>0.12634999999999999</v>
      </c>
      <c r="BF42" s="162" t="s">
        <v>677</v>
      </c>
      <c r="BG42" s="154" t="s">
        <v>567</v>
      </c>
      <c r="BH42" s="154">
        <v>0.25</v>
      </c>
      <c r="BK42" s="162" t="s">
        <v>264</v>
      </c>
      <c r="BL42" s="158" t="s">
        <v>1125</v>
      </c>
      <c r="BM42" s="158">
        <v>-2.5099100000000001</v>
      </c>
      <c r="BN42" s="158">
        <v>0</v>
      </c>
      <c r="BQ42" s="162" t="s">
        <v>993</v>
      </c>
      <c r="BR42" s="158" t="s">
        <v>567</v>
      </c>
      <c r="BS42" s="158">
        <v>0.44</v>
      </c>
      <c r="BV42" s="162" t="s">
        <v>1138</v>
      </c>
      <c r="BW42" s="158" t="s">
        <v>567</v>
      </c>
      <c r="BX42" s="158">
        <v>0.27500000000000002</v>
      </c>
      <c r="CA42" s="480" t="s">
        <v>205</v>
      </c>
      <c r="CB42" s="479" t="s">
        <v>567</v>
      </c>
      <c r="CC42" s="479">
        <v>0.19900000000000001</v>
      </c>
      <c r="CM42" s="498" t="s">
        <v>126</v>
      </c>
      <c r="CN42" s="157" t="s">
        <v>1077</v>
      </c>
      <c r="CO42" s="157">
        <v>5.2359879999999998E-2</v>
      </c>
      <c r="CP42" s="157">
        <v>25.019159999999999</v>
      </c>
      <c r="CT42" s="162" t="s">
        <v>1193</v>
      </c>
      <c r="CU42" s="154" t="s">
        <v>1125</v>
      </c>
      <c r="CV42" s="154">
        <v>9.9999999999999995E-7</v>
      </c>
      <c r="CW42" s="154">
        <v>0</v>
      </c>
      <c r="CZ42" s="162" t="s">
        <v>220</v>
      </c>
      <c r="DA42" s="154" t="s">
        <v>567</v>
      </c>
      <c r="DB42" s="154">
        <v>0.30000000999999998</v>
      </c>
      <c r="DE42" s="162" t="s">
        <v>221</v>
      </c>
      <c r="DF42" s="154" t="s">
        <v>670</v>
      </c>
      <c r="DG42" s="154">
        <v>0.10585</v>
      </c>
      <c r="DH42" s="154">
        <v>-2.5014354999999999</v>
      </c>
    </row>
    <row r="43" spans="1:112" ht="15.75">
      <c r="A43" s="194" t="s">
        <v>175</v>
      </c>
      <c r="B43" s="174" t="s">
        <v>760</v>
      </c>
      <c r="C43" s="179">
        <v>0.25706899999999999</v>
      </c>
      <c r="D43" s="204">
        <v>1.556</v>
      </c>
      <c r="G43" s="162" t="s">
        <v>148</v>
      </c>
      <c r="H43" s="154" t="s">
        <v>698</v>
      </c>
      <c r="I43" s="154">
        <v>0</v>
      </c>
      <c r="J43" s="154">
        <v>0</v>
      </c>
      <c r="L43" s="162"/>
      <c r="M43" s="154" t="s">
        <v>1125</v>
      </c>
      <c r="N43" s="154">
        <v>0</v>
      </c>
      <c r="O43" s="154">
        <v>0</v>
      </c>
      <c r="P43" s="154">
        <v>0</v>
      </c>
      <c r="Q43" s="162" t="s">
        <v>588</v>
      </c>
      <c r="R43" s="154" t="s">
        <v>698</v>
      </c>
      <c r="S43" s="154">
        <v>0</v>
      </c>
      <c r="T43" s="154">
        <v>0</v>
      </c>
      <c r="V43" s="194" t="s">
        <v>265</v>
      </c>
      <c r="W43" s="163" t="s">
        <v>567</v>
      </c>
      <c r="X43" s="170">
        <v>0.27700000000000002</v>
      </c>
      <c r="Y43" s="165"/>
      <c r="AA43" s="162" t="s">
        <v>125</v>
      </c>
      <c r="AB43" s="157" t="s">
        <v>698</v>
      </c>
      <c r="AC43" s="154">
        <v>0</v>
      </c>
      <c r="AD43" s="154">
        <v>0</v>
      </c>
      <c r="AF43" s="162" t="s">
        <v>265</v>
      </c>
      <c r="AG43" s="157" t="s">
        <v>567</v>
      </c>
      <c r="AH43" s="154">
        <v>0.27700000000000002</v>
      </c>
      <c r="AK43" s="162"/>
      <c r="AL43" s="157" t="s">
        <v>567</v>
      </c>
      <c r="AM43" s="154">
        <f>0.95475/2</f>
        <v>0.47737499999999999</v>
      </c>
      <c r="AP43" s="162"/>
      <c r="AQ43" s="157" t="s">
        <v>729</v>
      </c>
      <c r="BA43" s="162" t="s">
        <v>367</v>
      </c>
      <c r="BB43" s="158" t="s">
        <v>1125</v>
      </c>
      <c r="BC43" s="158">
        <f>3.82067238/2/2</f>
        <v>0.95516809499999999</v>
      </c>
      <c r="BF43" s="162" t="s">
        <v>1104</v>
      </c>
      <c r="BG43" s="154" t="s">
        <v>567</v>
      </c>
      <c r="BH43" s="154">
        <v>0.30609999999999998</v>
      </c>
      <c r="BK43" s="162"/>
      <c r="BL43" s="158" t="s">
        <v>567</v>
      </c>
      <c r="BM43" s="158">
        <v>0.42019000000000001</v>
      </c>
      <c r="BQ43" s="162" t="s">
        <v>1076</v>
      </c>
      <c r="BR43" s="158" t="s">
        <v>1077</v>
      </c>
      <c r="BS43" s="158">
        <v>9.8174999999999998E-2</v>
      </c>
      <c r="BT43" s="158">
        <v>5.36</v>
      </c>
      <c r="BV43" s="162" t="s">
        <v>1076</v>
      </c>
      <c r="BW43" s="158" t="s">
        <v>1077</v>
      </c>
      <c r="BX43" s="158">
        <v>9.8174999999999998E-2</v>
      </c>
      <c r="BY43" s="158">
        <v>7.0470423000000002</v>
      </c>
      <c r="BZ43" s="154"/>
      <c r="CA43" s="481" t="s">
        <v>715</v>
      </c>
      <c r="CB43" s="482" t="s">
        <v>729</v>
      </c>
      <c r="CC43" s="482"/>
      <c r="CD43" s="482"/>
      <c r="CE43" s="482"/>
      <c r="CF43" s="482"/>
      <c r="CM43" s="498" t="s">
        <v>127</v>
      </c>
      <c r="CN43" s="157" t="s">
        <v>1132</v>
      </c>
      <c r="CO43" s="157">
        <v>0.1047198</v>
      </c>
      <c r="CP43" s="157">
        <v>25.019159999999999</v>
      </c>
      <c r="CQ43" s="157">
        <v>0</v>
      </c>
      <c r="CT43" s="162" t="s">
        <v>217</v>
      </c>
      <c r="CU43" s="154" t="s">
        <v>567</v>
      </c>
      <c r="CV43" s="154">
        <v>0.36499999999999999</v>
      </c>
      <c r="CZ43" s="162" t="s">
        <v>222</v>
      </c>
      <c r="DA43" s="154" t="s">
        <v>670</v>
      </c>
      <c r="DB43" s="154">
        <v>0.40000001000000002</v>
      </c>
      <c r="DC43" s="154">
        <v>-2.1531012</v>
      </c>
      <c r="DE43" s="162" t="s">
        <v>223</v>
      </c>
      <c r="DF43" s="154" t="s">
        <v>1125</v>
      </c>
      <c r="DG43" s="154">
        <v>-7.6219979999999996</v>
      </c>
    </row>
    <row r="44" spans="1:112" ht="15.75">
      <c r="A44" s="205"/>
      <c r="B44" s="174" t="s">
        <v>1077</v>
      </c>
      <c r="C44" s="179">
        <f>C43/2</f>
        <v>0.1285345</v>
      </c>
      <c r="D44" s="204">
        <f>1.556</f>
        <v>1.556</v>
      </c>
      <c r="G44" s="162"/>
      <c r="H44" s="154" t="s">
        <v>567</v>
      </c>
      <c r="I44" s="154">
        <v>0.16500000000000001</v>
      </c>
      <c r="L44" s="162"/>
      <c r="M44" s="154" t="s">
        <v>567</v>
      </c>
      <c r="N44" s="154">
        <v>0.24</v>
      </c>
      <c r="Q44" s="162"/>
      <c r="R44" s="154" t="s">
        <v>567</v>
      </c>
      <c r="S44" s="154">
        <v>0.16500000000000001</v>
      </c>
      <c r="V44" s="207" t="s">
        <v>671</v>
      </c>
      <c r="W44" s="208" t="s">
        <v>729</v>
      </c>
      <c r="X44" s="209"/>
      <c r="Y44" s="165"/>
      <c r="AA44" s="162" t="s">
        <v>1093</v>
      </c>
      <c r="AB44" s="157" t="s">
        <v>567</v>
      </c>
      <c r="AC44" s="154">
        <v>2.2040000000000002</v>
      </c>
      <c r="AF44" s="162" t="s">
        <v>38</v>
      </c>
      <c r="AG44" s="157" t="s">
        <v>698</v>
      </c>
      <c r="AH44" s="154">
        <v>0</v>
      </c>
      <c r="AI44" s="154">
        <v>0</v>
      </c>
      <c r="AK44" s="162" t="s">
        <v>1069</v>
      </c>
      <c r="AL44" s="157" t="s">
        <v>698</v>
      </c>
      <c r="AM44" s="154">
        <v>0</v>
      </c>
      <c r="AN44" s="154">
        <v>0</v>
      </c>
      <c r="AP44" s="162"/>
      <c r="AQ44" s="157" t="s">
        <v>567</v>
      </c>
      <c r="AR44" s="154">
        <v>9.5294997000000006E-2</v>
      </c>
      <c r="BA44" s="162"/>
      <c r="BB44" s="158" t="s">
        <v>254</v>
      </c>
      <c r="BF44" s="162" t="s">
        <v>124</v>
      </c>
      <c r="BG44" s="154" t="s">
        <v>670</v>
      </c>
      <c r="BH44" s="154">
        <v>0.51</v>
      </c>
      <c r="BI44" s="154">
        <v>0.62670983000000002</v>
      </c>
      <c r="BK44" s="162" t="s">
        <v>578</v>
      </c>
      <c r="BL44" s="158" t="s">
        <v>670</v>
      </c>
      <c r="BM44" s="158">
        <v>0.51961999999999997</v>
      </c>
      <c r="BN44" s="158">
        <v>0.74956100000000003</v>
      </c>
      <c r="BQ44" s="162" t="s">
        <v>611</v>
      </c>
      <c r="BR44" s="158" t="s">
        <v>1132</v>
      </c>
      <c r="BS44" s="158">
        <v>9.8174999999999998E-2</v>
      </c>
      <c r="BT44" s="158">
        <v>5.36</v>
      </c>
      <c r="BV44" s="162" t="s">
        <v>821</v>
      </c>
      <c r="BW44" s="158" t="s">
        <v>1132</v>
      </c>
      <c r="BX44" s="158">
        <f>1.383684/BY44/2</f>
        <v>9.8174804484996478E-2</v>
      </c>
      <c r="BY44" s="158">
        <v>7.0470423000000002</v>
      </c>
      <c r="BZ44" s="154">
        <v>29.1260622368907</v>
      </c>
      <c r="CA44" s="481" t="s">
        <v>204</v>
      </c>
      <c r="CB44" s="482" t="s">
        <v>79</v>
      </c>
      <c r="CC44" s="482">
        <v>0.2</v>
      </c>
      <c r="CD44" s="482"/>
      <c r="CE44" s="482">
        <v>-16.4864</v>
      </c>
      <c r="CF44" s="482"/>
      <c r="CM44" s="498" t="s">
        <v>335</v>
      </c>
      <c r="CN44" s="157" t="s">
        <v>1077</v>
      </c>
      <c r="CO44" s="157">
        <v>5.2359879999999998E-2</v>
      </c>
      <c r="CP44" s="157">
        <v>25.019159999999999</v>
      </c>
      <c r="CT44" s="162" t="s">
        <v>39</v>
      </c>
      <c r="CU44" s="154" t="s">
        <v>1077</v>
      </c>
      <c r="CV44" s="154">
        <v>4.1099999999999998E-2</v>
      </c>
      <c r="CW44" s="154">
        <v>25</v>
      </c>
      <c r="CX44" s="154">
        <v>0</v>
      </c>
      <c r="CZ44" s="162" t="s">
        <v>216</v>
      </c>
      <c r="DA44" s="154" t="s">
        <v>567</v>
      </c>
      <c r="DB44" s="154">
        <v>0.30000000999999998</v>
      </c>
      <c r="DE44" s="162" t="s">
        <v>221</v>
      </c>
      <c r="DF44" s="154" t="s">
        <v>670</v>
      </c>
      <c r="DG44" s="154">
        <v>0.10585</v>
      </c>
      <c r="DH44" s="154">
        <v>-2.5014354999999999</v>
      </c>
    </row>
    <row r="45" spans="1:112">
      <c r="A45" s="194" t="s">
        <v>1031</v>
      </c>
      <c r="B45" s="159" t="s">
        <v>567</v>
      </c>
      <c r="C45" s="170">
        <v>0.85019</v>
      </c>
      <c r="D45" s="165"/>
      <c r="G45" s="162"/>
      <c r="H45" s="154" t="s">
        <v>729</v>
      </c>
      <c r="L45" s="162"/>
      <c r="M45" s="154" t="s">
        <v>1077</v>
      </c>
      <c r="N45" s="154">
        <v>4.759988869075444E-2</v>
      </c>
      <c r="O45" s="154">
        <v>21.995799999999999</v>
      </c>
      <c r="Q45" s="162"/>
      <c r="R45" s="154" t="s">
        <v>729</v>
      </c>
      <c r="V45" s="194" t="s">
        <v>265</v>
      </c>
      <c r="W45" s="163" t="s">
        <v>567</v>
      </c>
      <c r="X45" s="170">
        <v>0.27700000000000002</v>
      </c>
      <c r="Y45" s="165"/>
      <c r="AA45" s="162" t="s">
        <v>981</v>
      </c>
      <c r="AB45" s="157" t="s">
        <v>698</v>
      </c>
      <c r="AC45" s="154">
        <v>0</v>
      </c>
      <c r="AD45" s="154">
        <v>0</v>
      </c>
      <c r="AF45" s="162" t="s">
        <v>703</v>
      </c>
      <c r="AG45" s="157" t="s">
        <v>567</v>
      </c>
      <c r="AH45" s="154">
        <v>0.373</v>
      </c>
      <c r="AK45" s="162"/>
      <c r="AL45" s="157" t="s">
        <v>567</v>
      </c>
      <c r="AM45" s="154">
        <f>0.95475/2</f>
        <v>0.47737499999999999</v>
      </c>
      <c r="AP45" s="162" t="s">
        <v>191</v>
      </c>
      <c r="AQ45" s="157" t="s">
        <v>670</v>
      </c>
      <c r="AR45" s="154">
        <v>0.94340997999999998</v>
      </c>
      <c r="AS45" s="154">
        <v>0.450488</v>
      </c>
      <c r="BF45" s="162" t="s">
        <v>361</v>
      </c>
      <c r="BG45" s="154" t="s">
        <v>567</v>
      </c>
      <c r="BH45" s="154">
        <v>0.3468</v>
      </c>
      <c r="BK45" s="162"/>
      <c r="BL45" s="158" t="s">
        <v>567</v>
      </c>
      <c r="BM45" s="158">
        <v>0.10718999999999999</v>
      </c>
      <c r="BQ45" s="162" t="s">
        <v>908</v>
      </c>
      <c r="BR45" s="158" t="s">
        <v>1132</v>
      </c>
      <c r="BS45" s="158">
        <v>9.8174999999999998E-2</v>
      </c>
      <c r="BT45" s="158">
        <v>5.36</v>
      </c>
      <c r="BV45" s="162" t="s">
        <v>821</v>
      </c>
      <c r="BW45" s="158" t="s">
        <v>1132</v>
      </c>
      <c r="BX45" s="158">
        <f>1.383684/BY45/2</f>
        <v>9.8174804484996478E-2</v>
      </c>
      <c r="BY45" s="158">
        <v>7.0470423000000002</v>
      </c>
      <c r="BZ45" s="154">
        <v>29.1260622368907</v>
      </c>
      <c r="CA45" s="481" t="s">
        <v>1043</v>
      </c>
      <c r="CB45" s="482" t="s">
        <v>567</v>
      </c>
      <c r="CC45" s="482">
        <v>0.42499999999999999</v>
      </c>
      <c r="CD45" s="482"/>
      <c r="CE45" s="482"/>
      <c r="CF45" s="482"/>
      <c r="CM45" s="498" t="s">
        <v>336</v>
      </c>
      <c r="CN45" s="157" t="s">
        <v>567</v>
      </c>
      <c r="CO45" s="157">
        <v>0.55000000000000004</v>
      </c>
      <c r="CT45" s="162" t="s">
        <v>1016</v>
      </c>
      <c r="CU45" s="154" t="s">
        <v>760</v>
      </c>
      <c r="CV45" s="154">
        <v>4.1099999999999998E-2</v>
      </c>
      <c r="CW45" s="154">
        <v>25</v>
      </c>
      <c r="CX45" s="154">
        <v>400</v>
      </c>
      <c r="CZ45" s="162" t="s">
        <v>765</v>
      </c>
      <c r="DA45" s="154" t="s">
        <v>670</v>
      </c>
      <c r="DB45" s="154">
        <v>0.62</v>
      </c>
      <c r="DC45" s="154">
        <v>2.3929988999999998</v>
      </c>
      <c r="DE45" s="162" t="s">
        <v>202</v>
      </c>
      <c r="DF45" s="154" t="s">
        <v>567</v>
      </c>
      <c r="DG45" s="154">
        <v>5.2650001000000002E-2</v>
      </c>
    </row>
    <row r="46" spans="1:112">
      <c r="A46" s="194" t="s">
        <v>218</v>
      </c>
      <c r="B46" s="200" t="s">
        <v>698</v>
      </c>
      <c r="C46" s="201">
        <v>0</v>
      </c>
      <c r="D46" s="201">
        <v>0</v>
      </c>
      <c r="G46" s="162"/>
      <c r="H46" s="154" t="s">
        <v>567</v>
      </c>
      <c r="I46" s="154">
        <v>0.19500000000000001</v>
      </c>
      <c r="L46" s="162"/>
      <c r="M46" s="154" t="s">
        <v>760</v>
      </c>
      <c r="N46" s="154">
        <v>4.759988869075444E-2</v>
      </c>
      <c r="O46" s="154">
        <v>22</v>
      </c>
      <c r="P46" s="154">
        <v>0</v>
      </c>
      <c r="Q46" s="162"/>
      <c r="R46" s="154" t="s">
        <v>567</v>
      </c>
      <c r="S46" s="154">
        <v>0.19500000000000001</v>
      </c>
      <c r="V46" s="214" t="s">
        <v>389</v>
      </c>
      <c r="W46" s="215" t="s">
        <v>698</v>
      </c>
      <c r="X46" s="201">
        <v>0</v>
      </c>
      <c r="Y46" s="201">
        <v>0</v>
      </c>
      <c r="AA46" s="162" t="s">
        <v>265</v>
      </c>
      <c r="AB46" s="157" t="s">
        <v>567</v>
      </c>
      <c r="AC46" s="154">
        <v>0.27700000000000002</v>
      </c>
      <c r="AF46" s="162" t="s">
        <v>376</v>
      </c>
      <c r="AG46" s="157" t="s">
        <v>670</v>
      </c>
      <c r="AH46" s="154">
        <v>0.6</v>
      </c>
      <c r="AI46" s="154">
        <v>-0.95448500000000003</v>
      </c>
      <c r="AK46" s="162"/>
      <c r="AL46" s="157" t="s">
        <v>729</v>
      </c>
      <c r="AP46" s="162"/>
      <c r="AQ46" s="157" t="s">
        <v>567</v>
      </c>
      <c r="AR46" s="154">
        <v>0.32829499000000001</v>
      </c>
      <c r="BF46" s="162" t="s">
        <v>92</v>
      </c>
      <c r="BG46" s="154" t="s">
        <v>567</v>
      </c>
      <c r="BH46" s="154">
        <v>0.15</v>
      </c>
      <c r="BK46" s="162"/>
      <c r="BL46" s="158" t="s">
        <v>729</v>
      </c>
      <c r="BQ46" s="162" t="s">
        <v>741</v>
      </c>
      <c r="BR46" s="158" t="s">
        <v>1077</v>
      </c>
      <c r="BS46" s="158">
        <v>9.8174999999999998E-2</v>
      </c>
      <c r="BT46" s="158">
        <v>5.36</v>
      </c>
      <c r="BV46" s="162" t="s">
        <v>741</v>
      </c>
      <c r="BW46" s="158" t="s">
        <v>1077</v>
      </c>
      <c r="BX46" s="158">
        <v>9.8174999999999998E-2</v>
      </c>
      <c r="BY46" s="158">
        <v>7.0470423000000002</v>
      </c>
      <c r="BZ46" s="154"/>
      <c r="CA46" s="481" t="s">
        <v>716</v>
      </c>
      <c r="CB46" s="482" t="s">
        <v>670</v>
      </c>
      <c r="CC46" s="482">
        <v>0.4</v>
      </c>
      <c r="CD46" s="482">
        <v>-1.04495</v>
      </c>
      <c r="CE46" s="482"/>
      <c r="CF46" s="482"/>
      <c r="CM46" s="498" t="s">
        <v>959</v>
      </c>
      <c r="CN46" s="157" t="s">
        <v>698</v>
      </c>
      <c r="CO46" s="157">
        <v>0</v>
      </c>
      <c r="CP46" s="157">
        <v>0</v>
      </c>
      <c r="CT46" s="162" t="s">
        <v>1016</v>
      </c>
      <c r="CU46" s="154" t="s">
        <v>760</v>
      </c>
      <c r="CV46" s="154">
        <v>4.1099999999999998E-2</v>
      </c>
      <c r="CW46" s="154">
        <v>25</v>
      </c>
      <c r="CX46" s="154">
        <v>400</v>
      </c>
      <c r="CZ46" s="162" t="s">
        <v>377</v>
      </c>
      <c r="DA46" s="154" t="s">
        <v>567</v>
      </c>
      <c r="DB46" s="154">
        <v>0.30000000999999998</v>
      </c>
      <c r="DE46" s="162" t="s">
        <v>134</v>
      </c>
      <c r="DF46" s="154" t="s">
        <v>567</v>
      </c>
      <c r="DG46" s="154">
        <v>1.05057</v>
      </c>
    </row>
    <row r="47" spans="1:112">
      <c r="A47" s="194" t="s">
        <v>207</v>
      </c>
      <c r="B47" s="159" t="s">
        <v>567</v>
      </c>
      <c r="C47" s="170">
        <v>0.44600000000000001</v>
      </c>
      <c r="D47" s="165"/>
      <c r="G47" s="162" t="s">
        <v>366</v>
      </c>
      <c r="H47" s="154" t="s">
        <v>670</v>
      </c>
      <c r="I47" s="154">
        <v>0.3</v>
      </c>
      <c r="J47" s="154">
        <v>-0.65</v>
      </c>
      <c r="L47" s="162"/>
      <c r="M47" s="154" t="s">
        <v>254</v>
      </c>
      <c r="Q47" s="162" t="s">
        <v>366</v>
      </c>
      <c r="R47" s="154" t="s">
        <v>670</v>
      </c>
      <c r="S47" s="154">
        <v>0.3</v>
      </c>
      <c r="T47" s="154">
        <v>-0.65</v>
      </c>
      <c r="V47" s="194" t="s">
        <v>703</v>
      </c>
      <c r="W47" s="163" t="s">
        <v>567</v>
      </c>
      <c r="X47" s="170">
        <v>0.373</v>
      </c>
      <c r="Y47" s="165"/>
      <c r="AA47" s="162" t="s">
        <v>1128</v>
      </c>
      <c r="AB47" s="157" t="s">
        <v>729</v>
      </c>
      <c r="AF47" s="162" t="s">
        <v>208</v>
      </c>
      <c r="AG47" s="157" t="s">
        <v>567</v>
      </c>
      <c r="AH47" s="154">
        <v>0.72699999999999998</v>
      </c>
      <c r="AK47" s="162"/>
      <c r="AL47" s="157" t="s">
        <v>567</v>
      </c>
      <c r="AM47" s="154">
        <v>0.105945</v>
      </c>
      <c r="AP47" s="162" t="s">
        <v>367</v>
      </c>
      <c r="AQ47" s="157" t="s">
        <v>1125</v>
      </c>
      <c r="AR47" s="154">
        <v>1.032</v>
      </c>
      <c r="AS47" s="154">
        <v>0</v>
      </c>
      <c r="BF47" s="162" t="s">
        <v>575</v>
      </c>
      <c r="BG47" s="154" t="s">
        <v>1125</v>
      </c>
      <c r="BH47" s="154">
        <v>-2.2690169</v>
      </c>
      <c r="BK47" s="162"/>
      <c r="BL47" s="158" t="s">
        <v>567</v>
      </c>
      <c r="BM47" s="158">
        <v>0.38300000000000001</v>
      </c>
      <c r="BQ47" s="162" t="s">
        <v>993</v>
      </c>
      <c r="BR47" s="158" t="s">
        <v>567</v>
      </c>
      <c r="BS47" s="158">
        <v>0.44</v>
      </c>
      <c r="BV47" s="162" t="s">
        <v>405</v>
      </c>
      <c r="BW47" s="158" t="s">
        <v>567</v>
      </c>
      <c r="BX47" s="158">
        <v>0.31</v>
      </c>
      <c r="CA47" s="480" t="s">
        <v>1040</v>
      </c>
      <c r="CB47" s="479" t="s">
        <v>567</v>
      </c>
      <c r="CC47" s="479">
        <v>0.58750000000000002</v>
      </c>
      <c r="CM47" s="498" t="s">
        <v>337</v>
      </c>
      <c r="CN47" s="157" t="s">
        <v>567</v>
      </c>
      <c r="CO47" s="157">
        <v>0.125</v>
      </c>
      <c r="CT47" s="162" t="s">
        <v>39</v>
      </c>
      <c r="CU47" s="154" t="s">
        <v>1077</v>
      </c>
      <c r="CV47" s="154">
        <v>4.1099999999999998E-2</v>
      </c>
      <c r="CW47" s="154">
        <v>25</v>
      </c>
      <c r="CX47" s="154">
        <v>0</v>
      </c>
      <c r="CZ47" s="162" t="s">
        <v>513</v>
      </c>
      <c r="DA47" s="154" t="s">
        <v>670</v>
      </c>
      <c r="DB47" s="154">
        <v>0.30000000999999998</v>
      </c>
      <c r="DC47" s="154">
        <v>-1.6494633000000001</v>
      </c>
      <c r="DE47" s="162">
        <v>3</v>
      </c>
      <c r="DF47" s="154" t="s">
        <v>1077</v>
      </c>
      <c r="DG47" s="154">
        <v>2.4543692999999998E-2</v>
      </c>
      <c r="DH47" s="154">
        <v>23.364453999999999</v>
      </c>
    </row>
    <row r="48" spans="1:112">
      <c r="A48" s="194" t="s">
        <v>671</v>
      </c>
      <c r="B48" s="216" t="s">
        <v>729</v>
      </c>
      <c r="C48" s="209"/>
      <c r="D48" s="165"/>
      <c r="G48" s="162"/>
      <c r="H48" s="154" t="s">
        <v>514</v>
      </c>
      <c r="L48" s="162"/>
      <c r="Q48" s="162" t="s">
        <v>366</v>
      </c>
      <c r="R48" s="154" t="s">
        <v>670</v>
      </c>
      <c r="S48" s="154">
        <v>0.3</v>
      </c>
      <c r="T48" s="154">
        <v>-0.65</v>
      </c>
      <c r="V48" s="217" t="s">
        <v>499</v>
      </c>
      <c r="W48" s="218" t="s">
        <v>670</v>
      </c>
      <c r="X48" s="206">
        <v>0.6</v>
      </c>
      <c r="Y48" s="206">
        <v>-0.49038300000000001</v>
      </c>
      <c r="AA48" s="162" t="s">
        <v>265</v>
      </c>
      <c r="AB48" s="157" t="s">
        <v>567</v>
      </c>
      <c r="AC48" s="154">
        <v>0.27700000000000002</v>
      </c>
      <c r="AF48" s="162"/>
      <c r="AG48" s="157" t="s">
        <v>1077</v>
      </c>
      <c r="AH48" s="154">
        <v>4.7600000000000003E-2</v>
      </c>
      <c r="AI48" s="154">
        <v>21.995999999999999</v>
      </c>
      <c r="AK48" s="162" t="s">
        <v>507</v>
      </c>
      <c r="AL48" s="157" t="s">
        <v>670</v>
      </c>
      <c r="AM48" s="154">
        <v>0.42210998999999999</v>
      </c>
      <c r="AN48" s="154">
        <v>-0.66051000000000004</v>
      </c>
      <c r="AP48" s="162"/>
      <c r="AQ48" s="157" t="s">
        <v>670</v>
      </c>
      <c r="AR48" s="154">
        <v>1E-3</v>
      </c>
      <c r="AS48" s="154">
        <v>0</v>
      </c>
      <c r="BF48" s="162" t="s">
        <v>92</v>
      </c>
      <c r="BG48" s="154" t="s">
        <v>567</v>
      </c>
      <c r="BH48" s="154">
        <v>0.15</v>
      </c>
      <c r="BK48" s="162" t="s">
        <v>758</v>
      </c>
      <c r="BL48" s="158" t="s">
        <v>1125</v>
      </c>
      <c r="BM48" s="158">
        <v>4.2526700000000002</v>
      </c>
      <c r="BN48" s="158">
        <v>0</v>
      </c>
      <c r="BQ48" s="162" t="s">
        <v>515</v>
      </c>
      <c r="BR48" s="158" t="s">
        <v>670</v>
      </c>
      <c r="BS48" s="158">
        <v>0.32</v>
      </c>
      <c r="BT48" s="158">
        <v>-1.1183099999999999</v>
      </c>
      <c r="BV48" s="162" t="s">
        <v>1078</v>
      </c>
      <c r="BW48" s="158" t="s">
        <v>1125</v>
      </c>
      <c r="BX48" s="158">
        <v>-7.3449999999999998</v>
      </c>
      <c r="CA48" s="480"/>
      <c r="CB48" s="479" t="s">
        <v>1077</v>
      </c>
      <c r="CC48" s="479">
        <v>6.5449999999999994E-2</v>
      </c>
      <c r="CD48" s="479">
        <v>7.1504969999999997</v>
      </c>
      <c r="CM48" s="498" t="s">
        <v>811</v>
      </c>
      <c r="CN48" s="157" t="s">
        <v>770</v>
      </c>
      <c r="CO48" s="157">
        <v>0</v>
      </c>
      <c r="CP48" s="157">
        <v>-0.269011</v>
      </c>
      <c r="CT48" s="162" t="s">
        <v>217</v>
      </c>
      <c r="CU48" s="154" t="s">
        <v>567</v>
      </c>
      <c r="CV48" s="154">
        <v>0.36499999999999999</v>
      </c>
      <c r="CZ48" s="162" t="s">
        <v>893</v>
      </c>
      <c r="DA48" s="154" t="s">
        <v>567</v>
      </c>
      <c r="DB48" s="154">
        <v>1.9</v>
      </c>
      <c r="DE48" s="162" t="s">
        <v>1001</v>
      </c>
      <c r="DF48" s="154" t="s">
        <v>760</v>
      </c>
      <c r="DG48" s="154">
        <v>2.4543692999999998E-2</v>
      </c>
      <c r="DH48" s="154">
        <v>23.364453999999999</v>
      </c>
    </row>
    <row r="49" spans="1:112">
      <c r="A49" s="194" t="s">
        <v>1031</v>
      </c>
      <c r="B49" s="159" t="s">
        <v>567</v>
      </c>
      <c r="C49" s="170">
        <v>0.35599999999999998</v>
      </c>
      <c r="D49" s="165"/>
      <c r="Q49" s="162"/>
      <c r="R49" s="154" t="s">
        <v>567</v>
      </c>
      <c r="S49" s="154">
        <v>0.1618</v>
      </c>
      <c r="V49" s="194" t="s">
        <v>1140</v>
      </c>
      <c r="W49" s="163" t="s">
        <v>567</v>
      </c>
      <c r="X49" s="170">
        <v>1.079</v>
      </c>
      <c r="Y49" s="165"/>
      <c r="AA49" s="162" t="s">
        <v>203</v>
      </c>
      <c r="AB49" s="157" t="s">
        <v>698</v>
      </c>
      <c r="AC49" s="154">
        <v>0</v>
      </c>
      <c r="AD49" s="154">
        <v>0</v>
      </c>
      <c r="AF49" s="162" t="s">
        <v>175</v>
      </c>
      <c r="AG49" s="157" t="s">
        <v>760</v>
      </c>
      <c r="AH49" s="154">
        <v>9.5200000000000007E-2</v>
      </c>
      <c r="AI49" s="154">
        <v>21.995999999999999</v>
      </c>
      <c r="AK49" s="162"/>
      <c r="AL49" s="157" t="s">
        <v>567</v>
      </c>
      <c r="AM49" s="154">
        <v>0.338945</v>
      </c>
      <c r="AP49" s="162"/>
      <c r="AQ49" s="157" t="s">
        <v>567</v>
      </c>
      <c r="AR49" s="154">
        <v>0.33097500000000002</v>
      </c>
      <c r="BF49" s="162" t="s">
        <v>1049</v>
      </c>
      <c r="BG49" s="154" t="s">
        <v>567</v>
      </c>
      <c r="BH49" s="154">
        <v>0.34689999999999999</v>
      </c>
      <c r="BK49" s="162" t="s">
        <v>209</v>
      </c>
      <c r="BL49" s="158" t="s">
        <v>698</v>
      </c>
      <c r="BM49" s="158">
        <v>0</v>
      </c>
      <c r="BN49" s="158">
        <v>0</v>
      </c>
      <c r="BQ49" s="162" t="s">
        <v>232</v>
      </c>
      <c r="BR49" s="158" t="s">
        <v>567</v>
      </c>
      <c r="BS49" s="158">
        <v>0.2</v>
      </c>
      <c r="BV49" s="162" t="s">
        <v>792</v>
      </c>
      <c r="BW49" s="158" t="s">
        <v>567</v>
      </c>
      <c r="BX49" s="158">
        <v>0.46500000000000002</v>
      </c>
      <c r="CA49" s="480"/>
      <c r="CB49" s="479" t="s">
        <v>1132</v>
      </c>
      <c r="CC49" s="479">
        <v>0.13089999999999999</v>
      </c>
      <c r="CD49" s="479">
        <v>7.1504969999999997</v>
      </c>
      <c r="CM49" s="498" t="s">
        <v>337</v>
      </c>
      <c r="CN49" s="157" t="s">
        <v>567</v>
      </c>
      <c r="CO49" s="157">
        <v>0.125</v>
      </c>
      <c r="CT49" s="162" t="s">
        <v>1193</v>
      </c>
      <c r="CU49" s="154" t="s">
        <v>1125</v>
      </c>
      <c r="CV49" s="154">
        <v>9.9999999999999995E-7</v>
      </c>
      <c r="CW49" s="154">
        <v>0</v>
      </c>
      <c r="CZ49" s="162"/>
      <c r="DA49" s="154" t="s">
        <v>254</v>
      </c>
      <c r="DE49" s="162" t="s">
        <v>1001</v>
      </c>
      <c r="DF49" s="154" t="s">
        <v>760</v>
      </c>
      <c r="DG49" s="154">
        <v>2.4543692999999998E-2</v>
      </c>
      <c r="DH49" s="154">
        <v>23.364453999999999</v>
      </c>
    </row>
    <row r="50" spans="1:112" ht="15.75">
      <c r="A50" s="194" t="s">
        <v>1065</v>
      </c>
      <c r="B50" s="216" t="s">
        <v>729</v>
      </c>
      <c r="C50" s="209"/>
      <c r="D50" s="165"/>
      <c r="Q50" s="162" t="s">
        <v>999</v>
      </c>
      <c r="R50" s="154" t="s">
        <v>1125</v>
      </c>
      <c r="S50" s="154">
        <v>0</v>
      </c>
      <c r="T50" s="154">
        <v>0</v>
      </c>
      <c r="V50" s="219"/>
      <c r="W50" s="203" t="s">
        <v>1077</v>
      </c>
      <c r="X50" s="179">
        <v>4.7600000000000003E-2</v>
      </c>
      <c r="Y50" s="204">
        <v>21.995999999999999</v>
      </c>
      <c r="AA50" s="162" t="s">
        <v>703</v>
      </c>
      <c r="AB50" s="157" t="s">
        <v>567</v>
      </c>
      <c r="AC50" s="154">
        <v>0.373</v>
      </c>
      <c r="AF50" s="162"/>
      <c r="AG50" s="157" t="s">
        <v>1077</v>
      </c>
      <c r="AH50" s="154">
        <v>4.7600000000000003E-2</v>
      </c>
      <c r="AI50" s="154">
        <v>21.995999999999999</v>
      </c>
      <c r="AK50" s="162" t="s">
        <v>264</v>
      </c>
      <c r="AL50" s="157" t="s">
        <v>1125</v>
      </c>
      <c r="AM50" s="154">
        <v>-2.1652273336696299</v>
      </c>
      <c r="AN50" s="154">
        <v>0</v>
      </c>
      <c r="AP50" s="162" t="s">
        <v>568</v>
      </c>
      <c r="AQ50" s="157" t="s">
        <v>670</v>
      </c>
      <c r="AR50" s="154">
        <v>0.43804999999999999</v>
      </c>
      <c r="AS50" s="154">
        <v>-0.114874</v>
      </c>
      <c r="BF50" s="162" t="s">
        <v>366</v>
      </c>
      <c r="BG50" s="154" t="s">
        <v>670</v>
      </c>
      <c r="BH50" s="154">
        <v>0.41</v>
      </c>
      <c r="BI50" s="154">
        <v>-0.56893269999999996</v>
      </c>
      <c r="BK50" s="162"/>
      <c r="BL50" s="158" t="s">
        <v>567</v>
      </c>
      <c r="BM50" s="158">
        <v>0.49019000000000001</v>
      </c>
      <c r="BQ50" s="162" t="s">
        <v>1066</v>
      </c>
      <c r="BR50" s="158" t="s">
        <v>1125</v>
      </c>
      <c r="BS50" s="158">
        <v>-3.69821</v>
      </c>
      <c r="BT50" s="158" t="s">
        <v>1178</v>
      </c>
      <c r="BV50" s="162" t="s">
        <v>765</v>
      </c>
      <c r="BW50" s="158" t="s">
        <v>670</v>
      </c>
      <c r="BX50" s="158">
        <v>0.56999999999999995</v>
      </c>
      <c r="BY50" s="158">
        <v>1.8596999999999999</v>
      </c>
      <c r="CA50" s="480"/>
      <c r="CB50" s="479" t="s">
        <v>1077</v>
      </c>
      <c r="CC50" s="479">
        <v>6.5449999999999994E-2</v>
      </c>
      <c r="CD50" s="479">
        <v>7.1504969999999997</v>
      </c>
      <c r="CM50" s="498" t="s">
        <v>338</v>
      </c>
      <c r="CN50" s="157" t="s">
        <v>567</v>
      </c>
      <c r="CO50" s="157">
        <v>0.15</v>
      </c>
      <c r="CT50" s="162" t="s">
        <v>217</v>
      </c>
      <c r="CU50" s="154" t="s">
        <v>567</v>
      </c>
      <c r="CV50" s="154">
        <v>0.36499999999999999</v>
      </c>
      <c r="DE50" s="162">
        <v>5</v>
      </c>
      <c r="DF50" s="154" t="s">
        <v>1077</v>
      </c>
      <c r="DG50" s="154">
        <v>2.4543692999999998E-2</v>
      </c>
      <c r="DH50" s="154">
        <v>23.364453999999999</v>
      </c>
    </row>
    <row r="51" spans="1:112" ht="15.75">
      <c r="A51" s="194" t="s">
        <v>1031</v>
      </c>
      <c r="B51" s="159" t="s">
        <v>567</v>
      </c>
      <c r="C51" s="170">
        <v>0.34799999999999998</v>
      </c>
      <c r="D51" s="165"/>
      <c r="Q51" s="162"/>
      <c r="R51" s="154" t="s">
        <v>567</v>
      </c>
      <c r="S51" s="154">
        <v>0.24</v>
      </c>
      <c r="V51" s="202" t="s">
        <v>175</v>
      </c>
      <c r="W51" s="203" t="s">
        <v>760</v>
      </c>
      <c r="X51" s="179">
        <v>9.5200000000000007E-2</v>
      </c>
      <c r="Y51" s="204">
        <v>21.995999999999999</v>
      </c>
      <c r="AA51" s="162" t="s">
        <v>334</v>
      </c>
      <c r="AB51" s="157" t="s">
        <v>670</v>
      </c>
      <c r="AC51" s="154">
        <v>0.6</v>
      </c>
      <c r="AD51" s="154">
        <v>0.611487</v>
      </c>
      <c r="AF51" s="162" t="s">
        <v>1181</v>
      </c>
      <c r="AG51" s="157" t="s">
        <v>567</v>
      </c>
      <c r="AH51" s="154">
        <v>0.379</v>
      </c>
      <c r="AK51" s="162"/>
      <c r="AL51" s="157" t="s">
        <v>567</v>
      </c>
      <c r="AM51" s="154">
        <v>0.42019001</v>
      </c>
      <c r="AP51" s="162"/>
      <c r="AQ51" s="157" t="s">
        <v>567</v>
      </c>
      <c r="AR51" s="154">
        <v>9.7975001000000006E-2</v>
      </c>
      <c r="BF51" s="162" t="s">
        <v>699</v>
      </c>
      <c r="BG51" s="154" t="s">
        <v>567</v>
      </c>
      <c r="BH51" s="154">
        <v>1.4145000000000001</v>
      </c>
      <c r="BK51" s="162" t="s">
        <v>578</v>
      </c>
      <c r="BL51" s="158" t="s">
        <v>670</v>
      </c>
      <c r="BM51" s="158">
        <f>BM44</f>
        <v>0.51961999999999997</v>
      </c>
      <c r="BN51" s="158">
        <f>BN44</f>
        <v>0.74956100000000003</v>
      </c>
      <c r="BQ51" s="162" t="s">
        <v>1078</v>
      </c>
      <c r="BR51" s="158" t="s">
        <v>567</v>
      </c>
      <c r="BS51" s="158">
        <v>0.39</v>
      </c>
      <c r="BV51" s="162" t="s">
        <v>420</v>
      </c>
      <c r="BW51" s="158" t="s">
        <v>567</v>
      </c>
      <c r="BX51" s="158">
        <v>0.26</v>
      </c>
      <c r="CA51" s="480" t="s">
        <v>1039</v>
      </c>
      <c r="CB51" s="479" t="s">
        <v>567</v>
      </c>
      <c r="CC51" s="479">
        <v>0.66749999999999998</v>
      </c>
      <c r="CM51" s="498" t="s">
        <v>729</v>
      </c>
      <c r="CN51" s="157" t="s">
        <v>729</v>
      </c>
      <c r="CT51" s="162" t="s">
        <v>77</v>
      </c>
      <c r="CU51" s="154" t="s">
        <v>670</v>
      </c>
      <c r="CV51" s="154">
        <v>0.25</v>
      </c>
      <c r="CW51" s="154">
        <v>-0.71299999999999997</v>
      </c>
      <c r="DE51" s="162" t="s">
        <v>518</v>
      </c>
      <c r="DF51" s="154" t="s">
        <v>567</v>
      </c>
      <c r="DG51" s="154">
        <v>0.46000001000000001</v>
      </c>
    </row>
    <row r="52" spans="1:112" ht="15.75">
      <c r="A52" s="205"/>
      <c r="B52" s="174" t="s">
        <v>1077</v>
      </c>
      <c r="C52" s="179">
        <f>C53/2</f>
        <v>0.1285345</v>
      </c>
      <c r="D52" s="204">
        <v>1.556</v>
      </c>
      <c r="Q52" s="162"/>
      <c r="R52" s="154" t="s">
        <v>567</v>
      </c>
      <c r="S52" s="154">
        <v>1.0471975511965976</v>
      </c>
      <c r="V52" s="219"/>
      <c r="W52" s="203" t="s">
        <v>1077</v>
      </c>
      <c r="X52" s="179">
        <v>4.7600000000000003E-2</v>
      </c>
      <c r="Y52" s="204">
        <v>21.995999999999999</v>
      </c>
      <c r="AA52" s="162" t="s">
        <v>859</v>
      </c>
      <c r="AB52" s="157" t="s">
        <v>567</v>
      </c>
      <c r="AC52" s="154">
        <v>1.81</v>
      </c>
      <c r="AF52" s="162" t="s">
        <v>519</v>
      </c>
      <c r="AG52" s="157" t="s">
        <v>670</v>
      </c>
      <c r="AH52" s="154">
        <v>0.6</v>
      </c>
      <c r="AI52" s="154">
        <v>0.75626499999999997</v>
      </c>
      <c r="AK52" s="162" t="s">
        <v>578</v>
      </c>
      <c r="AL52" s="157" t="s">
        <v>670</v>
      </c>
      <c r="AM52" s="154">
        <v>0.51961999999999997</v>
      </c>
      <c r="AN52" s="154">
        <v>0.74956100999999997</v>
      </c>
      <c r="AP52" s="162"/>
      <c r="AQ52" s="157" t="s">
        <v>729</v>
      </c>
      <c r="BF52" s="162"/>
      <c r="BG52" s="154" t="s">
        <v>1077</v>
      </c>
      <c r="BH52" s="154">
        <v>3.5699916518065831E-2</v>
      </c>
      <c r="BI52" s="154">
        <v>39.271800517811357</v>
      </c>
      <c r="BK52" s="162"/>
      <c r="BL52" s="158" t="s">
        <v>567</v>
      </c>
      <c r="BM52" s="158">
        <v>0.42019000000000001</v>
      </c>
      <c r="BQ52" s="162" t="s">
        <v>520</v>
      </c>
      <c r="BR52" s="158" t="s">
        <v>670</v>
      </c>
      <c r="BS52" s="158">
        <v>0.46</v>
      </c>
      <c r="BT52" s="158">
        <v>2.21705</v>
      </c>
      <c r="BV52" s="162" t="s">
        <v>977</v>
      </c>
      <c r="BW52" s="158" t="s">
        <v>1125</v>
      </c>
      <c r="BX52" s="158">
        <v>6.8380000000000001</v>
      </c>
      <c r="CA52" s="480" t="s">
        <v>1036</v>
      </c>
      <c r="CB52" s="479" t="s">
        <v>729</v>
      </c>
      <c r="CM52" s="498" t="s">
        <v>157</v>
      </c>
      <c r="CN52" s="157" t="s">
        <v>670</v>
      </c>
      <c r="CO52" s="157">
        <v>0.3</v>
      </c>
      <c r="CP52" s="157">
        <v>-1.016797</v>
      </c>
      <c r="CT52" s="162" t="s">
        <v>11</v>
      </c>
      <c r="CU52" s="154" t="s">
        <v>1125</v>
      </c>
      <c r="CV52" s="154">
        <v>-4.49</v>
      </c>
      <c r="DE52" s="162" t="s">
        <v>521</v>
      </c>
      <c r="DF52" s="154" t="s">
        <v>670</v>
      </c>
      <c r="DG52" s="154">
        <v>0.12</v>
      </c>
      <c r="DH52" s="154">
        <v>-2.5169845</v>
      </c>
    </row>
    <row r="53" spans="1:112" ht="15.75">
      <c r="A53" s="194" t="s">
        <v>175</v>
      </c>
      <c r="B53" s="174" t="s">
        <v>760</v>
      </c>
      <c r="C53" s="179">
        <v>0.25706899999999999</v>
      </c>
      <c r="D53" s="204">
        <v>1.556</v>
      </c>
      <c r="Q53" s="162" t="s">
        <v>532</v>
      </c>
      <c r="R53" s="154" t="s">
        <v>729</v>
      </c>
      <c r="V53" s="194" t="s">
        <v>417</v>
      </c>
      <c r="W53" s="163" t="s">
        <v>567</v>
      </c>
      <c r="X53" s="170">
        <v>3.395</v>
      </c>
      <c r="Y53" s="165"/>
      <c r="AA53" s="162" t="s">
        <v>218</v>
      </c>
      <c r="AB53" s="157" t="s">
        <v>698</v>
      </c>
      <c r="AC53" s="154">
        <v>0</v>
      </c>
      <c r="AD53" s="154">
        <v>0</v>
      </c>
      <c r="AF53" s="162" t="s">
        <v>418</v>
      </c>
      <c r="AG53" s="157" t="s">
        <v>567</v>
      </c>
      <c r="AH53" s="154">
        <v>1.77</v>
      </c>
      <c r="AK53" s="162"/>
      <c r="AL53" s="157" t="s">
        <v>567</v>
      </c>
      <c r="AM53" s="154">
        <v>0.10718999999999999</v>
      </c>
      <c r="AP53" s="162" t="s">
        <v>567</v>
      </c>
      <c r="AQ53" s="157" t="s">
        <v>567</v>
      </c>
      <c r="AR53" s="154">
        <v>3.0529999999999999</v>
      </c>
      <c r="BF53" s="162"/>
      <c r="BG53" s="154" t="s">
        <v>760</v>
      </c>
      <c r="BH53" s="154">
        <v>3.5699916518065831E-2</v>
      </c>
      <c r="BI53" s="154">
        <v>39.271800517811357</v>
      </c>
      <c r="BK53" s="162" t="s">
        <v>264</v>
      </c>
      <c r="BL53" s="158" t="s">
        <v>1125</v>
      </c>
      <c r="BM53" s="158">
        <v>-2.5099100000000001</v>
      </c>
      <c r="BN53" s="158">
        <v>0</v>
      </c>
      <c r="BQ53" s="162" t="s">
        <v>581</v>
      </c>
      <c r="BR53" s="158" t="s">
        <v>567</v>
      </c>
      <c r="BS53" s="158">
        <v>0.2</v>
      </c>
      <c r="BV53" s="162" t="s">
        <v>978</v>
      </c>
      <c r="BW53" s="158" t="s">
        <v>567</v>
      </c>
      <c r="BX53" s="158">
        <v>0.26</v>
      </c>
      <c r="CA53" s="480" t="s">
        <v>717</v>
      </c>
      <c r="CB53" s="479" t="s">
        <v>79</v>
      </c>
      <c r="CC53" s="479">
        <v>0.3</v>
      </c>
      <c r="CE53" s="479">
        <v>-9.7490500000000004</v>
      </c>
      <c r="CM53" s="498" t="s">
        <v>339</v>
      </c>
      <c r="CN53" s="157" t="s">
        <v>567</v>
      </c>
      <c r="CO53" s="157">
        <v>0.215</v>
      </c>
      <c r="CT53" s="162" t="s">
        <v>77</v>
      </c>
      <c r="CU53" s="154" t="s">
        <v>670</v>
      </c>
      <c r="CV53" s="154">
        <v>0.25</v>
      </c>
      <c r="CW53" s="154">
        <v>-0.71299999999999997</v>
      </c>
      <c r="DE53" s="162" t="s">
        <v>425</v>
      </c>
      <c r="DF53" s="154" t="s">
        <v>1125</v>
      </c>
      <c r="DG53" s="154">
        <v>-0.68439262000000001</v>
      </c>
    </row>
    <row r="54" spans="1:112" ht="15.75">
      <c r="A54" s="205"/>
      <c r="B54" s="174" t="s">
        <v>1077</v>
      </c>
      <c r="C54" s="179">
        <f>C53/2</f>
        <v>0.1285345</v>
      </c>
      <c r="D54" s="204">
        <f>1.556</f>
        <v>1.556</v>
      </c>
      <c r="Q54" s="162"/>
      <c r="R54" s="154" t="s">
        <v>567</v>
      </c>
      <c r="S54" s="154">
        <v>1.0471975511965976</v>
      </c>
      <c r="V54" s="217" t="s">
        <v>991</v>
      </c>
      <c r="W54" s="218" t="s">
        <v>670</v>
      </c>
      <c r="X54" s="206">
        <v>0.6</v>
      </c>
      <c r="Y54" s="206">
        <v>1.0103200000000001</v>
      </c>
      <c r="AA54" s="162" t="s">
        <v>265</v>
      </c>
      <c r="AB54" s="157" t="s">
        <v>567</v>
      </c>
      <c r="AC54" s="154">
        <v>0.27700000000000002</v>
      </c>
      <c r="AF54" s="162" t="s">
        <v>482</v>
      </c>
      <c r="AG54" s="157" t="s">
        <v>670</v>
      </c>
      <c r="AH54" s="154">
        <v>0.6</v>
      </c>
      <c r="AI54" s="154">
        <v>-0.48489500000000002</v>
      </c>
      <c r="AK54" s="162"/>
      <c r="AL54" s="157" t="s">
        <v>729</v>
      </c>
      <c r="AP54" s="162" t="s">
        <v>567</v>
      </c>
      <c r="AQ54" s="157" t="s">
        <v>567</v>
      </c>
      <c r="AR54" s="154">
        <v>3.0529999999999999</v>
      </c>
      <c r="BF54" s="162"/>
      <c r="BG54" s="154" t="s">
        <v>760</v>
      </c>
      <c r="BH54" s="154">
        <v>3.5699916518065831E-2</v>
      </c>
      <c r="BI54" s="154">
        <v>39.271800517811357</v>
      </c>
      <c r="BK54" s="162"/>
      <c r="BL54" s="158" t="s">
        <v>567</v>
      </c>
      <c r="BM54" s="158">
        <v>0.338945</v>
      </c>
      <c r="BQ54" s="162" t="s">
        <v>1176</v>
      </c>
      <c r="BR54" s="158" t="s">
        <v>1125</v>
      </c>
      <c r="BS54" s="158">
        <v>3.2466699999999999</v>
      </c>
      <c r="BT54" s="158" t="s">
        <v>1178</v>
      </c>
      <c r="BV54" s="162" t="s">
        <v>499</v>
      </c>
      <c r="BW54" s="158" t="s">
        <v>670</v>
      </c>
      <c r="BX54" s="158">
        <v>0.26</v>
      </c>
      <c r="BY54" s="158">
        <v>-1.7161</v>
      </c>
      <c r="CA54" s="480" t="s">
        <v>1037</v>
      </c>
      <c r="CB54" s="479" t="s">
        <v>567</v>
      </c>
      <c r="CC54" s="479">
        <v>0.2</v>
      </c>
      <c r="CM54" s="498" t="s">
        <v>340</v>
      </c>
      <c r="CN54" s="157" t="s">
        <v>567</v>
      </c>
      <c r="CO54" s="157">
        <v>0.125</v>
      </c>
      <c r="CT54" s="162" t="s">
        <v>909</v>
      </c>
      <c r="CU54" s="154" t="s">
        <v>567</v>
      </c>
      <c r="CV54" s="154">
        <v>0.81499999999999995</v>
      </c>
      <c r="DE54" s="162" t="s">
        <v>521</v>
      </c>
      <c r="DF54" s="154" t="s">
        <v>670</v>
      </c>
      <c r="DG54" s="154">
        <v>0.12</v>
      </c>
      <c r="DH54" s="154">
        <v>-2.5169845</v>
      </c>
    </row>
    <row r="55" spans="1:112">
      <c r="A55" s="194" t="s">
        <v>59</v>
      </c>
      <c r="B55" s="159" t="s">
        <v>567</v>
      </c>
      <c r="C55" s="170">
        <v>0.19</v>
      </c>
      <c r="D55" s="165"/>
      <c r="Q55" s="162"/>
      <c r="R55" s="154" t="s">
        <v>567</v>
      </c>
      <c r="S55" s="154">
        <v>0</v>
      </c>
      <c r="V55" s="194" t="s">
        <v>703</v>
      </c>
      <c r="W55" s="163" t="s">
        <v>567</v>
      </c>
      <c r="X55" s="170">
        <v>0.373</v>
      </c>
      <c r="Y55" s="165"/>
      <c r="AA55" s="162" t="s">
        <v>671</v>
      </c>
      <c r="AB55" s="157" t="s">
        <v>729</v>
      </c>
      <c r="AF55" s="162" t="s">
        <v>228</v>
      </c>
      <c r="AG55" s="157" t="s">
        <v>567</v>
      </c>
      <c r="AH55" s="154">
        <v>1.47</v>
      </c>
      <c r="AK55" s="162"/>
      <c r="AL55" s="157" t="s">
        <v>567</v>
      </c>
      <c r="AM55" s="154">
        <v>0.38299999000000001</v>
      </c>
      <c r="AP55" s="162"/>
      <c r="AQ55" s="157" t="s">
        <v>729</v>
      </c>
      <c r="BF55" s="162"/>
      <c r="BG55" s="154" t="s">
        <v>1077</v>
      </c>
      <c r="BH55" s="154">
        <v>3.5699916518065831E-2</v>
      </c>
      <c r="BI55" s="154">
        <v>39.271800517811357</v>
      </c>
      <c r="BK55" s="162" t="s">
        <v>507</v>
      </c>
      <c r="BL55" s="158" t="s">
        <v>670</v>
      </c>
      <c r="BM55" s="158">
        <f>BM40</f>
        <v>0.42210999999999999</v>
      </c>
      <c r="BN55" s="158">
        <f>BN40</f>
        <v>-0.66051000000000004</v>
      </c>
      <c r="BQ55" s="162" t="s">
        <v>989</v>
      </c>
      <c r="BR55" s="158" t="s">
        <v>567</v>
      </c>
      <c r="BS55" s="158">
        <v>0.39</v>
      </c>
      <c r="BV55" s="162" t="s">
        <v>123</v>
      </c>
      <c r="BW55" s="158" t="s">
        <v>567</v>
      </c>
      <c r="BX55" s="158">
        <v>2.1967669999999999</v>
      </c>
      <c r="CA55" s="480" t="s">
        <v>718</v>
      </c>
      <c r="CB55" s="479" t="s">
        <v>670</v>
      </c>
      <c r="CC55" s="479">
        <v>0.3</v>
      </c>
      <c r="CD55" s="479">
        <v>-0.88436999999999999</v>
      </c>
      <c r="CM55" s="498" t="s">
        <v>21</v>
      </c>
      <c r="CN55" s="157" t="s">
        <v>770</v>
      </c>
      <c r="CO55" s="157">
        <v>0</v>
      </c>
      <c r="CP55" s="157">
        <v>-1.9341189999999999</v>
      </c>
      <c r="CT55" s="162" t="s">
        <v>856</v>
      </c>
      <c r="CU55" s="154" t="s">
        <v>670</v>
      </c>
      <c r="CV55" s="154">
        <v>0.25</v>
      </c>
      <c r="CW55" s="154">
        <v>1.75</v>
      </c>
      <c r="DE55" s="162" t="s">
        <v>229</v>
      </c>
      <c r="DF55" s="154" t="s">
        <v>567</v>
      </c>
      <c r="DG55" s="154">
        <v>0.21398164</v>
      </c>
    </row>
    <row r="56" spans="1:112">
      <c r="A56" s="205" t="s">
        <v>578</v>
      </c>
      <c r="B56" s="189" t="s">
        <v>670</v>
      </c>
      <c r="C56" s="206">
        <v>0.22</v>
      </c>
      <c r="D56" s="206">
        <v>5.2534599999999996</v>
      </c>
      <c r="Q56" s="162"/>
      <c r="R56" s="154" t="s">
        <v>567</v>
      </c>
      <c r="S56" s="154">
        <v>0.38555000000000011</v>
      </c>
      <c r="V56" s="214" t="s">
        <v>584</v>
      </c>
      <c r="W56" s="215" t="s">
        <v>698</v>
      </c>
      <c r="X56" s="201">
        <v>0</v>
      </c>
      <c r="Y56" s="201">
        <v>0</v>
      </c>
      <c r="AA56" s="162" t="s">
        <v>265</v>
      </c>
      <c r="AB56" s="157" t="s">
        <v>567</v>
      </c>
      <c r="AC56" s="154">
        <v>0.27700000000000002</v>
      </c>
      <c r="AF56" s="162" t="s">
        <v>585</v>
      </c>
      <c r="AG56" s="157" t="s">
        <v>670</v>
      </c>
      <c r="AH56" s="154">
        <v>0.6</v>
      </c>
      <c r="AI56" s="154">
        <v>0.53271999999999997</v>
      </c>
      <c r="AK56" s="162" t="s">
        <v>758</v>
      </c>
      <c r="AL56" s="157" t="s">
        <v>1125</v>
      </c>
      <c r="AM56" s="154">
        <v>3.8927862763403902</v>
      </c>
      <c r="AN56" s="154">
        <v>0</v>
      </c>
      <c r="AP56" s="162"/>
      <c r="AQ56" s="157" t="s">
        <v>567</v>
      </c>
      <c r="AR56" s="154">
        <v>9.7975001000000006E-2</v>
      </c>
      <c r="BF56" s="162" t="s">
        <v>1167</v>
      </c>
      <c r="BG56" s="154" t="s">
        <v>567</v>
      </c>
      <c r="BH56" s="154">
        <v>1.1245000000000001</v>
      </c>
      <c r="BK56" s="162"/>
      <c r="BL56" s="158" t="s">
        <v>567</v>
      </c>
      <c r="BM56" s="158">
        <v>0.105945</v>
      </c>
      <c r="BQ56" s="162" t="s">
        <v>1075</v>
      </c>
      <c r="BR56" s="158" t="s">
        <v>670</v>
      </c>
      <c r="BS56" s="158">
        <v>0.32</v>
      </c>
      <c r="BT56" s="158">
        <v>-1.7020500000000001</v>
      </c>
      <c r="BV56" s="162" t="s">
        <v>123</v>
      </c>
      <c r="BW56" s="158" t="s">
        <v>567</v>
      </c>
      <c r="BX56" s="158">
        <v>2.1967669999999999</v>
      </c>
      <c r="CA56" s="480" t="s">
        <v>198</v>
      </c>
      <c r="CB56" s="479" t="s">
        <v>567</v>
      </c>
      <c r="CC56" s="479">
        <v>0.46500000000000002</v>
      </c>
      <c r="CM56" s="498" t="s">
        <v>340</v>
      </c>
      <c r="CN56" s="157" t="s">
        <v>567</v>
      </c>
      <c r="CO56" s="157">
        <v>0.125</v>
      </c>
      <c r="CT56" s="162" t="s">
        <v>284</v>
      </c>
      <c r="CU56" s="154" t="s">
        <v>1125</v>
      </c>
      <c r="CV56" s="154">
        <v>2.97</v>
      </c>
      <c r="DE56" s="162" t="s">
        <v>808</v>
      </c>
      <c r="DF56" s="154" t="s">
        <v>670</v>
      </c>
      <c r="DG56" s="154">
        <v>0.34</v>
      </c>
      <c r="DH56" s="154">
        <v>2.5787656000000001</v>
      </c>
    </row>
    <row r="57" spans="1:112">
      <c r="A57" s="194" t="s">
        <v>805</v>
      </c>
      <c r="B57" s="159" t="s">
        <v>567</v>
      </c>
      <c r="C57" s="170">
        <v>0.35508000000000001</v>
      </c>
      <c r="D57" s="165"/>
      <c r="Q57" s="162" t="s">
        <v>148</v>
      </c>
      <c r="R57" s="154" t="s">
        <v>698</v>
      </c>
      <c r="S57" s="154">
        <v>0</v>
      </c>
      <c r="T57" s="154">
        <v>0</v>
      </c>
      <c r="V57" s="194" t="s">
        <v>265</v>
      </c>
      <c r="W57" s="163" t="s">
        <v>567</v>
      </c>
      <c r="X57" s="170">
        <v>0.27700000000000002</v>
      </c>
      <c r="Y57" s="165"/>
      <c r="AA57" s="162" t="s">
        <v>389</v>
      </c>
      <c r="AB57" s="157" t="s">
        <v>698</v>
      </c>
      <c r="AC57" s="154">
        <v>0</v>
      </c>
      <c r="AD57" s="154">
        <v>0</v>
      </c>
      <c r="AF57" s="162" t="s">
        <v>703</v>
      </c>
      <c r="AG57" s="157" t="s">
        <v>567</v>
      </c>
      <c r="AH57" s="154">
        <v>0.373</v>
      </c>
      <c r="AK57" s="162" t="s">
        <v>209</v>
      </c>
      <c r="AL57" s="157" t="s">
        <v>698</v>
      </c>
      <c r="AM57" s="154">
        <v>0</v>
      </c>
      <c r="AN57" s="154">
        <v>0</v>
      </c>
      <c r="AP57" s="162" t="s">
        <v>568</v>
      </c>
      <c r="AQ57" s="157" t="s">
        <v>670</v>
      </c>
      <c r="AR57" s="154">
        <v>0.43804999999999999</v>
      </c>
      <c r="AS57" s="154">
        <v>-0.114874</v>
      </c>
      <c r="BF57" s="162" t="s">
        <v>806</v>
      </c>
      <c r="BG57" s="154" t="s">
        <v>670</v>
      </c>
      <c r="BH57" s="154">
        <v>0.51</v>
      </c>
      <c r="BI57" s="154">
        <v>-0.64770879999999997</v>
      </c>
      <c r="BK57" s="162"/>
      <c r="BL57" s="158" t="s">
        <v>729</v>
      </c>
      <c r="BQ57" s="162" t="s">
        <v>807</v>
      </c>
      <c r="BR57" s="158" t="s">
        <v>567</v>
      </c>
      <c r="BS57" s="158">
        <v>3.4825499999999998</v>
      </c>
      <c r="BV57" s="162" t="s">
        <v>499</v>
      </c>
      <c r="BW57" s="158" t="s">
        <v>670</v>
      </c>
      <c r="BX57" s="158">
        <v>0.26</v>
      </c>
      <c r="BY57" s="158">
        <v>-1.7161</v>
      </c>
      <c r="CA57" s="480" t="s">
        <v>548</v>
      </c>
      <c r="CB57" s="479" t="s">
        <v>670</v>
      </c>
      <c r="CC57" s="479">
        <v>0.6</v>
      </c>
      <c r="CD57" s="479">
        <v>1.47533</v>
      </c>
      <c r="CM57" s="498" t="s">
        <v>1039</v>
      </c>
      <c r="CN57" s="157" t="s">
        <v>567</v>
      </c>
      <c r="CO57" s="157">
        <v>0.30499999999999999</v>
      </c>
      <c r="CT57" s="162" t="s">
        <v>856</v>
      </c>
      <c r="CU57" s="154" t="s">
        <v>670</v>
      </c>
      <c r="CV57" s="154">
        <v>0.25</v>
      </c>
      <c r="CW57" s="154">
        <v>1.75</v>
      </c>
      <c r="DE57" s="162" t="s">
        <v>808</v>
      </c>
      <c r="DF57" s="154" t="s">
        <v>670</v>
      </c>
      <c r="DG57" s="154">
        <v>0.34</v>
      </c>
      <c r="DH57" s="154">
        <v>2.5787656000000001</v>
      </c>
    </row>
    <row r="58" spans="1:112">
      <c r="A58" s="194" t="s">
        <v>389</v>
      </c>
      <c r="B58" s="200" t="s">
        <v>698</v>
      </c>
      <c r="C58" s="201">
        <v>0</v>
      </c>
      <c r="D58" s="201">
        <v>0</v>
      </c>
      <c r="Q58" s="162"/>
      <c r="R58" s="154" t="s">
        <v>567</v>
      </c>
      <c r="S58" s="154">
        <v>0.16500000000000001</v>
      </c>
      <c r="V58" s="207" t="s">
        <v>812</v>
      </c>
      <c r="W58" s="208" t="s">
        <v>729</v>
      </c>
      <c r="X58" s="209"/>
      <c r="Y58" s="165"/>
      <c r="AA58" s="162" t="s">
        <v>703</v>
      </c>
      <c r="AB58" s="157" t="s">
        <v>567</v>
      </c>
      <c r="AC58" s="154">
        <v>0.373</v>
      </c>
      <c r="AF58" s="162" t="s">
        <v>813</v>
      </c>
      <c r="AG58" s="157" t="s">
        <v>698</v>
      </c>
      <c r="AH58" s="154">
        <v>0</v>
      </c>
      <c r="AI58" s="154">
        <v>0</v>
      </c>
      <c r="AK58" s="162"/>
      <c r="AL58" s="157" t="s">
        <v>567</v>
      </c>
      <c r="AM58" s="154">
        <v>0.49</v>
      </c>
      <c r="AP58" s="162"/>
      <c r="AQ58" s="157" t="s">
        <v>567</v>
      </c>
      <c r="AR58" s="154">
        <v>0.33097500000000002</v>
      </c>
      <c r="BF58" s="162" t="s">
        <v>672</v>
      </c>
      <c r="BG58" s="154" t="s">
        <v>567</v>
      </c>
      <c r="BH58" s="154">
        <v>0.34</v>
      </c>
      <c r="BK58" s="162"/>
      <c r="BL58" s="158" t="s">
        <v>567</v>
      </c>
      <c r="BM58" s="158">
        <v>0.95474999999999999</v>
      </c>
      <c r="BQ58" s="162" t="s">
        <v>807</v>
      </c>
      <c r="BR58" s="158" t="s">
        <v>567</v>
      </c>
      <c r="BS58" s="158">
        <v>3.4825499999999998</v>
      </c>
      <c r="BV58" s="162" t="s">
        <v>978</v>
      </c>
      <c r="BW58" s="158" t="s">
        <v>567</v>
      </c>
      <c r="BX58" s="158">
        <v>0.26</v>
      </c>
      <c r="CA58" s="480" t="s">
        <v>384</v>
      </c>
      <c r="CB58" s="479" t="s">
        <v>567</v>
      </c>
      <c r="CC58" s="479">
        <v>0.23499999999999999</v>
      </c>
      <c r="CM58" s="498" t="s">
        <v>191</v>
      </c>
      <c r="CN58" s="157" t="s">
        <v>670</v>
      </c>
      <c r="CO58" s="157">
        <v>0.3</v>
      </c>
      <c r="CP58" s="157">
        <v>1.38974</v>
      </c>
      <c r="CT58" s="162" t="s">
        <v>909</v>
      </c>
      <c r="CU58" s="154" t="s">
        <v>567</v>
      </c>
      <c r="CV58" s="154">
        <v>0.81499999999999995</v>
      </c>
      <c r="DE58" s="162" t="s">
        <v>229</v>
      </c>
      <c r="DF58" s="154" t="s">
        <v>567</v>
      </c>
      <c r="DG58" s="154">
        <v>0.21398164</v>
      </c>
    </row>
    <row r="59" spans="1:112">
      <c r="A59" s="194" t="s">
        <v>814</v>
      </c>
      <c r="B59" s="159" t="s">
        <v>567</v>
      </c>
      <c r="C59" s="170">
        <v>0.63192000000000004</v>
      </c>
      <c r="D59" s="165"/>
      <c r="Q59" s="162"/>
      <c r="R59" s="154" t="s">
        <v>729</v>
      </c>
      <c r="V59" s="194" t="s">
        <v>265</v>
      </c>
      <c r="W59" s="163" t="s">
        <v>567</v>
      </c>
      <c r="X59" s="170">
        <v>0.27700000000000002</v>
      </c>
      <c r="Y59" s="165"/>
      <c r="AA59" s="162" t="s">
        <v>499</v>
      </c>
      <c r="AB59" s="157" t="s">
        <v>670</v>
      </c>
      <c r="AC59" s="154">
        <v>0.6</v>
      </c>
      <c r="AD59" s="154">
        <v>-0.49038300000000001</v>
      </c>
      <c r="AF59" s="162" t="s">
        <v>265</v>
      </c>
      <c r="AG59" s="157" t="s">
        <v>567</v>
      </c>
      <c r="AH59" s="154">
        <v>0.27700000000000002</v>
      </c>
      <c r="AK59" s="162" t="s">
        <v>578</v>
      </c>
      <c r="AL59" s="157" t="s">
        <v>670</v>
      </c>
      <c r="AM59" s="154">
        <v>0.51961999999999997</v>
      </c>
      <c r="AN59" s="154">
        <v>0.74956100999999997</v>
      </c>
      <c r="AP59" s="162" t="s">
        <v>367</v>
      </c>
      <c r="AQ59" s="157" t="s">
        <v>1125</v>
      </c>
      <c r="AR59" s="154">
        <v>1.032</v>
      </c>
      <c r="AS59" s="154">
        <v>0</v>
      </c>
      <c r="BF59" s="162" t="s">
        <v>92</v>
      </c>
      <c r="BG59" s="154" t="s">
        <v>567</v>
      </c>
      <c r="BH59" s="154">
        <v>0.15</v>
      </c>
      <c r="BK59" s="162"/>
      <c r="BL59" s="158" t="s">
        <v>1077</v>
      </c>
      <c r="BM59" s="158">
        <v>4.9087401000000003E-2</v>
      </c>
      <c r="BN59" s="158">
        <v>50.036000000000001</v>
      </c>
      <c r="BQ59" s="162" t="s">
        <v>1075</v>
      </c>
      <c r="BR59" s="158" t="s">
        <v>670</v>
      </c>
      <c r="BS59" s="158">
        <v>0.32</v>
      </c>
      <c r="BT59" s="158">
        <v>-1.7020500000000001</v>
      </c>
      <c r="BV59" s="162" t="s">
        <v>977</v>
      </c>
      <c r="BW59" s="158" t="s">
        <v>1125</v>
      </c>
      <c r="BX59" s="158">
        <v>6.8380000000000001</v>
      </c>
      <c r="CA59" s="480" t="s">
        <v>549</v>
      </c>
      <c r="CB59" s="479" t="s">
        <v>79</v>
      </c>
      <c r="CC59" s="479">
        <v>0.3</v>
      </c>
      <c r="CE59" s="479">
        <v>8.0265500000000003</v>
      </c>
      <c r="CM59" s="498" t="s">
        <v>729</v>
      </c>
      <c r="CN59" s="157" t="s">
        <v>729</v>
      </c>
      <c r="CT59" s="162" t="s">
        <v>159</v>
      </c>
      <c r="CU59" s="154" t="s">
        <v>670</v>
      </c>
      <c r="CV59" s="154">
        <v>0.25</v>
      </c>
      <c r="CW59" s="154">
        <v>-0.59499999999999997</v>
      </c>
      <c r="DE59" s="162" t="s">
        <v>521</v>
      </c>
      <c r="DF59" s="154" t="s">
        <v>670</v>
      </c>
      <c r="DG59" s="154">
        <v>0.12</v>
      </c>
      <c r="DH59" s="154">
        <v>-2.5169845</v>
      </c>
    </row>
    <row r="60" spans="1:112">
      <c r="A60" s="205" t="s">
        <v>222</v>
      </c>
      <c r="B60" s="189" t="s">
        <v>670</v>
      </c>
      <c r="C60" s="206">
        <v>0.22</v>
      </c>
      <c r="D60" s="206">
        <v>-3.1837</v>
      </c>
      <c r="Q60" s="162"/>
      <c r="R60" s="154" t="s">
        <v>567</v>
      </c>
      <c r="S60" s="154">
        <v>0.19500000000000001</v>
      </c>
      <c r="V60" s="214" t="s">
        <v>1198</v>
      </c>
      <c r="W60" s="215" t="s">
        <v>698</v>
      </c>
      <c r="X60" s="201">
        <v>0</v>
      </c>
      <c r="Y60" s="201">
        <v>0</v>
      </c>
      <c r="AA60" s="162" t="s">
        <v>1140</v>
      </c>
      <c r="AB60" s="157" t="s">
        <v>567</v>
      </c>
      <c r="AC60" s="154">
        <v>1.079</v>
      </c>
      <c r="AF60" s="162" t="s">
        <v>995</v>
      </c>
      <c r="AG60" s="157" t="s">
        <v>729</v>
      </c>
      <c r="AK60" s="162"/>
      <c r="AL60" s="157" t="s">
        <v>567</v>
      </c>
      <c r="AM60" s="154">
        <v>0.42019001</v>
      </c>
      <c r="AP60" s="162"/>
      <c r="AQ60" s="157" t="s">
        <v>670</v>
      </c>
      <c r="AR60" s="154">
        <v>1E-3</v>
      </c>
      <c r="AS60" s="154">
        <v>0</v>
      </c>
      <c r="BF60" s="162" t="s">
        <v>723</v>
      </c>
      <c r="BG60" s="154" t="s">
        <v>1125</v>
      </c>
      <c r="BH60" s="154">
        <v>-1.3294058</v>
      </c>
      <c r="BK60" s="162" t="s">
        <v>175</v>
      </c>
      <c r="BL60" s="158" t="s">
        <v>1132</v>
      </c>
      <c r="BM60" s="158">
        <v>5.8500000000000002E-3</v>
      </c>
      <c r="BN60" s="158">
        <v>50.036000000000001</v>
      </c>
      <c r="BQ60" s="162" t="s">
        <v>989</v>
      </c>
      <c r="BR60" s="158" t="s">
        <v>567</v>
      </c>
      <c r="BS60" s="158">
        <v>0.39</v>
      </c>
      <c r="BV60" s="162" t="s">
        <v>420</v>
      </c>
      <c r="BW60" s="158" t="s">
        <v>567</v>
      </c>
      <c r="BX60" s="158">
        <v>0.26</v>
      </c>
      <c r="CA60" s="480" t="s">
        <v>382</v>
      </c>
      <c r="CB60" s="479" t="s">
        <v>567</v>
      </c>
      <c r="CC60" s="479">
        <v>0.15</v>
      </c>
      <c r="CM60" s="498" t="s">
        <v>341</v>
      </c>
      <c r="CN60" s="157" t="s">
        <v>567</v>
      </c>
      <c r="CO60" s="157">
        <v>0.35</v>
      </c>
      <c r="CT60" s="162" t="s">
        <v>11</v>
      </c>
      <c r="CU60" s="154" t="s">
        <v>1125</v>
      </c>
      <c r="CV60" s="154">
        <v>-4.49</v>
      </c>
      <c r="DE60" s="162" t="s">
        <v>425</v>
      </c>
      <c r="DF60" s="154" t="s">
        <v>1125</v>
      </c>
      <c r="DG60" s="154">
        <v>-0.68439262000000001</v>
      </c>
    </row>
    <row r="61" spans="1:112">
      <c r="A61" s="194" t="s">
        <v>796</v>
      </c>
      <c r="B61" s="159" t="s">
        <v>567</v>
      </c>
      <c r="C61" s="170">
        <v>2.3530899999999999</v>
      </c>
      <c r="D61" s="165"/>
      <c r="Q61" s="162" t="s">
        <v>124</v>
      </c>
      <c r="R61" s="154" t="s">
        <v>670</v>
      </c>
      <c r="S61" s="154">
        <v>0.3</v>
      </c>
      <c r="T61" s="154">
        <v>0.73</v>
      </c>
      <c r="V61" s="194" t="s">
        <v>1194</v>
      </c>
      <c r="W61" s="163" t="s">
        <v>567</v>
      </c>
      <c r="X61" s="170">
        <v>1.4730000000000001</v>
      </c>
      <c r="Y61" s="165"/>
      <c r="AA61" s="162"/>
      <c r="AB61" s="157" t="s">
        <v>1077</v>
      </c>
      <c r="AC61" s="154">
        <v>4.7600000000000003E-2</v>
      </c>
      <c r="AD61" s="154">
        <v>21.995999999999999</v>
      </c>
      <c r="AF61" s="162" t="s">
        <v>265</v>
      </c>
      <c r="AG61" s="157" t="s">
        <v>567</v>
      </c>
      <c r="AH61" s="154">
        <v>0.27700000000000002</v>
      </c>
      <c r="AK61" s="162" t="s">
        <v>264</v>
      </c>
      <c r="AL61" s="157" t="s">
        <v>1125</v>
      </c>
      <c r="AM61" s="154">
        <v>-2.1652273336696299</v>
      </c>
      <c r="AN61" s="154">
        <v>0</v>
      </c>
      <c r="AP61" s="162"/>
      <c r="AQ61" s="157" t="s">
        <v>567</v>
      </c>
      <c r="AR61" s="154">
        <v>0.32829499000000001</v>
      </c>
      <c r="BF61" s="162" t="s">
        <v>92</v>
      </c>
      <c r="BG61" s="154" t="s">
        <v>567</v>
      </c>
      <c r="BH61" s="154">
        <v>0.15</v>
      </c>
      <c r="BK61" s="162"/>
      <c r="BL61" s="158" t="s">
        <v>1077</v>
      </c>
      <c r="BM61" s="158">
        <v>-4.3237399000000003E-2</v>
      </c>
      <c r="BN61" s="158">
        <v>50.036000000000001</v>
      </c>
      <c r="BQ61" s="162" t="s">
        <v>613</v>
      </c>
      <c r="BR61" s="158" t="s">
        <v>1125</v>
      </c>
      <c r="BS61" s="158">
        <v>4.1937199999999999</v>
      </c>
      <c r="BT61" s="158" t="s">
        <v>1178</v>
      </c>
      <c r="BV61" s="162" t="s">
        <v>765</v>
      </c>
      <c r="BW61" s="158" t="s">
        <v>670</v>
      </c>
      <c r="BX61" s="158">
        <v>0.56999999999999995</v>
      </c>
      <c r="BY61" s="158">
        <v>1.8596999999999999</v>
      </c>
      <c r="CA61" s="480" t="s">
        <v>550</v>
      </c>
      <c r="CB61" s="479" t="s">
        <v>670</v>
      </c>
      <c r="CC61" s="479">
        <v>0.4</v>
      </c>
      <c r="CD61" s="479">
        <v>-1.24621</v>
      </c>
      <c r="CM61" s="498" t="s">
        <v>572</v>
      </c>
      <c r="CN61" s="157" t="s">
        <v>567</v>
      </c>
      <c r="CO61" s="157">
        <v>0.15</v>
      </c>
      <c r="CT61" s="162" t="s">
        <v>159</v>
      </c>
      <c r="CU61" s="154" t="s">
        <v>670</v>
      </c>
      <c r="CV61" s="154">
        <v>0.25</v>
      </c>
      <c r="CW61" s="154">
        <v>-0.59499999999999997</v>
      </c>
      <c r="DE61" s="162" t="s">
        <v>521</v>
      </c>
      <c r="DF61" s="154" t="s">
        <v>670</v>
      </c>
      <c r="DG61" s="154">
        <v>0.12</v>
      </c>
      <c r="DH61" s="154">
        <v>-2.5169845</v>
      </c>
    </row>
    <row r="62" spans="1:112" ht="15.75">
      <c r="A62" s="194" t="s">
        <v>812</v>
      </c>
      <c r="B62" s="216" t="s">
        <v>729</v>
      </c>
      <c r="C62" s="209"/>
      <c r="D62" s="165"/>
      <c r="Q62" s="162" t="s">
        <v>124</v>
      </c>
      <c r="R62" s="154" t="s">
        <v>670</v>
      </c>
      <c r="S62" s="154">
        <v>0.3</v>
      </c>
      <c r="T62" s="154">
        <v>0.73</v>
      </c>
      <c r="V62" s="219"/>
      <c r="W62" s="203" t="s">
        <v>1077</v>
      </c>
      <c r="X62" s="179">
        <v>4.7600000000000003E-2</v>
      </c>
      <c r="Y62" s="204">
        <v>21.995999999999999</v>
      </c>
      <c r="AA62" s="162" t="s">
        <v>175</v>
      </c>
      <c r="AB62" s="157" t="s">
        <v>760</v>
      </c>
      <c r="AC62" s="154">
        <v>9.5200000000000007E-2</v>
      </c>
      <c r="AD62" s="154">
        <v>21.995999999999999</v>
      </c>
      <c r="AF62" s="162" t="s">
        <v>614</v>
      </c>
      <c r="AG62" s="157" t="s">
        <v>698</v>
      </c>
      <c r="AH62" s="154">
        <v>0</v>
      </c>
      <c r="AI62" s="154">
        <v>0</v>
      </c>
      <c r="AK62" s="162"/>
      <c r="AL62" s="157" t="s">
        <v>567</v>
      </c>
      <c r="AM62" s="154">
        <v>0.338945</v>
      </c>
      <c r="AP62" s="162" t="s">
        <v>191</v>
      </c>
      <c r="AQ62" s="157" t="s">
        <v>670</v>
      </c>
      <c r="AR62" s="154">
        <v>0.94340997999999998</v>
      </c>
      <c r="AS62" s="154">
        <v>0.450488</v>
      </c>
      <c r="BF62" s="162" t="s">
        <v>672</v>
      </c>
      <c r="BG62" s="154" t="s">
        <v>567</v>
      </c>
      <c r="BH62" s="154">
        <v>0.34</v>
      </c>
      <c r="BK62" s="162"/>
      <c r="BL62" s="158" t="s">
        <v>1077</v>
      </c>
      <c r="BM62" s="158">
        <v>4.3237399000000003E-2</v>
      </c>
      <c r="BN62" s="158">
        <v>23.366299999999999</v>
      </c>
      <c r="BQ62" s="162" t="s">
        <v>581</v>
      </c>
      <c r="BR62" s="158" t="s">
        <v>567</v>
      </c>
      <c r="BS62" s="158">
        <v>0.2</v>
      </c>
      <c r="BV62" s="162" t="s">
        <v>792</v>
      </c>
      <c r="BW62" s="158" t="s">
        <v>567</v>
      </c>
      <c r="BX62" s="158">
        <v>0.46500000000000002</v>
      </c>
      <c r="CA62" s="480" t="s">
        <v>551</v>
      </c>
      <c r="CB62" s="479" t="s">
        <v>567</v>
      </c>
      <c r="CC62" s="479">
        <v>0.40100000000000002</v>
      </c>
      <c r="CM62" s="498" t="s">
        <v>574</v>
      </c>
      <c r="CN62" s="157" t="s">
        <v>770</v>
      </c>
      <c r="CO62" s="157">
        <v>0</v>
      </c>
      <c r="CP62" s="157">
        <v>3.5</v>
      </c>
      <c r="CT62" s="162" t="s">
        <v>1070</v>
      </c>
      <c r="CU62" s="154" t="s">
        <v>567</v>
      </c>
      <c r="CV62" s="154">
        <v>0.48499999999999999</v>
      </c>
      <c r="DE62" s="162" t="s">
        <v>518</v>
      </c>
      <c r="DF62" s="154" t="s">
        <v>567</v>
      </c>
      <c r="DG62" s="154">
        <v>0.46000001000000001</v>
      </c>
    </row>
    <row r="63" spans="1:112" ht="15.75">
      <c r="A63" s="194" t="s">
        <v>615</v>
      </c>
      <c r="B63" s="159" t="s">
        <v>567</v>
      </c>
      <c r="C63" s="170">
        <v>0.32702999999999999</v>
      </c>
      <c r="D63" s="165"/>
      <c r="Q63" s="162"/>
      <c r="R63" s="154" t="s">
        <v>567</v>
      </c>
      <c r="S63" s="154">
        <v>0.1618</v>
      </c>
      <c r="V63" s="202" t="s">
        <v>175</v>
      </c>
      <c r="W63" s="203" t="s">
        <v>760</v>
      </c>
      <c r="X63" s="179">
        <v>9.5200000000000007E-2</v>
      </c>
      <c r="Y63" s="204">
        <v>21.995999999999999</v>
      </c>
      <c r="AA63" s="162"/>
      <c r="AB63" s="157" t="s">
        <v>1077</v>
      </c>
      <c r="AC63" s="154">
        <v>4.7600000000000003E-2</v>
      </c>
      <c r="AD63" s="154">
        <v>21.995999999999999</v>
      </c>
      <c r="AF63" s="162" t="s">
        <v>1007</v>
      </c>
      <c r="AG63" s="157" t="s">
        <v>567</v>
      </c>
      <c r="AH63" s="154">
        <v>0.54300000000000004</v>
      </c>
      <c r="AK63" s="162" t="s">
        <v>507</v>
      </c>
      <c r="AL63" s="157" t="s">
        <v>670</v>
      </c>
      <c r="AM63" s="154">
        <v>0.42210998999999999</v>
      </c>
      <c r="AN63" s="154">
        <v>-0.66051000000000004</v>
      </c>
      <c r="AP63" s="162"/>
      <c r="AQ63" s="157" t="s">
        <v>567</v>
      </c>
      <c r="AR63" s="154">
        <v>9.5294997000000006E-2</v>
      </c>
      <c r="BF63" s="162" t="s">
        <v>481</v>
      </c>
      <c r="BG63" s="154" t="s">
        <v>670</v>
      </c>
      <c r="BH63" s="154">
        <v>0.97</v>
      </c>
      <c r="BI63" s="154">
        <v>0.65672549999999996</v>
      </c>
      <c r="BK63" s="162" t="s">
        <v>175</v>
      </c>
      <c r="BL63" s="158" t="s">
        <v>1132</v>
      </c>
      <c r="BM63" s="158">
        <v>4.6162400499999999E-2</v>
      </c>
      <c r="BN63" s="158">
        <v>23.366299999999999</v>
      </c>
      <c r="BQ63" s="162" t="s">
        <v>520</v>
      </c>
      <c r="BR63" s="158" t="s">
        <v>670</v>
      </c>
      <c r="BS63" s="158">
        <v>0.46</v>
      </c>
      <c r="BT63" s="158">
        <v>2.21705</v>
      </c>
      <c r="BV63" s="162" t="s">
        <v>1078</v>
      </c>
      <c r="BW63" s="158" t="s">
        <v>1125</v>
      </c>
      <c r="BX63" s="158">
        <v>-7.3449999999999998</v>
      </c>
      <c r="CA63" s="480" t="s">
        <v>1069</v>
      </c>
      <c r="CB63" s="479" t="s">
        <v>698</v>
      </c>
      <c r="CC63" s="479">
        <v>0</v>
      </c>
      <c r="CD63" s="479">
        <v>0</v>
      </c>
      <c r="CM63" s="498" t="s">
        <v>572</v>
      </c>
      <c r="CN63" s="157" t="s">
        <v>567</v>
      </c>
      <c r="CO63" s="157">
        <v>0.15</v>
      </c>
      <c r="CT63" s="162" t="s">
        <v>1193</v>
      </c>
      <c r="CU63" s="154" t="s">
        <v>1125</v>
      </c>
      <c r="CV63" s="154">
        <v>9.9999999999999995E-7</v>
      </c>
      <c r="CW63" s="154">
        <v>0</v>
      </c>
      <c r="DE63" s="162">
        <v>3</v>
      </c>
      <c r="DF63" s="154" t="s">
        <v>1077</v>
      </c>
      <c r="DG63" s="154">
        <v>2.4543692999999998E-2</v>
      </c>
      <c r="DH63" s="154">
        <v>23.364453999999999</v>
      </c>
    </row>
    <row r="64" spans="1:112" ht="15.75">
      <c r="A64" s="205" t="s">
        <v>765</v>
      </c>
      <c r="B64" s="189" t="s">
        <v>670</v>
      </c>
      <c r="C64" s="206">
        <v>0.22</v>
      </c>
      <c r="D64" s="206">
        <v>2.59192</v>
      </c>
      <c r="Q64" s="162" t="s">
        <v>575</v>
      </c>
      <c r="R64" s="154" t="s">
        <v>1125</v>
      </c>
      <c r="S64" s="154">
        <v>0</v>
      </c>
      <c r="T64" s="154">
        <v>0</v>
      </c>
      <c r="V64" s="219"/>
      <c r="W64" s="203" t="s">
        <v>1077</v>
      </c>
      <c r="X64" s="179">
        <v>4.7600000000000003E-2</v>
      </c>
      <c r="Y64" s="204">
        <v>21.995999999999999</v>
      </c>
      <c r="AA64" s="162" t="s">
        <v>417</v>
      </c>
      <c r="AB64" s="157" t="s">
        <v>567</v>
      </c>
      <c r="AC64" s="154">
        <v>3.395</v>
      </c>
      <c r="AF64" s="162" t="s">
        <v>513</v>
      </c>
      <c r="AG64" s="157" t="s">
        <v>670</v>
      </c>
      <c r="AH64" s="154">
        <v>0.6</v>
      </c>
      <c r="AI64" s="154">
        <v>-0.53271999999999997</v>
      </c>
      <c r="AK64" s="162"/>
      <c r="AL64" s="157" t="s">
        <v>567</v>
      </c>
      <c r="AM64" s="154">
        <v>0.105945</v>
      </c>
      <c r="AP64" s="162"/>
      <c r="AQ64" s="157" t="s">
        <v>729</v>
      </c>
      <c r="BF64" s="162" t="s">
        <v>675</v>
      </c>
      <c r="BG64" s="154" t="s">
        <v>567</v>
      </c>
      <c r="BH64" s="154">
        <v>0.35499999999999998</v>
      </c>
      <c r="BK64" s="162" t="s">
        <v>175</v>
      </c>
      <c r="BL64" s="158" t="s">
        <v>1132</v>
      </c>
      <c r="BM64" s="158">
        <v>4.6162400499999999E-2</v>
      </c>
      <c r="BN64" s="158">
        <v>23.366299999999999</v>
      </c>
      <c r="BQ64" s="162" t="s">
        <v>1078</v>
      </c>
      <c r="BR64" s="158" t="s">
        <v>567</v>
      </c>
      <c r="BS64" s="158">
        <v>0.39</v>
      </c>
      <c r="BV64" s="162" t="s">
        <v>405</v>
      </c>
      <c r="BW64" s="158" t="s">
        <v>567</v>
      </c>
      <c r="BX64" s="158">
        <v>0.31</v>
      </c>
      <c r="CA64" s="480" t="s">
        <v>552</v>
      </c>
      <c r="CB64" s="479" t="s">
        <v>567</v>
      </c>
      <c r="CC64" s="479">
        <v>0.33</v>
      </c>
      <c r="CM64" s="498" t="s">
        <v>75</v>
      </c>
      <c r="CN64" s="157" t="s">
        <v>567</v>
      </c>
      <c r="CO64" s="157">
        <v>0.17499999999999999</v>
      </c>
      <c r="CT64" s="162" t="s">
        <v>1070</v>
      </c>
      <c r="CU64" s="154" t="s">
        <v>567</v>
      </c>
      <c r="CV64" s="154">
        <v>0.48499999999999999</v>
      </c>
      <c r="DE64" s="162" t="s">
        <v>1001</v>
      </c>
      <c r="DF64" s="154" t="s">
        <v>760</v>
      </c>
      <c r="DG64" s="154">
        <v>2.4543692999999998E-2</v>
      </c>
      <c r="DH64" s="154">
        <v>23.364453999999999</v>
      </c>
    </row>
    <row r="65" spans="1:112">
      <c r="A65" s="194" t="s">
        <v>788</v>
      </c>
      <c r="B65" s="159" t="s">
        <v>567</v>
      </c>
      <c r="C65" s="170">
        <v>0.48199999999999998</v>
      </c>
      <c r="D65" s="165"/>
      <c r="Q65" s="162"/>
      <c r="R65" s="154" t="s">
        <v>567</v>
      </c>
      <c r="S65" s="154">
        <v>0.24</v>
      </c>
      <c r="V65" s="194" t="s">
        <v>207</v>
      </c>
      <c r="W65" s="163" t="s">
        <v>567</v>
      </c>
      <c r="X65" s="170">
        <v>0.377</v>
      </c>
      <c r="Y65" s="165"/>
      <c r="AA65" s="162" t="s">
        <v>991</v>
      </c>
      <c r="AB65" s="157" t="s">
        <v>670</v>
      </c>
      <c r="AC65" s="154">
        <v>0.6</v>
      </c>
      <c r="AD65" s="154">
        <v>1.0103200000000001</v>
      </c>
      <c r="AF65" s="162" t="s">
        <v>789</v>
      </c>
      <c r="AG65" s="157" t="s">
        <v>567</v>
      </c>
      <c r="AH65" s="154">
        <v>1.7544</v>
      </c>
      <c r="AK65" s="162"/>
      <c r="AL65" s="157" t="s">
        <v>729</v>
      </c>
      <c r="AP65" s="162"/>
      <c r="AQ65" s="157" t="s">
        <v>567</v>
      </c>
      <c r="AR65" s="154">
        <v>0.28299998999999998</v>
      </c>
      <c r="BF65" s="162" t="s">
        <v>92</v>
      </c>
      <c r="BG65" s="154" t="s">
        <v>567</v>
      </c>
      <c r="BH65" s="154">
        <v>0.15</v>
      </c>
      <c r="BK65" s="162"/>
      <c r="BL65" s="158" t="s">
        <v>1077</v>
      </c>
      <c r="BM65" s="158">
        <v>4.9087401000000003E-2</v>
      </c>
      <c r="BN65" s="158">
        <v>23.366299999999999</v>
      </c>
      <c r="BQ65" s="162" t="s">
        <v>172</v>
      </c>
      <c r="BR65" s="158" t="s">
        <v>1125</v>
      </c>
      <c r="BS65" s="158">
        <v>-5.00352</v>
      </c>
      <c r="BT65" s="158" t="s">
        <v>1178</v>
      </c>
      <c r="BV65" s="162" t="s">
        <v>741</v>
      </c>
      <c r="BW65" s="158" t="s">
        <v>1077</v>
      </c>
      <c r="BX65" s="158">
        <v>9.8174999999999998E-2</v>
      </c>
      <c r="BY65" s="158">
        <v>7.0470423000000002</v>
      </c>
      <c r="BZ65" s="154"/>
      <c r="CA65" s="481" t="s">
        <v>1069</v>
      </c>
      <c r="CB65" s="482" t="s">
        <v>698</v>
      </c>
      <c r="CC65" s="482">
        <v>0</v>
      </c>
      <c r="CD65" s="482">
        <v>0</v>
      </c>
      <c r="CE65" s="482"/>
      <c r="CF65" s="482"/>
      <c r="CM65" s="498" t="s">
        <v>959</v>
      </c>
      <c r="CN65" s="157" t="s">
        <v>698</v>
      </c>
      <c r="CO65" s="157">
        <v>0</v>
      </c>
      <c r="CP65" s="157">
        <v>0</v>
      </c>
      <c r="CT65" s="162" t="s">
        <v>506</v>
      </c>
      <c r="CU65" s="154" t="s">
        <v>1077</v>
      </c>
      <c r="CV65" s="154">
        <v>2.8500000000000001E-2</v>
      </c>
      <c r="CW65" s="154">
        <v>25</v>
      </c>
      <c r="CX65" s="154">
        <v>0</v>
      </c>
      <c r="CY65" s="154">
        <v>0</v>
      </c>
      <c r="DE65" s="162" t="s">
        <v>1001</v>
      </c>
      <c r="DF65" s="154" t="s">
        <v>760</v>
      </c>
      <c r="DG65" s="154">
        <v>2.4543692999999998E-2</v>
      </c>
      <c r="DH65" s="154">
        <v>23.364453999999999</v>
      </c>
    </row>
    <row r="66" spans="1:112" ht="15.75">
      <c r="A66" s="205"/>
      <c r="B66" s="174" t="s">
        <v>1077</v>
      </c>
      <c r="C66" s="179">
        <f>C67/2</f>
        <v>9.1950000000000004E-2</v>
      </c>
      <c r="D66" s="204">
        <f>D67</f>
        <v>3.4378000000000002</v>
      </c>
      <c r="Q66" s="162"/>
      <c r="R66" s="154" t="s">
        <v>1077</v>
      </c>
      <c r="S66" s="154">
        <v>4.759988869075444E-2</v>
      </c>
      <c r="T66" s="154">
        <v>21.995799999999999</v>
      </c>
      <c r="V66" s="217" t="s">
        <v>85</v>
      </c>
      <c r="W66" s="218" t="s">
        <v>670</v>
      </c>
      <c r="X66" s="206">
        <v>0.6</v>
      </c>
      <c r="Y66" s="206">
        <v>1.1433</v>
      </c>
      <c r="AA66" s="162" t="s">
        <v>703</v>
      </c>
      <c r="AB66" s="157" t="s">
        <v>567</v>
      </c>
      <c r="AC66" s="154">
        <v>0.373</v>
      </c>
      <c r="AF66" s="162"/>
      <c r="AG66" s="157" t="s">
        <v>1077</v>
      </c>
      <c r="AH66" s="154">
        <v>4.7600000000000003E-2</v>
      </c>
      <c r="AI66" s="154">
        <v>21.995999999999999</v>
      </c>
      <c r="AK66" s="162"/>
      <c r="AL66" s="157" t="s">
        <v>567</v>
      </c>
      <c r="AM66" s="154">
        <v>0.95474999999999999</v>
      </c>
      <c r="AP66" s="162" t="s">
        <v>493</v>
      </c>
      <c r="AQ66" s="157" t="s">
        <v>1125</v>
      </c>
      <c r="AR66" s="154">
        <v>-1.1659999999999999</v>
      </c>
      <c r="AS66" s="154">
        <v>0</v>
      </c>
      <c r="BF66" s="162" t="s">
        <v>367</v>
      </c>
      <c r="BG66" s="154" t="s">
        <v>1125</v>
      </c>
      <c r="BH66" s="154">
        <v>2.2733932499999998</v>
      </c>
      <c r="BK66" s="162"/>
      <c r="BL66" s="158" t="s">
        <v>567</v>
      </c>
      <c r="BM66" s="158">
        <v>1.0627500000000001</v>
      </c>
      <c r="BQ66" s="162" t="s">
        <v>232</v>
      </c>
      <c r="BR66" s="158" t="s">
        <v>567</v>
      </c>
      <c r="BS66" s="158">
        <v>0.2</v>
      </c>
      <c r="BV66" s="162" t="s">
        <v>821</v>
      </c>
      <c r="BW66" s="158" t="s">
        <v>1132</v>
      </c>
      <c r="BX66" s="158">
        <f>1.383684/BY66/2</f>
        <v>9.8174804484996478E-2</v>
      </c>
      <c r="BY66" s="158">
        <v>7.0470423000000002</v>
      </c>
      <c r="BZ66" s="154">
        <v>29.1260622368907</v>
      </c>
      <c r="CA66" s="481" t="s">
        <v>530</v>
      </c>
      <c r="CB66" s="482" t="s">
        <v>729</v>
      </c>
      <c r="CC66" s="482"/>
      <c r="CD66" s="482"/>
      <c r="CE66" s="482"/>
      <c r="CF66" s="482"/>
      <c r="CM66" s="498" t="s">
        <v>75</v>
      </c>
      <c r="CN66" s="157" t="s">
        <v>567</v>
      </c>
      <c r="CO66" s="157">
        <v>0.17499999999999999</v>
      </c>
      <c r="CT66" s="162" t="s">
        <v>394</v>
      </c>
      <c r="CU66" s="154" t="s">
        <v>760</v>
      </c>
      <c r="CV66" s="154">
        <v>2.8500000000000001E-2</v>
      </c>
      <c r="CW66" s="154">
        <v>25</v>
      </c>
      <c r="CX66" s="154">
        <v>209</v>
      </c>
      <c r="CY66" s="154">
        <v>0</v>
      </c>
      <c r="DE66" s="162">
        <v>5</v>
      </c>
      <c r="DF66" s="154" t="s">
        <v>1077</v>
      </c>
      <c r="DG66" s="154">
        <v>2.4543692999999998E-2</v>
      </c>
      <c r="DH66" s="154">
        <v>23.364453999999999</v>
      </c>
    </row>
    <row r="67" spans="1:112" ht="15.75">
      <c r="A67" s="194" t="s">
        <v>793</v>
      </c>
      <c r="B67" s="174" t="s">
        <v>760</v>
      </c>
      <c r="C67" s="179">
        <v>0.18390000000000001</v>
      </c>
      <c r="D67" s="204">
        <v>3.4378000000000002</v>
      </c>
      <c r="Q67" s="162"/>
      <c r="R67" s="154" t="s">
        <v>760</v>
      </c>
      <c r="S67" s="154">
        <v>4.759988869075444E-2</v>
      </c>
      <c r="T67" s="154">
        <v>21.995799999999999</v>
      </c>
      <c r="V67" s="194" t="s">
        <v>800</v>
      </c>
      <c r="W67" s="163" t="s">
        <v>567</v>
      </c>
      <c r="X67" s="170">
        <v>0.84699999999999998</v>
      </c>
      <c r="Y67" s="165"/>
      <c r="AA67" s="162" t="s">
        <v>584</v>
      </c>
      <c r="AB67" s="157" t="s">
        <v>698</v>
      </c>
      <c r="AC67" s="154">
        <v>0</v>
      </c>
      <c r="AD67" s="154">
        <v>0</v>
      </c>
      <c r="AF67" s="162" t="s">
        <v>175</v>
      </c>
      <c r="AG67" s="157" t="s">
        <v>760</v>
      </c>
      <c r="AH67" s="154">
        <v>9.5200000000000007E-2</v>
      </c>
      <c r="AI67" s="154">
        <v>21.995999999999999</v>
      </c>
      <c r="AK67" s="162"/>
      <c r="AL67" s="157" t="s">
        <v>1077</v>
      </c>
      <c r="AM67" s="154">
        <v>0.05</v>
      </c>
      <c r="AN67" s="154">
        <v>23.366299999999999</v>
      </c>
      <c r="AP67" s="162"/>
      <c r="AQ67" s="157" t="s">
        <v>670</v>
      </c>
      <c r="AR67" s="154">
        <v>1E-3</v>
      </c>
      <c r="AS67" s="154">
        <v>0</v>
      </c>
      <c r="BF67" s="162" t="s">
        <v>92</v>
      </c>
      <c r="BG67" s="154" t="s">
        <v>567</v>
      </c>
      <c r="BH67" s="154">
        <v>0.15</v>
      </c>
      <c r="BK67" s="162" t="s">
        <v>222</v>
      </c>
      <c r="BL67" s="158" t="s">
        <v>670</v>
      </c>
      <c r="BM67" s="158">
        <v>0.51900999999999997</v>
      </c>
      <c r="BN67" s="158">
        <v>-0.75890800000000003</v>
      </c>
      <c r="BQ67" s="162" t="s">
        <v>515</v>
      </c>
      <c r="BR67" s="158" t="s">
        <v>670</v>
      </c>
      <c r="BS67" s="158">
        <v>0.32</v>
      </c>
      <c r="BT67" s="158">
        <v>-1.1183099999999999</v>
      </c>
      <c r="BV67" s="162" t="s">
        <v>821</v>
      </c>
      <c r="BW67" s="158" t="s">
        <v>1132</v>
      </c>
      <c r="BX67" s="158">
        <f>1.383684/BY67/2</f>
        <v>9.8174804484996478E-2</v>
      </c>
      <c r="BY67" s="158">
        <v>7.0470423000000002</v>
      </c>
      <c r="BZ67" s="154">
        <v>29.1260622368907</v>
      </c>
      <c r="CA67" s="481" t="s">
        <v>531</v>
      </c>
      <c r="CB67" s="482" t="s">
        <v>567</v>
      </c>
      <c r="CC67" s="482">
        <v>2.4405000000000001</v>
      </c>
      <c r="CD67" s="482"/>
      <c r="CE67" s="482"/>
      <c r="CF67" s="482"/>
      <c r="CM67" s="498" t="s">
        <v>191</v>
      </c>
      <c r="CN67" s="157" t="s">
        <v>670</v>
      </c>
      <c r="CO67" s="157">
        <v>0.3</v>
      </c>
      <c r="CP67" s="157">
        <v>1.38974</v>
      </c>
      <c r="CT67" s="162" t="s">
        <v>394</v>
      </c>
      <c r="CU67" s="154" t="s">
        <v>760</v>
      </c>
      <c r="CV67" s="154">
        <v>2.8500000000000001E-2</v>
      </c>
      <c r="CW67" s="154">
        <v>25</v>
      </c>
      <c r="CX67" s="154">
        <v>209</v>
      </c>
      <c r="CY67" s="154">
        <v>0</v>
      </c>
      <c r="DE67" s="162" t="s">
        <v>134</v>
      </c>
      <c r="DF67" s="154" t="s">
        <v>567</v>
      </c>
      <c r="DG67" s="154">
        <v>1.05057</v>
      </c>
    </row>
    <row r="68" spans="1:112" ht="15.75">
      <c r="A68" s="205"/>
      <c r="B68" s="174" t="s">
        <v>1077</v>
      </c>
      <c r="C68" s="179">
        <f>C67/2</f>
        <v>9.1950000000000004E-2</v>
      </c>
      <c r="D68" s="204">
        <f>D67</f>
        <v>3.4378000000000002</v>
      </c>
      <c r="Q68" s="162"/>
      <c r="R68" s="154" t="s">
        <v>760</v>
      </c>
      <c r="S68" s="154">
        <v>4.759988869075444E-2</v>
      </c>
      <c r="T68" s="154">
        <v>21.995799999999999</v>
      </c>
      <c r="V68" s="217" t="s">
        <v>801</v>
      </c>
      <c r="W68" s="218" t="s">
        <v>670</v>
      </c>
      <c r="X68" s="206">
        <v>0.6</v>
      </c>
      <c r="Y68" s="206">
        <v>-0.80265799999999998</v>
      </c>
      <c r="AA68" s="162" t="s">
        <v>265</v>
      </c>
      <c r="AB68" s="157" t="s">
        <v>567</v>
      </c>
      <c r="AC68" s="154">
        <v>0.27700000000000002</v>
      </c>
      <c r="AF68" s="162"/>
      <c r="AG68" s="157" t="s">
        <v>1077</v>
      </c>
      <c r="AH68" s="154">
        <v>4.7600000000000003E-2</v>
      </c>
      <c r="AI68" s="154">
        <v>21.995999999999999</v>
      </c>
      <c r="AK68" s="162" t="s">
        <v>175</v>
      </c>
      <c r="AL68" s="157" t="s">
        <v>1132</v>
      </c>
      <c r="AM68" s="154">
        <v>5.8497881525301785E-3</v>
      </c>
      <c r="AN68" s="154">
        <v>50.036000000000001</v>
      </c>
      <c r="AP68" s="162" t="s">
        <v>1025</v>
      </c>
      <c r="AQ68" s="157" t="s">
        <v>698</v>
      </c>
      <c r="AR68" s="154">
        <v>0</v>
      </c>
      <c r="AS68" s="154">
        <v>0</v>
      </c>
      <c r="BF68" s="162" t="s">
        <v>675</v>
      </c>
      <c r="BG68" s="154" t="s">
        <v>567</v>
      </c>
      <c r="BH68" s="154">
        <v>0.35499999999999998</v>
      </c>
      <c r="BK68" s="162"/>
      <c r="BL68" s="158" t="s">
        <v>567</v>
      </c>
      <c r="BM68" s="158">
        <v>0.34049499999999999</v>
      </c>
      <c r="BQ68" s="162" t="s">
        <v>993</v>
      </c>
      <c r="BR68" s="158" t="s">
        <v>567</v>
      </c>
      <c r="BS68" s="158">
        <v>0.44</v>
      </c>
      <c r="BV68" s="162" t="s">
        <v>1076</v>
      </c>
      <c r="BW68" s="158" t="s">
        <v>1077</v>
      </c>
      <c r="BX68" s="158">
        <v>9.8174999999999998E-2</v>
      </c>
      <c r="BY68" s="158">
        <v>7.0470423000000002</v>
      </c>
      <c r="BZ68" s="154"/>
      <c r="CA68" s="481" t="s">
        <v>93</v>
      </c>
      <c r="CB68" s="482" t="s">
        <v>567</v>
      </c>
      <c r="CC68" s="482">
        <v>1</v>
      </c>
      <c r="CD68" s="482"/>
      <c r="CE68" s="482"/>
      <c r="CF68" s="482"/>
      <c r="CM68" s="498" t="s">
        <v>1039</v>
      </c>
      <c r="CN68" s="157" t="s">
        <v>567</v>
      </c>
      <c r="CO68" s="157">
        <v>0.30499999999999999</v>
      </c>
      <c r="CT68" s="162" t="s">
        <v>506</v>
      </c>
      <c r="CU68" s="154" t="s">
        <v>1077</v>
      </c>
      <c r="CV68" s="154">
        <v>2.8500000000000001E-2</v>
      </c>
      <c r="CW68" s="154">
        <v>25</v>
      </c>
      <c r="CX68" s="154">
        <v>0</v>
      </c>
      <c r="CY68" s="154">
        <v>0</v>
      </c>
      <c r="DE68" s="162" t="s">
        <v>202</v>
      </c>
      <c r="DF68" s="154" t="s">
        <v>567</v>
      </c>
      <c r="DG68" s="154">
        <v>5.2650001000000002E-2</v>
      </c>
    </row>
    <row r="69" spans="1:112">
      <c r="A69" s="194" t="s">
        <v>802</v>
      </c>
      <c r="B69" s="159" t="s">
        <v>567</v>
      </c>
      <c r="C69" s="170">
        <v>1.536</v>
      </c>
      <c r="D69" s="165"/>
      <c r="Q69" s="162"/>
      <c r="R69" s="154" t="s">
        <v>1077</v>
      </c>
      <c r="S69" s="154">
        <v>4.759988869075444E-2</v>
      </c>
      <c r="T69" s="154">
        <v>21.995799999999999</v>
      </c>
      <c r="V69" s="194" t="s">
        <v>703</v>
      </c>
      <c r="W69" s="163" t="s">
        <v>567</v>
      </c>
      <c r="X69" s="170">
        <v>0.373</v>
      </c>
      <c r="Y69" s="165"/>
      <c r="AA69" s="162" t="s">
        <v>812</v>
      </c>
      <c r="AB69" s="157" t="s">
        <v>729</v>
      </c>
      <c r="AF69" s="162" t="s">
        <v>4</v>
      </c>
      <c r="AG69" s="157" t="s">
        <v>567</v>
      </c>
      <c r="AH69" s="154">
        <v>3.6589999999999998</v>
      </c>
      <c r="AK69" s="162" t="s">
        <v>175</v>
      </c>
      <c r="AL69" s="157" t="s">
        <v>1132</v>
      </c>
      <c r="AM69" s="154">
        <v>4.61604960990828E-2</v>
      </c>
      <c r="AN69" s="154">
        <v>23.366299999999999</v>
      </c>
      <c r="AP69" s="162"/>
      <c r="AQ69" s="157" t="s">
        <v>567</v>
      </c>
      <c r="AR69" s="154">
        <v>0.33300000000000002</v>
      </c>
      <c r="BF69" s="162" t="s">
        <v>5</v>
      </c>
      <c r="BG69" s="154" t="s">
        <v>670</v>
      </c>
      <c r="BH69" s="154">
        <v>0.35</v>
      </c>
      <c r="BI69" s="154">
        <v>-0.62620880000000001</v>
      </c>
      <c r="BK69" s="162" t="s">
        <v>1194</v>
      </c>
      <c r="BL69" s="158" t="s">
        <v>1125</v>
      </c>
      <c r="BM69" s="158">
        <v>-1.3998999999999999</v>
      </c>
      <c r="BN69" s="158">
        <v>0</v>
      </c>
      <c r="BQ69" s="162" t="s">
        <v>1076</v>
      </c>
      <c r="BR69" s="158" t="s">
        <v>1077</v>
      </c>
      <c r="BS69" s="158">
        <v>9.8174999999999998E-2</v>
      </c>
      <c r="BT69" s="158">
        <v>5.36</v>
      </c>
      <c r="BV69" s="162" t="s">
        <v>231</v>
      </c>
      <c r="BW69" s="158" t="s">
        <v>567</v>
      </c>
      <c r="BX69" s="158">
        <v>0.27500000000000002</v>
      </c>
      <c r="CA69" s="480" t="s">
        <v>93</v>
      </c>
      <c r="CB69" s="479" t="s">
        <v>567</v>
      </c>
      <c r="CC69" s="479">
        <v>1</v>
      </c>
      <c r="CM69" s="498" t="s">
        <v>342</v>
      </c>
      <c r="CN69" s="157" t="s">
        <v>567</v>
      </c>
      <c r="CO69" s="157">
        <v>0.125</v>
      </c>
      <c r="CT69" s="162" t="s">
        <v>476</v>
      </c>
      <c r="CU69" s="154" t="s">
        <v>567</v>
      </c>
      <c r="CV69" s="154">
        <v>0.85</v>
      </c>
      <c r="DE69" s="162" t="s">
        <v>221</v>
      </c>
      <c r="DF69" s="154" t="s">
        <v>670</v>
      </c>
      <c r="DG69" s="154">
        <v>0.10585</v>
      </c>
      <c r="DH69" s="154">
        <v>-2.5014354999999999</v>
      </c>
    </row>
    <row r="70" spans="1:112">
      <c r="A70" s="194" t="s">
        <v>553</v>
      </c>
      <c r="B70" s="154" t="s">
        <v>514</v>
      </c>
      <c r="Q70" s="162"/>
      <c r="R70" s="154" t="s">
        <v>567</v>
      </c>
      <c r="S70" s="154">
        <v>0.38600000000000001</v>
      </c>
      <c r="V70" s="214" t="s">
        <v>554</v>
      </c>
      <c r="W70" s="215" t="s">
        <v>698</v>
      </c>
      <c r="X70" s="201">
        <v>0</v>
      </c>
      <c r="Y70" s="201">
        <v>0</v>
      </c>
      <c r="AA70" s="162" t="s">
        <v>265</v>
      </c>
      <c r="AB70" s="157" t="s">
        <v>567</v>
      </c>
      <c r="AC70" s="154">
        <v>0.27700000000000002</v>
      </c>
      <c r="AF70" s="162" t="s">
        <v>765</v>
      </c>
      <c r="AG70" s="157" t="s">
        <v>670</v>
      </c>
      <c r="AH70" s="154">
        <v>0.6</v>
      </c>
      <c r="AI70" s="154">
        <v>0.71027499999999999</v>
      </c>
      <c r="AK70" s="162" t="s">
        <v>175</v>
      </c>
      <c r="AL70" s="157" t="s">
        <v>1132</v>
      </c>
      <c r="AM70" s="154">
        <v>4.61604960990828E-2</v>
      </c>
      <c r="AN70" s="154">
        <v>23.366299999999999</v>
      </c>
      <c r="AP70" s="162" t="s">
        <v>157</v>
      </c>
      <c r="AQ70" s="157" t="s">
        <v>670</v>
      </c>
      <c r="AR70" s="154">
        <v>0.53367001000000003</v>
      </c>
      <c r="AS70" s="154">
        <v>-0.61749798</v>
      </c>
      <c r="BF70" s="162" t="s">
        <v>892</v>
      </c>
      <c r="BG70" s="154" t="s">
        <v>567</v>
      </c>
      <c r="BH70" s="154">
        <v>3.3250000000000002</v>
      </c>
      <c r="BK70" s="162" t="s">
        <v>173</v>
      </c>
      <c r="BL70" s="158" t="s">
        <v>698</v>
      </c>
      <c r="BM70" s="158">
        <v>0</v>
      </c>
      <c r="BN70" s="158">
        <v>0</v>
      </c>
      <c r="BQ70" s="162" t="s">
        <v>611</v>
      </c>
      <c r="BR70" s="158" t="s">
        <v>1132</v>
      </c>
      <c r="BS70" s="158">
        <v>9.8174999999999998E-2</v>
      </c>
      <c r="BT70" s="158">
        <v>5.36</v>
      </c>
      <c r="BV70" s="162" t="s">
        <v>232</v>
      </c>
      <c r="BW70" s="158" t="s">
        <v>1125</v>
      </c>
      <c r="BX70" s="158">
        <v>-3.8820000000000001</v>
      </c>
      <c r="CA70" s="480" t="s">
        <v>531</v>
      </c>
      <c r="CB70" s="479" t="s">
        <v>567</v>
      </c>
      <c r="CC70" s="479">
        <v>2.4405000000000001</v>
      </c>
      <c r="CM70" s="498" t="s">
        <v>21</v>
      </c>
      <c r="CN70" s="157" t="s">
        <v>770</v>
      </c>
      <c r="CO70" s="157">
        <v>0</v>
      </c>
      <c r="CP70" s="157">
        <v>-1.9341189999999999</v>
      </c>
      <c r="CT70" s="162" t="s">
        <v>151</v>
      </c>
      <c r="CU70" s="154" t="s">
        <v>567</v>
      </c>
      <c r="CV70" s="154">
        <v>0.5</v>
      </c>
      <c r="DE70" s="162" t="s">
        <v>223</v>
      </c>
      <c r="DF70" s="154" t="s">
        <v>1125</v>
      </c>
      <c r="DG70" s="154">
        <v>-7.6219979999999996</v>
      </c>
    </row>
    <row r="71" spans="1:112">
      <c r="Q71" s="162" t="s">
        <v>588</v>
      </c>
      <c r="R71" s="154" t="s">
        <v>698</v>
      </c>
      <c r="S71" s="154">
        <v>0</v>
      </c>
      <c r="T71" s="154">
        <v>0</v>
      </c>
      <c r="V71" s="194" t="s">
        <v>265</v>
      </c>
      <c r="W71" s="163" t="s">
        <v>567</v>
      </c>
      <c r="X71" s="170">
        <v>0.27700000000000002</v>
      </c>
      <c r="Y71" s="165"/>
      <c r="AA71" s="162" t="s">
        <v>1198</v>
      </c>
      <c r="AB71" s="157" t="s">
        <v>698</v>
      </c>
      <c r="AC71" s="154">
        <v>0</v>
      </c>
      <c r="AD71" s="154">
        <v>0</v>
      </c>
      <c r="AF71" s="162" t="s">
        <v>703</v>
      </c>
      <c r="AG71" s="157" t="s">
        <v>567</v>
      </c>
      <c r="AH71" s="154">
        <v>0.373</v>
      </c>
      <c r="AK71" s="162"/>
      <c r="AL71" s="157" t="s">
        <v>1077</v>
      </c>
      <c r="AM71" s="154">
        <v>0.05</v>
      </c>
      <c r="AN71" s="154">
        <v>23.366299999999999</v>
      </c>
      <c r="AP71" s="162"/>
      <c r="AQ71" s="157" t="s">
        <v>567</v>
      </c>
      <c r="AR71" s="154">
        <f>1.05542/2</f>
        <v>0.52771000000000001</v>
      </c>
      <c r="BF71" s="162"/>
      <c r="BG71" s="154" t="s">
        <v>514</v>
      </c>
      <c r="BK71" s="162"/>
      <c r="BL71" s="158" t="s">
        <v>567</v>
      </c>
      <c r="BM71" s="158">
        <v>0.28299999999999997</v>
      </c>
      <c r="BQ71" s="162" t="s">
        <v>908</v>
      </c>
      <c r="BR71" s="158" t="s">
        <v>1132</v>
      </c>
      <c r="BS71" s="158">
        <v>9.8174999999999998E-2</v>
      </c>
      <c r="BT71" s="158">
        <v>5.36</v>
      </c>
      <c r="BV71" s="162" t="s">
        <v>162</v>
      </c>
      <c r="BW71" s="158" t="s">
        <v>567</v>
      </c>
      <c r="BX71" s="158">
        <v>0.67500000000000004</v>
      </c>
      <c r="CA71" s="480" t="s">
        <v>530</v>
      </c>
      <c r="CB71" s="479" t="s">
        <v>729</v>
      </c>
      <c r="CM71" s="498" t="s">
        <v>342</v>
      </c>
      <c r="CN71" s="157" t="s">
        <v>567</v>
      </c>
      <c r="CO71" s="157">
        <v>0.125</v>
      </c>
      <c r="CT71" s="162" t="s">
        <v>216</v>
      </c>
      <c r="CU71" s="154" t="s">
        <v>567</v>
      </c>
      <c r="CV71" s="154">
        <v>0.14000000000000001</v>
      </c>
      <c r="DE71" s="162" t="s">
        <v>221</v>
      </c>
      <c r="DF71" s="154" t="s">
        <v>670</v>
      </c>
      <c r="DG71" s="154">
        <v>0.10585</v>
      </c>
      <c r="DH71" s="154">
        <v>-2.5014354999999999</v>
      </c>
    </row>
    <row r="72" spans="1:112">
      <c r="Q72" s="162"/>
      <c r="R72" s="154" t="s">
        <v>567</v>
      </c>
      <c r="S72" s="154">
        <v>0.16500000000000001</v>
      </c>
      <c r="V72" s="207" t="s">
        <v>152</v>
      </c>
      <c r="W72" s="208" t="s">
        <v>729</v>
      </c>
      <c r="X72" s="209"/>
      <c r="Y72" s="165"/>
      <c r="AA72" s="162" t="s">
        <v>1194</v>
      </c>
      <c r="AB72" s="157" t="s">
        <v>567</v>
      </c>
      <c r="AC72" s="154">
        <v>1.4730000000000001</v>
      </c>
      <c r="AF72" s="162" t="s">
        <v>153</v>
      </c>
      <c r="AG72" s="157" t="s">
        <v>698</v>
      </c>
      <c r="AH72" s="154">
        <v>0</v>
      </c>
      <c r="AI72" s="154">
        <v>0</v>
      </c>
      <c r="AK72" s="162"/>
      <c r="AL72" s="157" t="s">
        <v>567</v>
      </c>
      <c r="AM72" s="154">
        <v>1.0629999999999999</v>
      </c>
      <c r="AP72" s="162" t="s">
        <v>154</v>
      </c>
      <c r="AQ72" s="157" t="s">
        <v>698</v>
      </c>
      <c r="AR72" s="154">
        <v>0</v>
      </c>
      <c r="AS72" s="154">
        <v>0</v>
      </c>
      <c r="BK72" s="162"/>
      <c r="BL72" s="158" t="s">
        <v>729</v>
      </c>
      <c r="BQ72" s="162" t="s">
        <v>741</v>
      </c>
      <c r="BR72" s="158" t="s">
        <v>1077</v>
      </c>
      <c r="BS72" s="158">
        <v>9.8174999999999998E-2</v>
      </c>
      <c r="BT72" s="158">
        <v>5.36</v>
      </c>
      <c r="BV72" s="162" t="s">
        <v>1155</v>
      </c>
      <c r="BW72" s="158" t="s">
        <v>670</v>
      </c>
      <c r="BX72" s="158">
        <v>0.31</v>
      </c>
      <c r="BY72" s="158">
        <v>2.0344829999999998</v>
      </c>
      <c r="CA72" s="480" t="s">
        <v>1069</v>
      </c>
      <c r="CB72" s="479" t="s">
        <v>698</v>
      </c>
      <c r="CC72" s="479">
        <v>0</v>
      </c>
      <c r="CD72" s="479">
        <v>0</v>
      </c>
      <c r="CM72" s="498" t="s">
        <v>339</v>
      </c>
      <c r="CN72" s="157" t="s">
        <v>567</v>
      </c>
      <c r="CO72" s="157">
        <v>0.215</v>
      </c>
      <c r="CT72" s="162" t="s">
        <v>765</v>
      </c>
      <c r="CU72" s="154" t="s">
        <v>670</v>
      </c>
      <c r="CV72" s="154">
        <v>0.5</v>
      </c>
      <c r="CW72" s="154">
        <v>1.33</v>
      </c>
      <c r="DE72" s="162" t="s">
        <v>1133</v>
      </c>
      <c r="DF72" s="154" t="s">
        <v>567</v>
      </c>
      <c r="DG72" s="154">
        <v>0.16914999</v>
      </c>
    </row>
    <row r="73" spans="1:112">
      <c r="Q73" s="162"/>
      <c r="R73" s="154" t="s">
        <v>729</v>
      </c>
      <c r="V73" s="194" t="s">
        <v>265</v>
      </c>
      <c r="W73" s="163" t="s">
        <v>567</v>
      </c>
      <c r="X73" s="170">
        <v>0.27700000000000002</v>
      </c>
      <c r="Y73" s="165"/>
      <c r="AA73" s="162"/>
      <c r="AB73" s="157" t="s">
        <v>1077</v>
      </c>
      <c r="AC73" s="154">
        <v>4.7600000000000003E-2</v>
      </c>
      <c r="AD73" s="154">
        <v>21.995999999999999</v>
      </c>
      <c r="AF73" s="162" t="s">
        <v>265</v>
      </c>
      <c r="AG73" s="157" t="s">
        <v>567</v>
      </c>
      <c r="AH73" s="154">
        <v>0.27700000000000002</v>
      </c>
      <c r="AK73" s="162" t="s">
        <v>222</v>
      </c>
      <c r="AL73" s="157" t="s">
        <v>670</v>
      </c>
      <c r="AM73" s="154">
        <v>0.51901001000000002</v>
      </c>
      <c r="AN73" s="154">
        <v>-0.75890796999999999</v>
      </c>
      <c r="AP73" s="162"/>
      <c r="AQ73" s="157" t="s">
        <v>567</v>
      </c>
      <c r="AR73" s="154">
        <f>1.05542/2</f>
        <v>0.52771000000000001</v>
      </c>
      <c r="BK73" s="162"/>
      <c r="BL73" s="158" t="s">
        <v>567</v>
      </c>
      <c r="BM73" s="158">
        <v>0.10484</v>
      </c>
      <c r="BQ73" s="162" t="s">
        <v>993</v>
      </c>
      <c r="BR73" s="158" t="s">
        <v>567</v>
      </c>
      <c r="BS73" s="158">
        <v>0.44</v>
      </c>
      <c r="BV73" s="162" t="s">
        <v>1156</v>
      </c>
      <c r="BW73" s="158" t="s">
        <v>567</v>
      </c>
      <c r="BX73" s="158">
        <v>0.22500000000000001</v>
      </c>
      <c r="CA73" s="480" t="s">
        <v>552</v>
      </c>
      <c r="CB73" s="479" t="s">
        <v>567</v>
      </c>
      <c r="CC73" s="479">
        <v>0.33</v>
      </c>
      <c r="CM73" s="498" t="s">
        <v>157</v>
      </c>
      <c r="CN73" s="157" t="s">
        <v>670</v>
      </c>
      <c r="CO73" s="157">
        <v>0.3</v>
      </c>
      <c r="CP73" s="157">
        <v>-1.016797</v>
      </c>
      <c r="CT73" s="162" t="s">
        <v>377</v>
      </c>
      <c r="CU73" s="154" t="s">
        <v>567</v>
      </c>
      <c r="CV73" s="154">
        <v>0.63</v>
      </c>
      <c r="DE73" s="162" t="s">
        <v>91</v>
      </c>
      <c r="DF73" s="154" t="s">
        <v>567</v>
      </c>
      <c r="DG73" s="154">
        <v>0.20919999</v>
      </c>
    </row>
    <row r="74" spans="1:112">
      <c r="Q74" s="162"/>
      <c r="R74" s="154" t="s">
        <v>567</v>
      </c>
      <c r="S74" s="154">
        <v>0.19500000000000001</v>
      </c>
      <c r="V74" s="214" t="s">
        <v>1013</v>
      </c>
      <c r="W74" s="215" t="s">
        <v>698</v>
      </c>
      <c r="X74" s="201">
        <v>0</v>
      </c>
      <c r="Y74" s="201">
        <v>0</v>
      </c>
      <c r="AA74" s="162" t="s">
        <v>175</v>
      </c>
      <c r="AB74" s="157" t="s">
        <v>760</v>
      </c>
      <c r="AC74" s="154">
        <v>9.5200000000000007E-2</v>
      </c>
      <c r="AD74" s="154">
        <v>21.995999999999999</v>
      </c>
      <c r="AF74" s="162" t="s">
        <v>1014</v>
      </c>
      <c r="AG74" s="157" t="s">
        <v>729</v>
      </c>
      <c r="AK74" s="162"/>
      <c r="AL74" s="157" t="s">
        <v>567</v>
      </c>
      <c r="AM74" s="154">
        <v>0.34049499</v>
      </c>
      <c r="AP74" s="162"/>
      <c r="AQ74" s="157" t="s">
        <v>1077</v>
      </c>
      <c r="AR74" s="154">
        <v>0.05</v>
      </c>
      <c r="AS74" s="154">
        <v>23.366299999999999</v>
      </c>
      <c r="BK74" s="162" t="s">
        <v>765</v>
      </c>
      <c r="BL74" s="158" t="s">
        <v>670</v>
      </c>
      <c r="BM74" s="158">
        <v>0.92432000000000003</v>
      </c>
      <c r="BN74" s="158">
        <v>0.77604600000000001</v>
      </c>
      <c r="BQ74" s="162" t="s">
        <v>27</v>
      </c>
      <c r="BR74" s="158" t="s">
        <v>670</v>
      </c>
      <c r="BS74" s="158">
        <v>0.32</v>
      </c>
      <c r="BT74" s="158">
        <v>-1.68903</v>
      </c>
      <c r="BV74" s="162" t="s">
        <v>1157</v>
      </c>
      <c r="BW74" s="158" t="s">
        <v>1125</v>
      </c>
      <c r="BX74" s="158">
        <v>2.2160000000000002</v>
      </c>
      <c r="CA74" s="480" t="s">
        <v>1069</v>
      </c>
      <c r="CB74" s="479" t="s">
        <v>698</v>
      </c>
      <c r="CC74" s="479">
        <v>0</v>
      </c>
      <c r="CD74" s="479">
        <v>0</v>
      </c>
      <c r="CM74" s="498" t="s">
        <v>729</v>
      </c>
      <c r="CN74" s="157" t="s">
        <v>729</v>
      </c>
      <c r="CT74" s="162" t="s">
        <v>377</v>
      </c>
      <c r="CU74" s="154" t="s">
        <v>567</v>
      </c>
      <c r="CV74" s="154">
        <v>0.63</v>
      </c>
      <c r="DE74" s="162" t="s">
        <v>276</v>
      </c>
      <c r="DF74" s="154" t="s">
        <v>670</v>
      </c>
      <c r="DG74" s="154">
        <v>0.13079999</v>
      </c>
      <c r="DH74" s="154">
        <v>2.4701833999999998</v>
      </c>
    </row>
    <row r="75" spans="1:112">
      <c r="Q75" s="162" t="s">
        <v>366</v>
      </c>
      <c r="R75" s="154" t="s">
        <v>670</v>
      </c>
      <c r="S75" s="154">
        <v>0.3</v>
      </c>
      <c r="T75" s="154">
        <v>-0.65</v>
      </c>
      <c r="V75" s="194" t="s">
        <v>59</v>
      </c>
      <c r="W75" s="163" t="s">
        <v>567</v>
      </c>
      <c r="X75" s="170">
        <v>4.577</v>
      </c>
      <c r="Y75" s="165"/>
      <c r="AA75" s="162"/>
      <c r="AB75" s="157" t="s">
        <v>1077</v>
      </c>
      <c r="AC75" s="154">
        <v>4.7600000000000003E-2</v>
      </c>
      <c r="AD75" s="154">
        <v>21.995999999999999</v>
      </c>
      <c r="AF75" s="162" t="s">
        <v>265</v>
      </c>
      <c r="AG75" s="157" t="s">
        <v>567</v>
      </c>
      <c r="AH75" s="154">
        <v>0.27700000000000002</v>
      </c>
      <c r="AK75" s="162" t="s">
        <v>1194</v>
      </c>
      <c r="AL75" s="157" t="s">
        <v>1125</v>
      </c>
      <c r="AM75" s="154">
        <v>1.21283268433319</v>
      </c>
      <c r="AN75" s="154">
        <v>0</v>
      </c>
      <c r="AP75" s="162" t="s">
        <v>175</v>
      </c>
      <c r="AQ75" s="157" t="s">
        <v>1132</v>
      </c>
      <c r="AR75" s="154">
        <v>4.61604960990828E-2</v>
      </c>
      <c r="AS75" s="154">
        <v>23.366299999999999</v>
      </c>
      <c r="BK75" s="162"/>
      <c r="BL75" s="158" t="s">
        <v>567</v>
      </c>
      <c r="BM75" s="158">
        <v>0.33783999999999997</v>
      </c>
      <c r="BQ75" s="162" t="s">
        <v>779</v>
      </c>
      <c r="BR75" s="158" t="s">
        <v>567</v>
      </c>
      <c r="BS75" s="158">
        <v>0.2</v>
      </c>
      <c r="BV75" s="162" t="s">
        <v>488</v>
      </c>
      <c r="BW75" s="158" t="s">
        <v>567</v>
      </c>
      <c r="BX75" s="158">
        <v>1.375</v>
      </c>
      <c r="CA75" s="480" t="s">
        <v>551</v>
      </c>
      <c r="CB75" s="479" t="s">
        <v>567</v>
      </c>
      <c r="CC75" s="479">
        <v>0.40100000000000002</v>
      </c>
      <c r="CM75" s="498" t="s">
        <v>338</v>
      </c>
      <c r="CN75" s="157" t="s">
        <v>567</v>
      </c>
      <c r="CO75" s="157">
        <v>0.15</v>
      </c>
      <c r="CT75" s="162" t="s">
        <v>513</v>
      </c>
      <c r="CU75" s="154" t="s">
        <v>670</v>
      </c>
      <c r="CV75" s="154">
        <v>0.5</v>
      </c>
      <c r="CW75" s="154">
        <v>-0.182</v>
      </c>
      <c r="DE75" s="162" t="s">
        <v>432</v>
      </c>
      <c r="DF75" s="154" t="s">
        <v>1125</v>
      </c>
      <c r="DG75" s="154">
        <v>6.0123024999999997</v>
      </c>
    </row>
    <row r="76" spans="1:112">
      <c r="Q76" s="162" t="s">
        <v>366</v>
      </c>
      <c r="R76" s="154" t="s">
        <v>670</v>
      </c>
      <c r="S76" s="154">
        <v>0.3</v>
      </c>
      <c r="T76" s="154">
        <v>-0.65</v>
      </c>
      <c r="V76" s="194" t="s">
        <v>969</v>
      </c>
      <c r="W76" s="163"/>
      <c r="X76" s="170"/>
      <c r="Y76" s="165"/>
      <c r="AA76" s="162" t="s">
        <v>207</v>
      </c>
      <c r="AB76" s="157" t="s">
        <v>567</v>
      </c>
      <c r="AC76" s="154">
        <v>0.377</v>
      </c>
      <c r="AF76" s="162" t="s">
        <v>28</v>
      </c>
      <c r="AG76" s="157" t="s">
        <v>698</v>
      </c>
      <c r="AH76" s="154">
        <v>0</v>
      </c>
      <c r="AI76" s="154">
        <v>0</v>
      </c>
      <c r="AK76" s="162" t="s">
        <v>173</v>
      </c>
      <c r="AL76" s="157" t="s">
        <v>698</v>
      </c>
      <c r="AM76" s="154">
        <v>0</v>
      </c>
      <c r="AN76" s="154">
        <v>0</v>
      </c>
      <c r="AP76" s="162" t="s">
        <v>175</v>
      </c>
      <c r="AQ76" s="157" t="s">
        <v>1132</v>
      </c>
      <c r="AR76" s="154">
        <v>4.61604960990828E-2</v>
      </c>
      <c r="AS76" s="154">
        <v>23.366299999999999</v>
      </c>
      <c r="BK76" s="162" t="s">
        <v>1012</v>
      </c>
      <c r="BL76" s="158" t="s">
        <v>1125</v>
      </c>
      <c r="BM76" s="158">
        <v>2.20851</v>
      </c>
      <c r="BN76" s="158">
        <v>0</v>
      </c>
      <c r="BQ76" s="162" t="s">
        <v>182</v>
      </c>
      <c r="BR76" s="158" t="s">
        <v>1125</v>
      </c>
      <c r="BS76" s="158">
        <v>-2.9762299999999997</v>
      </c>
      <c r="BT76" s="158" t="s">
        <v>1178</v>
      </c>
      <c r="BV76" s="162" t="s">
        <v>488</v>
      </c>
      <c r="BW76" s="158" t="s">
        <v>567</v>
      </c>
      <c r="BX76" s="158">
        <v>1.375</v>
      </c>
      <c r="CA76" s="480" t="s">
        <v>550</v>
      </c>
      <c r="CB76" s="479" t="s">
        <v>670</v>
      </c>
      <c r="CC76" s="479">
        <v>0.4</v>
      </c>
      <c r="CD76" s="479">
        <v>-1.24621</v>
      </c>
      <c r="CM76" s="498" t="s">
        <v>343</v>
      </c>
      <c r="CN76" s="157" t="s">
        <v>567</v>
      </c>
      <c r="CO76" s="157">
        <v>0.125</v>
      </c>
      <c r="CT76" s="162" t="s">
        <v>893</v>
      </c>
      <c r="CU76" s="154" t="s">
        <v>567</v>
      </c>
      <c r="CV76" s="154">
        <v>3</v>
      </c>
      <c r="DE76" s="162" t="s">
        <v>276</v>
      </c>
      <c r="DF76" s="154" t="s">
        <v>670</v>
      </c>
      <c r="DG76" s="154">
        <v>0.13079999</v>
      </c>
      <c r="DH76" s="154">
        <v>2.4701833999999998</v>
      </c>
    </row>
    <row r="77" spans="1:112">
      <c r="Q77" s="162"/>
      <c r="R77" s="154" t="s">
        <v>567</v>
      </c>
      <c r="S77" s="154">
        <v>0.1618</v>
      </c>
      <c r="V77" s="217" t="s">
        <v>805</v>
      </c>
      <c r="W77" s="218" t="s">
        <v>567</v>
      </c>
      <c r="X77" s="206">
        <v>0.58399999999999996</v>
      </c>
      <c r="Y77" s="206"/>
      <c r="AA77" s="162" t="s">
        <v>85</v>
      </c>
      <c r="AB77" s="157" t="s">
        <v>670</v>
      </c>
      <c r="AC77" s="154">
        <v>0.6</v>
      </c>
      <c r="AD77" s="154">
        <v>1.1433</v>
      </c>
      <c r="AF77" s="162" t="s">
        <v>183</v>
      </c>
      <c r="AG77" s="157" t="s">
        <v>567</v>
      </c>
      <c r="AH77" s="154">
        <v>2.59</v>
      </c>
      <c r="AK77" s="162"/>
      <c r="AL77" s="157" t="s">
        <v>567</v>
      </c>
      <c r="AM77" s="154">
        <v>0.28299999999999997</v>
      </c>
      <c r="AP77" s="162" t="s">
        <v>175</v>
      </c>
      <c r="AQ77" s="157" t="s">
        <v>1132</v>
      </c>
      <c r="AR77" s="154">
        <v>5.8497881525301785E-3</v>
      </c>
      <c r="AS77" s="154">
        <v>50.036000000000001</v>
      </c>
      <c r="BK77" s="162"/>
      <c r="BL77" s="158" t="s">
        <v>567</v>
      </c>
      <c r="BM77" s="158">
        <v>0.332895</v>
      </c>
      <c r="BQ77" s="162" t="s">
        <v>858</v>
      </c>
      <c r="BR77" s="158" t="s">
        <v>567</v>
      </c>
      <c r="BS77" s="158">
        <v>0.47633999999999999</v>
      </c>
      <c r="BV77" s="162" t="s">
        <v>1157</v>
      </c>
      <c r="BW77" s="158" t="s">
        <v>1125</v>
      </c>
      <c r="BX77" s="158">
        <v>2.2160000000000002</v>
      </c>
      <c r="CA77" s="480" t="s">
        <v>382</v>
      </c>
      <c r="CB77" s="479" t="s">
        <v>567</v>
      </c>
      <c r="CC77" s="479">
        <v>0.15</v>
      </c>
      <c r="CM77" s="498" t="s">
        <v>811</v>
      </c>
      <c r="CN77" s="157" t="s">
        <v>770</v>
      </c>
      <c r="CO77" s="157">
        <v>0</v>
      </c>
      <c r="CP77" s="157">
        <v>-0.269011</v>
      </c>
      <c r="CT77" s="162"/>
      <c r="CU77" s="154" t="s">
        <v>514</v>
      </c>
      <c r="DE77" s="162" t="s">
        <v>636</v>
      </c>
      <c r="DF77" s="154" t="s">
        <v>567</v>
      </c>
      <c r="DG77" s="154">
        <v>5.2700002000000003E-2</v>
      </c>
    </row>
    <row r="78" spans="1:112">
      <c r="Q78" s="162" t="s">
        <v>999</v>
      </c>
      <c r="R78" s="154" t="s">
        <v>1125</v>
      </c>
      <c r="S78" s="154">
        <v>0</v>
      </c>
      <c r="T78" s="154">
        <v>0</v>
      </c>
      <c r="V78" s="194" t="s">
        <v>1161</v>
      </c>
      <c r="W78" s="163" t="s">
        <v>670</v>
      </c>
      <c r="X78" s="170">
        <v>0.6</v>
      </c>
      <c r="Y78" s="165">
        <v>0.14982000000000001</v>
      </c>
      <c r="AA78" s="162" t="s">
        <v>800</v>
      </c>
      <c r="AB78" s="157" t="s">
        <v>567</v>
      </c>
      <c r="AC78" s="154">
        <v>0.84699999999999998</v>
      </c>
      <c r="AF78" s="162"/>
      <c r="AG78" s="157" t="s">
        <v>1077</v>
      </c>
      <c r="AH78" s="154">
        <v>4.7600000000000003E-2</v>
      </c>
      <c r="AI78" s="154">
        <v>21.995999999999999</v>
      </c>
      <c r="AK78" s="162"/>
      <c r="AL78" s="157" t="s">
        <v>729</v>
      </c>
      <c r="AP78" s="162"/>
      <c r="AQ78" s="157" t="s">
        <v>1077</v>
      </c>
      <c r="AR78" s="154">
        <v>0.05</v>
      </c>
      <c r="AS78" s="154">
        <v>23.366299999999999</v>
      </c>
      <c r="BK78" s="162" t="s">
        <v>513</v>
      </c>
      <c r="BL78" s="158" t="s">
        <v>670</v>
      </c>
      <c r="BM78" s="158">
        <v>0.43420999999999998</v>
      </c>
      <c r="BN78" s="158">
        <v>-0.41251799</v>
      </c>
      <c r="BQ78" s="162" t="s">
        <v>230</v>
      </c>
      <c r="BR78" s="158" t="s">
        <v>670</v>
      </c>
      <c r="BS78" s="158">
        <v>0.32</v>
      </c>
      <c r="BT78" s="158">
        <v>1.9618599999999999</v>
      </c>
      <c r="BV78" s="162" t="s">
        <v>1156</v>
      </c>
      <c r="BW78" s="158" t="s">
        <v>567</v>
      </c>
      <c r="BX78" s="158">
        <v>0.22500000000000001</v>
      </c>
      <c r="CA78" s="480" t="s">
        <v>94</v>
      </c>
      <c r="CB78" s="479" t="s">
        <v>79</v>
      </c>
      <c r="CC78" s="479">
        <v>0.3</v>
      </c>
      <c r="CE78" s="479">
        <v>9.9616500000000006</v>
      </c>
      <c r="CM78" s="498" t="s">
        <v>343</v>
      </c>
      <c r="CN78" s="157" t="s">
        <v>567</v>
      </c>
      <c r="CO78" s="157">
        <v>0.125</v>
      </c>
      <c r="DE78" s="162" t="s">
        <v>986</v>
      </c>
      <c r="DF78" s="154" t="s">
        <v>567</v>
      </c>
      <c r="DG78" s="154">
        <v>0.14362501</v>
      </c>
    </row>
    <row r="79" spans="1:112">
      <c r="Q79" s="162"/>
      <c r="R79" s="154" t="s">
        <v>567</v>
      </c>
      <c r="S79" s="154">
        <v>0.24</v>
      </c>
      <c r="V79" s="214" t="s">
        <v>703</v>
      </c>
      <c r="W79" s="215" t="s">
        <v>567</v>
      </c>
      <c r="X79" s="201">
        <v>0.373</v>
      </c>
      <c r="Y79" s="201"/>
      <c r="AA79" s="162" t="s">
        <v>801</v>
      </c>
      <c r="AB79" s="157" t="s">
        <v>670</v>
      </c>
      <c r="AC79" s="154">
        <v>0.6</v>
      </c>
      <c r="AD79" s="154">
        <v>-0.80265799999999998</v>
      </c>
      <c r="AF79" s="162" t="s">
        <v>175</v>
      </c>
      <c r="AG79" s="157" t="s">
        <v>760</v>
      </c>
      <c r="AH79" s="154">
        <v>9.5200000000000007E-2</v>
      </c>
      <c r="AI79" s="154">
        <v>21.995999999999999</v>
      </c>
      <c r="AK79" s="162"/>
      <c r="AL79" s="157" t="s">
        <v>567</v>
      </c>
      <c r="AM79" s="154">
        <v>0.10484</v>
      </c>
      <c r="AP79" s="162"/>
      <c r="AQ79" s="157" t="s">
        <v>567</v>
      </c>
      <c r="AR79" s="154">
        <f>0.95475/2</f>
        <v>0.47737499999999999</v>
      </c>
      <c r="BK79" s="162"/>
      <c r="BL79" s="158" t="s">
        <v>567</v>
      </c>
      <c r="BM79" s="158">
        <v>9.9894999999999998E-2</v>
      </c>
      <c r="BQ79" s="162" t="s">
        <v>779</v>
      </c>
      <c r="BR79" s="158" t="s">
        <v>567</v>
      </c>
      <c r="BS79" s="158">
        <v>0.2</v>
      </c>
      <c r="BV79" s="162" t="s">
        <v>1155</v>
      </c>
      <c r="BW79" s="158" t="s">
        <v>670</v>
      </c>
      <c r="BX79" s="158">
        <v>0.31</v>
      </c>
      <c r="BY79" s="158">
        <v>2.0344829999999998</v>
      </c>
      <c r="CA79" s="480" t="s">
        <v>384</v>
      </c>
      <c r="CB79" s="479" t="s">
        <v>567</v>
      </c>
      <c r="CC79" s="479">
        <v>0.23499999999999999</v>
      </c>
      <c r="CM79" s="498" t="s">
        <v>959</v>
      </c>
      <c r="CN79" s="157" t="s">
        <v>698</v>
      </c>
      <c r="CO79" s="157">
        <v>0</v>
      </c>
      <c r="CP79" s="157">
        <v>0</v>
      </c>
      <c r="DE79" s="162" t="s">
        <v>986</v>
      </c>
      <c r="DF79" s="154" t="s">
        <v>567</v>
      </c>
      <c r="DG79" s="154">
        <v>0.14362501</v>
      </c>
    </row>
    <row r="80" spans="1:112">
      <c r="Q80" s="162"/>
      <c r="R80" s="154" t="s">
        <v>1077</v>
      </c>
      <c r="S80" s="154">
        <v>4.759988869075444E-2</v>
      </c>
      <c r="T80" s="154">
        <v>21.995799999999999</v>
      </c>
      <c r="V80" s="194" t="s">
        <v>1048</v>
      </c>
      <c r="W80" s="163" t="s">
        <v>698</v>
      </c>
      <c r="X80" s="170">
        <v>0</v>
      </c>
      <c r="Y80" s="165">
        <v>0</v>
      </c>
      <c r="AA80" s="162" t="s">
        <v>703</v>
      </c>
      <c r="AB80" s="157" t="s">
        <v>567</v>
      </c>
      <c r="AC80" s="154">
        <v>0.373</v>
      </c>
      <c r="AF80" s="162"/>
      <c r="AG80" s="157" t="s">
        <v>1077</v>
      </c>
      <c r="AH80" s="154">
        <v>4.7600000000000003E-2</v>
      </c>
      <c r="AI80" s="154">
        <v>21.995999999999999</v>
      </c>
      <c r="AK80" s="162" t="s">
        <v>765</v>
      </c>
      <c r="AL80" s="157" t="s">
        <v>670</v>
      </c>
      <c r="AM80" s="154">
        <v>0.92431998000000004</v>
      </c>
      <c r="AN80" s="154">
        <v>0.77604598000000002</v>
      </c>
      <c r="AP80" s="162" t="s">
        <v>395</v>
      </c>
      <c r="AQ80" s="157" t="s">
        <v>698</v>
      </c>
      <c r="AR80" s="154">
        <v>0</v>
      </c>
      <c r="AS80" s="154">
        <v>0</v>
      </c>
      <c r="BK80" s="162"/>
      <c r="BL80" s="158" t="s">
        <v>729</v>
      </c>
      <c r="BQ80" s="162" t="s">
        <v>1062</v>
      </c>
      <c r="BR80" s="158" t="s">
        <v>1125</v>
      </c>
      <c r="BS80" s="158">
        <v>1.8610799999999998</v>
      </c>
      <c r="BT80" s="158" t="s">
        <v>1178</v>
      </c>
      <c r="BV80" s="162" t="s">
        <v>162</v>
      </c>
      <c r="BW80" s="158" t="s">
        <v>567</v>
      </c>
      <c r="BX80" s="158">
        <v>0.67500000000000004</v>
      </c>
      <c r="CA80" s="480" t="s">
        <v>548</v>
      </c>
      <c r="CB80" s="479" t="s">
        <v>670</v>
      </c>
      <c r="CC80" s="479">
        <v>0.6</v>
      </c>
      <c r="CD80" s="479">
        <v>1.47533</v>
      </c>
      <c r="CM80" s="498" t="s">
        <v>336</v>
      </c>
      <c r="CN80" s="157" t="s">
        <v>567</v>
      </c>
      <c r="CO80" s="157">
        <v>0.55000000000000004</v>
      </c>
      <c r="DE80" s="162" t="s">
        <v>578</v>
      </c>
      <c r="DF80" s="154" t="s">
        <v>670</v>
      </c>
      <c r="DG80" s="154">
        <v>0.13079999</v>
      </c>
      <c r="DH80" s="154">
        <v>2.5592084000000002</v>
      </c>
    </row>
    <row r="81" spans="17:112">
      <c r="Q81" s="162"/>
      <c r="R81" s="154" t="s">
        <v>760</v>
      </c>
      <c r="S81" s="154">
        <v>4.759988869075444E-2</v>
      </c>
      <c r="T81" s="154">
        <v>22</v>
      </c>
      <c r="V81" s="207" t="s">
        <v>265</v>
      </c>
      <c r="W81" s="208" t="s">
        <v>567</v>
      </c>
      <c r="X81" s="209">
        <v>0.27700000000000002</v>
      </c>
      <c r="Y81" s="165"/>
      <c r="AA81" s="162" t="s">
        <v>554</v>
      </c>
      <c r="AB81" s="157" t="s">
        <v>698</v>
      </c>
      <c r="AC81" s="154">
        <v>0</v>
      </c>
      <c r="AD81" s="154">
        <v>0</v>
      </c>
      <c r="AF81" s="162" t="s">
        <v>796</v>
      </c>
      <c r="AG81" s="157" t="s">
        <v>567</v>
      </c>
      <c r="AH81" s="154">
        <v>0.68489999999999995</v>
      </c>
      <c r="AK81" s="162"/>
      <c r="AL81" s="157" t="s">
        <v>567</v>
      </c>
      <c r="AM81" s="154">
        <v>0.33783998999999998</v>
      </c>
      <c r="AP81" s="162"/>
      <c r="AQ81" s="157" t="s">
        <v>567</v>
      </c>
      <c r="AR81" s="154">
        <f>0.95475/2</f>
        <v>0.47737499999999999</v>
      </c>
      <c r="BK81" s="162" t="s">
        <v>567</v>
      </c>
      <c r="BL81" s="158" t="s">
        <v>567</v>
      </c>
      <c r="BM81" s="158">
        <v>3.0525600000000002</v>
      </c>
      <c r="BQ81" s="162" t="s">
        <v>1063</v>
      </c>
      <c r="BR81" s="158" t="s">
        <v>567</v>
      </c>
      <c r="BS81" s="158">
        <v>1.9046799999999999</v>
      </c>
      <c r="BV81" s="162" t="s">
        <v>232</v>
      </c>
      <c r="BW81" s="158" t="s">
        <v>1125</v>
      </c>
      <c r="BX81" s="158">
        <v>-3.8820000000000001</v>
      </c>
      <c r="CA81" s="480" t="s">
        <v>198</v>
      </c>
      <c r="CB81" s="479" t="s">
        <v>567</v>
      </c>
      <c r="CC81" s="479">
        <v>0.46500000000000002</v>
      </c>
      <c r="CM81" s="498" t="s">
        <v>126</v>
      </c>
      <c r="CN81" s="157" t="s">
        <v>1077</v>
      </c>
      <c r="CO81" s="157">
        <v>5.2359879999999998E-2</v>
      </c>
      <c r="CP81" s="157">
        <v>25.019159999999999</v>
      </c>
      <c r="DE81" s="162" t="s">
        <v>284</v>
      </c>
      <c r="DF81" s="154" t="s">
        <v>1125</v>
      </c>
      <c r="DG81" s="154">
        <v>6.4222754999999996</v>
      </c>
    </row>
    <row r="82" spans="17:112">
      <c r="Q82" s="162"/>
      <c r="R82" s="154" t="s">
        <v>760</v>
      </c>
      <c r="S82" s="154">
        <v>4.759988869075444E-2</v>
      </c>
      <c r="T82" s="154">
        <v>22</v>
      </c>
      <c r="V82" s="194" t="s">
        <v>637</v>
      </c>
      <c r="W82" s="163" t="s">
        <v>729</v>
      </c>
      <c r="X82" s="170"/>
      <c r="Y82" s="165"/>
      <c r="AA82" s="162" t="s">
        <v>265</v>
      </c>
      <c r="AB82" s="157" t="s">
        <v>567</v>
      </c>
      <c r="AC82" s="154">
        <v>0.27700000000000002</v>
      </c>
      <c r="AF82" s="162" t="s">
        <v>638</v>
      </c>
      <c r="AG82" s="157" t="s">
        <v>698</v>
      </c>
      <c r="AH82" s="154">
        <v>0</v>
      </c>
      <c r="AI82" s="154">
        <v>0</v>
      </c>
      <c r="AK82" s="162" t="s">
        <v>1012</v>
      </c>
      <c r="AL82" s="157" t="s">
        <v>1125</v>
      </c>
      <c r="AM82" s="154">
        <v>-0.53741586598631697</v>
      </c>
      <c r="AN82" s="154">
        <v>0</v>
      </c>
      <c r="AP82" s="162"/>
      <c r="AQ82" s="157" t="s">
        <v>254</v>
      </c>
      <c r="BK82" s="162"/>
      <c r="BL82" s="158" t="s">
        <v>1204</v>
      </c>
      <c r="BM82" s="158">
        <v>0</v>
      </c>
      <c r="BN82" s="158">
        <f>9/32</f>
        <v>0.28125</v>
      </c>
      <c r="BO82" s="158">
        <f>992</f>
        <v>992</v>
      </c>
      <c r="BP82" s="158">
        <v>0</v>
      </c>
      <c r="BQ82" s="162" t="s">
        <v>1063</v>
      </c>
      <c r="BR82" s="158" t="s">
        <v>567</v>
      </c>
      <c r="BS82" s="158">
        <v>1.9046799999999999</v>
      </c>
      <c r="BV82" s="162" t="s">
        <v>231</v>
      </c>
      <c r="BW82" s="158" t="s">
        <v>567</v>
      </c>
      <c r="BX82" s="158">
        <v>0.27500000000000002</v>
      </c>
      <c r="CA82" s="480" t="s">
        <v>718</v>
      </c>
      <c r="CB82" s="479" t="s">
        <v>670</v>
      </c>
      <c r="CC82" s="479">
        <v>0.3</v>
      </c>
      <c r="CD82" s="479">
        <v>-0.88436999999999999</v>
      </c>
      <c r="CM82" s="498" t="s">
        <v>127</v>
      </c>
      <c r="CN82" s="157" t="s">
        <v>1132</v>
      </c>
      <c r="CO82" s="157">
        <v>0.1047198</v>
      </c>
      <c r="CP82" s="157">
        <v>25.019159999999999</v>
      </c>
      <c r="CQ82" s="157">
        <v>0</v>
      </c>
      <c r="DE82" s="162" t="s">
        <v>578</v>
      </c>
      <c r="DF82" s="154" t="s">
        <v>670</v>
      </c>
      <c r="DG82" s="154">
        <v>0.13079999</v>
      </c>
      <c r="DH82" s="154">
        <v>2.5592084000000002</v>
      </c>
    </row>
    <row r="83" spans="17:112">
      <c r="Q83" s="162"/>
      <c r="R83" s="154" t="s">
        <v>1077</v>
      </c>
      <c r="S83" s="154">
        <v>4.759988869075444E-2</v>
      </c>
      <c r="T83" s="154">
        <v>21.995799999999999</v>
      </c>
      <c r="V83" s="214" t="s">
        <v>265</v>
      </c>
      <c r="W83" s="215" t="s">
        <v>567</v>
      </c>
      <c r="X83" s="201">
        <v>0.27700000000000002</v>
      </c>
      <c r="Y83" s="201"/>
      <c r="AA83" s="162" t="s">
        <v>152</v>
      </c>
      <c r="AB83" s="157" t="s">
        <v>729</v>
      </c>
      <c r="AF83" s="162" t="s">
        <v>265</v>
      </c>
      <c r="AG83" s="157" t="s">
        <v>567</v>
      </c>
      <c r="AH83" s="154">
        <v>0.27700000000000002</v>
      </c>
      <c r="AK83" s="162"/>
      <c r="AL83" s="157" t="s">
        <v>567</v>
      </c>
      <c r="AM83" s="154">
        <v>0.33289500999999999</v>
      </c>
      <c r="BL83" s="158" t="s">
        <v>514</v>
      </c>
      <c r="BQ83" s="162" t="s">
        <v>1062</v>
      </c>
      <c r="BR83" s="158" t="s">
        <v>1125</v>
      </c>
      <c r="BS83" s="158">
        <v>1.8610799999999998</v>
      </c>
      <c r="BT83" s="158" t="s">
        <v>1178</v>
      </c>
      <c r="BV83" s="162" t="s">
        <v>1076</v>
      </c>
      <c r="BW83" s="158" t="s">
        <v>1077</v>
      </c>
      <c r="BX83" s="158">
        <v>9.8174999999999998E-2</v>
      </c>
      <c r="BY83" s="158">
        <v>7.0470423000000002</v>
      </c>
      <c r="BZ83" s="154"/>
      <c r="CA83" s="481" t="s">
        <v>1036</v>
      </c>
      <c r="CB83" s="482" t="s">
        <v>729</v>
      </c>
      <c r="CC83" s="482"/>
      <c r="CD83" s="482"/>
      <c r="CE83" s="482"/>
      <c r="CF83" s="482"/>
      <c r="CM83" s="498" t="s">
        <v>335</v>
      </c>
      <c r="CN83" s="157" t="s">
        <v>1077</v>
      </c>
      <c r="CO83" s="157">
        <v>5.2359879999999998E-2</v>
      </c>
      <c r="CP83" s="157">
        <v>25.019159999999999</v>
      </c>
      <c r="DE83" s="162" t="s">
        <v>91</v>
      </c>
      <c r="DF83" s="154" t="s">
        <v>567</v>
      </c>
      <c r="DG83" s="154">
        <v>0.20919999</v>
      </c>
    </row>
    <row r="84" spans="17:112">
      <c r="Q84" s="162"/>
      <c r="R84" s="154" t="s">
        <v>567</v>
      </c>
      <c r="S84" s="154">
        <v>0.38555000000000011</v>
      </c>
      <c r="V84" s="194" t="s">
        <v>638</v>
      </c>
      <c r="W84" s="163" t="s">
        <v>698</v>
      </c>
      <c r="X84" s="170">
        <v>0</v>
      </c>
      <c r="Y84" s="165">
        <v>0</v>
      </c>
      <c r="AA84" s="162" t="s">
        <v>265</v>
      </c>
      <c r="AB84" s="157" t="s">
        <v>567</v>
      </c>
      <c r="AC84" s="154">
        <v>0.27700000000000002</v>
      </c>
      <c r="AF84" s="162" t="s">
        <v>637</v>
      </c>
      <c r="AG84" s="157" t="s">
        <v>729</v>
      </c>
      <c r="AK84" s="162" t="s">
        <v>513</v>
      </c>
      <c r="AL84" s="157" t="s">
        <v>670</v>
      </c>
      <c r="AM84" s="154">
        <v>0.43420999999999998</v>
      </c>
      <c r="AN84" s="154">
        <v>-0.41251799</v>
      </c>
      <c r="BQ84" s="162" t="s">
        <v>779</v>
      </c>
      <c r="BR84" s="158" t="s">
        <v>567</v>
      </c>
      <c r="BS84" s="158">
        <v>0.2</v>
      </c>
      <c r="BV84" s="162" t="s">
        <v>821</v>
      </c>
      <c r="BW84" s="158" t="s">
        <v>1132</v>
      </c>
      <c r="BX84" s="158">
        <f>1.383684/BY84/2</f>
        <v>9.8174804484996478E-2</v>
      </c>
      <c r="BY84" s="158">
        <v>7.0470423000000002</v>
      </c>
      <c r="BZ84" s="154">
        <v>29.1260622368907</v>
      </c>
      <c r="CA84" s="481" t="s">
        <v>1037</v>
      </c>
      <c r="CB84" s="482" t="s">
        <v>567</v>
      </c>
      <c r="CC84" s="482">
        <v>0.2</v>
      </c>
      <c r="CD84" s="482"/>
      <c r="CE84" s="482"/>
      <c r="CF84" s="482"/>
      <c r="CM84" s="498" t="s">
        <v>344</v>
      </c>
      <c r="CN84" s="157" t="s">
        <v>567</v>
      </c>
      <c r="CO84" s="157">
        <v>0.55000000000000004</v>
      </c>
      <c r="DE84" s="162" t="s">
        <v>1133</v>
      </c>
      <c r="DF84" s="154" t="s">
        <v>567</v>
      </c>
      <c r="DG84" s="154">
        <v>0.16914999</v>
      </c>
    </row>
    <row r="85" spans="17:112" ht="15.75">
      <c r="Q85" s="162" t="s">
        <v>148</v>
      </c>
      <c r="R85" s="154" t="s">
        <v>698</v>
      </c>
      <c r="S85" s="154">
        <v>0</v>
      </c>
      <c r="T85" s="154">
        <v>0</v>
      </c>
      <c r="V85" s="219" t="s">
        <v>796</v>
      </c>
      <c r="W85" s="203" t="s">
        <v>567</v>
      </c>
      <c r="X85" s="179">
        <v>0.68489999999999995</v>
      </c>
      <c r="Y85" s="204"/>
      <c r="AA85" s="162" t="s">
        <v>1013</v>
      </c>
      <c r="AB85" s="157" t="s">
        <v>698</v>
      </c>
      <c r="AC85" s="154">
        <v>0</v>
      </c>
      <c r="AD85" s="154">
        <v>0</v>
      </c>
      <c r="AF85" s="162" t="s">
        <v>265</v>
      </c>
      <c r="AG85" s="157" t="s">
        <v>567</v>
      </c>
      <c r="AH85" s="154">
        <v>0.27700000000000002</v>
      </c>
      <c r="AK85" s="162"/>
      <c r="AL85" s="157" t="s">
        <v>567</v>
      </c>
      <c r="AM85" s="154">
        <v>9.9894999999999998E-2</v>
      </c>
      <c r="BQ85" s="162" t="s">
        <v>230</v>
      </c>
      <c r="BR85" s="158" t="s">
        <v>670</v>
      </c>
      <c r="BS85" s="158">
        <v>0.32</v>
      </c>
      <c r="BT85" s="158">
        <v>1.9618599999999999</v>
      </c>
      <c r="BV85" s="162" t="s">
        <v>821</v>
      </c>
      <c r="BW85" s="158" t="s">
        <v>1132</v>
      </c>
      <c r="BX85" s="158">
        <f>1.383684/BY85/2</f>
        <v>9.8174804484996478E-2</v>
      </c>
      <c r="BY85" s="158">
        <v>7.0470423000000002</v>
      </c>
      <c r="BZ85" s="154">
        <v>29.1260622368907</v>
      </c>
      <c r="CA85" s="481" t="s">
        <v>95</v>
      </c>
      <c r="CB85" s="482" t="s">
        <v>79</v>
      </c>
      <c r="CC85" s="482">
        <v>0.3</v>
      </c>
      <c r="CD85" s="482"/>
      <c r="CE85" s="482">
        <v>-15.00075</v>
      </c>
      <c r="CF85" s="482"/>
      <c r="CM85" s="498" t="s">
        <v>959</v>
      </c>
      <c r="CN85" s="157" t="s">
        <v>698</v>
      </c>
      <c r="CO85" s="157">
        <v>0</v>
      </c>
      <c r="CP85" s="157">
        <v>0</v>
      </c>
      <c r="DE85" s="162" t="s">
        <v>507</v>
      </c>
      <c r="DF85" s="154" t="s">
        <v>670</v>
      </c>
      <c r="DG85" s="154">
        <v>0.10585</v>
      </c>
      <c r="DH85" s="154">
        <v>-2.0475066000000002</v>
      </c>
    </row>
    <row r="86" spans="17:112" ht="15.75">
      <c r="Q86" s="162"/>
      <c r="R86" s="154" t="s">
        <v>567</v>
      </c>
      <c r="S86" s="154">
        <v>0.16500000000000001</v>
      </c>
      <c r="V86" s="202"/>
      <c r="W86" s="203" t="s">
        <v>1077</v>
      </c>
      <c r="X86" s="179">
        <v>4.7600000000000003E-2</v>
      </c>
      <c r="Y86" s="204">
        <v>21.995999999999999</v>
      </c>
      <c r="AA86" s="162" t="s">
        <v>59</v>
      </c>
      <c r="AB86" s="157" t="s">
        <v>567</v>
      </c>
      <c r="AC86" s="154">
        <v>4.577</v>
      </c>
      <c r="AF86" s="162" t="s">
        <v>1048</v>
      </c>
      <c r="AG86" s="157" t="s">
        <v>698</v>
      </c>
      <c r="AH86" s="154">
        <v>0</v>
      </c>
      <c r="AI86" s="154">
        <v>0</v>
      </c>
      <c r="AK86" s="162"/>
      <c r="AL86" s="157" t="s">
        <v>729</v>
      </c>
      <c r="BQ86" s="162" t="s">
        <v>858</v>
      </c>
      <c r="BR86" s="158" t="s">
        <v>567</v>
      </c>
      <c r="BS86" s="158">
        <v>0.47633999999999999</v>
      </c>
      <c r="BV86" s="162" t="s">
        <v>741</v>
      </c>
      <c r="BW86" s="158" t="s">
        <v>1077</v>
      </c>
      <c r="BX86" s="158">
        <v>9.8174999999999998E-2</v>
      </c>
      <c r="BY86" s="158">
        <v>7.0470423000000002</v>
      </c>
      <c r="BZ86" s="154"/>
      <c r="CA86" s="481" t="s">
        <v>1039</v>
      </c>
      <c r="CB86" s="482" t="s">
        <v>567</v>
      </c>
      <c r="CC86" s="482">
        <v>0.66749999999999998</v>
      </c>
      <c r="CD86" s="482"/>
      <c r="CE86" s="482"/>
      <c r="CF86" s="482"/>
      <c r="CM86" s="498" t="s">
        <v>345</v>
      </c>
      <c r="CN86" s="157" t="s">
        <v>567</v>
      </c>
      <c r="CO86" s="157">
        <v>0.1</v>
      </c>
      <c r="DE86" s="162" t="s">
        <v>1193</v>
      </c>
      <c r="DF86" s="154" t="s">
        <v>1125</v>
      </c>
      <c r="DG86" s="154">
        <v>-8.002950499999999</v>
      </c>
    </row>
    <row r="87" spans="17:112" ht="15.75">
      <c r="Q87" s="162"/>
      <c r="R87" s="154" t="s">
        <v>729</v>
      </c>
      <c r="V87" s="219" t="s">
        <v>175</v>
      </c>
      <c r="W87" s="203" t="s">
        <v>760</v>
      </c>
      <c r="X87" s="179">
        <v>9.5200000000000007E-2</v>
      </c>
      <c r="Y87" s="204">
        <v>21.995999999999999</v>
      </c>
      <c r="AA87" s="162" t="s">
        <v>969</v>
      </c>
      <c r="AF87" s="162" t="s">
        <v>703</v>
      </c>
      <c r="AG87" s="157" t="s">
        <v>567</v>
      </c>
      <c r="AH87" s="154">
        <v>0.373</v>
      </c>
      <c r="AK87" s="162" t="s">
        <v>567</v>
      </c>
      <c r="AL87" s="157" t="s">
        <v>567</v>
      </c>
      <c r="AM87" s="154">
        <v>3.0529999999999999</v>
      </c>
      <c r="BQ87" s="162" t="s">
        <v>182</v>
      </c>
      <c r="BR87" s="158" t="s">
        <v>1125</v>
      </c>
      <c r="BS87" s="158">
        <v>-2.9762299999999997</v>
      </c>
      <c r="BT87" s="158" t="s">
        <v>1178</v>
      </c>
      <c r="BV87" s="162" t="s">
        <v>405</v>
      </c>
      <c r="BW87" s="158" t="s">
        <v>567</v>
      </c>
      <c r="BX87" s="158">
        <v>0.31</v>
      </c>
      <c r="CA87" s="480"/>
      <c r="CB87" s="479" t="s">
        <v>1077</v>
      </c>
      <c r="CC87" s="479">
        <v>6.5449999999999994E-2</v>
      </c>
      <c r="CD87" s="479">
        <v>7.1504969999999997</v>
      </c>
      <c r="CM87" s="498" t="s">
        <v>367</v>
      </c>
      <c r="CN87" s="157" t="s">
        <v>770</v>
      </c>
      <c r="CO87" s="157">
        <v>0</v>
      </c>
      <c r="CP87" s="157">
        <v>-2.0058880000000001</v>
      </c>
      <c r="DE87" s="162" t="s">
        <v>507</v>
      </c>
      <c r="DF87" s="154" t="s">
        <v>670</v>
      </c>
      <c r="DG87" s="154">
        <v>0.10585</v>
      </c>
      <c r="DH87" s="154">
        <v>-2.0475066000000002</v>
      </c>
    </row>
    <row r="88" spans="17:112">
      <c r="Q88" s="162"/>
      <c r="R88" s="154" t="s">
        <v>567</v>
      </c>
      <c r="S88" s="154">
        <v>0.19500000000000001</v>
      </c>
      <c r="V88" s="194"/>
      <c r="W88" s="163" t="s">
        <v>1077</v>
      </c>
      <c r="X88" s="170">
        <v>4.7600000000000003E-2</v>
      </c>
      <c r="Y88" s="165">
        <v>21.995999999999999</v>
      </c>
      <c r="AA88" s="162" t="s">
        <v>805</v>
      </c>
      <c r="AB88" s="157" t="s">
        <v>567</v>
      </c>
      <c r="AC88" s="154">
        <v>0.58399999999999996</v>
      </c>
      <c r="AF88" s="162" t="s">
        <v>1161</v>
      </c>
      <c r="AG88" s="157" t="s">
        <v>670</v>
      </c>
      <c r="AH88" s="154">
        <v>0.6</v>
      </c>
      <c r="AI88" s="154">
        <v>0.14982000000000001</v>
      </c>
      <c r="AK88" s="162"/>
      <c r="AL88" s="157" t="s">
        <v>254</v>
      </c>
      <c r="BQ88" s="162" t="s">
        <v>779</v>
      </c>
      <c r="BR88" s="158" t="s">
        <v>567</v>
      </c>
      <c r="BS88" s="158">
        <v>0.2</v>
      </c>
      <c r="BV88" s="162" t="s">
        <v>1078</v>
      </c>
      <c r="BW88" s="158" t="s">
        <v>1125</v>
      </c>
      <c r="BX88" s="158">
        <v>-7.3449999999999998</v>
      </c>
      <c r="CA88" s="480"/>
      <c r="CB88" s="479" t="s">
        <v>1132</v>
      </c>
      <c r="CC88" s="479">
        <v>0.13089999999999999</v>
      </c>
      <c r="CD88" s="479">
        <v>7.1504969999999997</v>
      </c>
      <c r="CM88" s="498" t="s">
        <v>345</v>
      </c>
      <c r="CN88" s="157" t="s">
        <v>567</v>
      </c>
      <c r="CO88" s="157">
        <v>0.1</v>
      </c>
      <c r="DE88" s="162" t="s">
        <v>202</v>
      </c>
      <c r="DF88" s="154" t="s">
        <v>567</v>
      </c>
      <c r="DG88" s="154">
        <v>5.2650001000000002E-2</v>
      </c>
    </row>
    <row r="89" spans="17:112">
      <c r="Q89" s="162" t="s">
        <v>124</v>
      </c>
      <c r="R89" s="154" t="s">
        <v>670</v>
      </c>
      <c r="S89" s="154">
        <v>0.3</v>
      </c>
      <c r="T89" s="154">
        <v>0.73</v>
      </c>
      <c r="V89" s="214" t="s">
        <v>183</v>
      </c>
      <c r="W89" s="215" t="s">
        <v>567</v>
      </c>
      <c r="X89" s="201">
        <v>2.59</v>
      </c>
      <c r="Y89" s="201"/>
      <c r="AA89" s="162" t="s">
        <v>1161</v>
      </c>
      <c r="AB89" s="157" t="s">
        <v>670</v>
      </c>
      <c r="AC89" s="154">
        <v>0.6</v>
      </c>
      <c r="AD89" s="154">
        <v>0.14982000000000001</v>
      </c>
      <c r="AF89" s="162" t="s">
        <v>805</v>
      </c>
      <c r="AG89" s="157" t="s">
        <v>567</v>
      </c>
      <c r="AH89" s="154">
        <v>0.58399999999999996</v>
      </c>
      <c r="BQ89" s="162" t="s">
        <v>27</v>
      </c>
      <c r="BR89" s="158" t="s">
        <v>670</v>
      </c>
      <c r="BS89" s="158">
        <v>0.32</v>
      </c>
      <c r="BT89" s="158">
        <v>-1.68903</v>
      </c>
      <c r="BV89" s="162" t="s">
        <v>792</v>
      </c>
      <c r="BW89" s="158" t="s">
        <v>567</v>
      </c>
      <c r="BX89" s="158">
        <v>0.46500000000000002</v>
      </c>
      <c r="CA89" s="480"/>
      <c r="CB89" s="479" t="s">
        <v>1077</v>
      </c>
      <c r="CC89" s="479">
        <v>6.5449999999999994E-2</v>
      </c>
      <c r="CD89" s="479">
        <v>7.1504969999999997</v>
      </c>
      <c r="CM89" s="498" t="s">
        <v>346</v>
      </c>
      <c r="CN89" s="157" t="s">
        <v>567</v>
      </c>
      <c r="CO89" s="157">
        <v>0.15</v>
      </c>
      <c r="DE89" s="162" t="s">
        <v>134</v>
      </c>
      <c r="DF89" s="154" t="s">
        <v>567</v>
      </c>
      <c r="DG89" s="154">
        <v>1.05057</v>
      </c>
    </row>
    <row r="90" spans="17:112">
      <c r="Q90" s="162" t="s">
        <v>124</v>
      </c>
      <c r="R90" s="154" t="s">
        <v>670</v>
      </c>
      <c r="S90" s="154">
        <v>0.3</v>
      </c>
      <c r="T90" s="154">
        <v>0.73</v>
      </c>
      <c r="V90" s="194" t="s">
        <v>28</v>
      </c>
      <c r="W90" s="163" t="s">
        <v>698</v>
      </c>
      <c r="X90" s="170">
        <v>0</v>
      </c>
      <c r="Y90" s="165">
        <v>0</v>
      </c>
      <c r="AA90" s="162" t="s">
        <v>703</v>
      </c>
      <c r="AB90" s="157" t="s">
        <v>567</v>
      </c>
      <c r="AC90" s="154">
        <v>0.373</v>
      </c>
      <c r="AF90" s="162" t="s">
        <v>969</v>
      </c>
      <c r="BQ90" s="162" t="s">
        <v>993</v>
      </c>
      <c r="BR90" s="158" t="s">
        <v>567</v>
      </c>
      <c r="BS90" s="158">
        <v>0.44</v>
      </c>
      <c r="BV90" s="162" t="s">
        <v>765</v>
      </c>
      <c r="BW90" s="158" t="s">
        <v>670</v>
      </c>
      <c r="BX90" s="158">
        <v>0.56999999999999995</v>
      </c>
      <c r="BY90" s="158">
        <v>1.8596999999999999</v>
      </c>
      <c r="CA90" s="480" t="s">
        <v>1040</v>
      </c>
      <c r="CB90" s="479" t="s">
        <v>567</v>
      </c>
      <c r="CC90" s="479">
        <v>0.58750000000000002</v>
      </c>
      <c r="CM90" s="498" t="s">
        <v>729</v>
      </c>
      <c r="CN90" s="157" t="s">
        <v>729</v>
      </c>
      <c r="DE90" s="162">
        <v>3</v>
      </c>
      <c r="DF90" s="154" t="s">
        <v>1077</v>
      </c>
      <c r="DG90" s="154">
        <v>2.4543692999999998E-2</v>
      </c>
      <c r="DH90" s="154">
        <v>23.364453999999999</v>
      </c>
    </row>
    <row r="91" spans="17:112">
      <c r="Q91" s="162"/>
      <c r="R91" s="154" t="s">
        <v>567</v>
      </c>
      <c r="S91" s="154">
        <v>0.1618</v>
      </c>
      <c r="V91" s="207" t="s">
        <v>265</v>
      </c>
      <c r="W91" s="208" t="s">
        <v>567</v>
      </c>
      <c r="X91" s="209">
        <v>0.27700000000000002</v>
      </c>
      <c r="Y91" s="165"/>
      <c r="AA91" s="162" t="s">
        <v>1048</v>
      </c>
      <c r="AB91" s="157" t="s">
        <v>698</v>
      </c>
      <c r="AC91" s="154">
        <v>0</v>
      </c>
      <c r="AD91" s="154">
        <v>0</v>
      </c>
      <c r="AF91" s="162" t="s">
        <v>59</v>
      </c>
      <c r="AG91" s="157" t="s">
        <v>567</v>
      </c>
      <c r="AH91" s="154">
        <v>4.577</v>
      </c>
      <c r="BQ91" s="162" t="s">
        <v>1076</v>
      </c>
      <c r="BR91" s="158" t="s">
        <v>1077</v>
      </c>
      <c r="BS91" s="158">
        <v>9.8174999999999998E-2</v>
      </c>
      <c r="BT91" s="158">
        <v>5.36</v>
      </c>
      <c r="BV91" s="162" t="s">
        <v>420</v>
      </c>
      <c r="BW91" s="158" t="s">
        <v>567</v>
      </c>
      <c r="BX91" s="158">
        <v>0.26</v>
      </c>
      <c r="CA91" s="480" t="s">
        <v>1041</v>
      </c>
      <c r="CB91" s="479" t="s">
        <v>729</v>
      </c>
      <c r="CM91" s="498" t="s">
        <v>347</v>
      </c>
      <c r="CN91" s="157" t="s">
        <v>670</v>
      </c>
      <c r="CO91" s="157">
        <v>0.3</v>
      </c>
      <c r="CP91" s="157">
        <v>-1.622952</v>
      </c>
      <c r="DE91" s="162" t="s">
        <v>1001</v>
      </c>
      <c r="DF91" s="154" t="s">
        <v>760</v>
      </c>
      <c r="DG91" s="154">
        <v>2.4543692999999998E-2</v>
      </c>
      <c r="DH91" s="154">
        <v>23.364453999999999</v>
      </c>
    </row>
    <row r="92" spans="17:112">
      <c r="Q92" s="162" t="s">
        <v>575</v>
      </c>
      <c r="R92" s="154" t="s">
        <v>1125</v>
      </c>
      <c r="S92" s="154">
        <v>0</v>
      </c>
      <c r="T92" s="154">
        <v>0</v>
      </c>
      <c r="V92" s="194" t="s">
        <v>1014</v>
      </c>
      <c r="W92" s="163" t="s">
        <v>729</v>
      </c>
      <c r="X92" s="170"/>
      <c r="Y92" s="165"/>
      <c r="AA92" s="162" t="s">
        <v>265</v>
      </c>
      <c r="AB92" s="157" t="s">
        <v>567</v>
      </c>
      <c r="AC92" s="154">
        <v>0.27700000000000002</v>
      </c>
      <c r="AF92" s="162" t="s">
        <v>1013</v>
      </c>
      <c r="AG92" s="157" t="s">
        <v>698</v>
      </c>
      <c r="AH92" s="154">
        <v>0</v>
      </c>
      <c r="AI92" s="154">
        <v>0</v>
      </c>
      <c r="BQ92" s="162" t="s">
        <v>611</v>
      </c>
      <c r="BR92" s="158" t="s">
        <v>1132</v>
      </c>
      <c r="BS92" s="158">
        <v>9.8174999999999998E-2</v>
      </c>
      <c r="BT92" s="158">
        <v>5.36</v>
      </c>
      <c r="BV92" s="162" t="s">
        <v>977</v>
      </c>
      <c r="BW92" s="158" t="s">
        <v>1125</v>
      </c>
      <c r="BX92" s="158">
        <v>6.8380000000000001</v>
      </c>
      <c r="CA92" s="480" t="s">
        <v>716</v>
      </c>
      <c r="CB92" s="479" t="s">
        <v>670</v>
      </c>
      <c r="CC92" s="479">
        <v>0.4</v>
      </c>
      <c r="CD92" s="479">
        <v>-1.04495</v>
      </c>
      <c r="CM92" s="498" t="s">
        <v>348</v>
      </c>
      <c r="CN92" s="157" t="s">
        <v>567</v>
      </c>
      <c r="CO92" s="157">
        <v>0.15</v>
      </c>
      <c r="DE92" s="162" t="s">
        <v>1001</v>
      </c>
      <c r="DF92" s="154" t="s">
        <v>760</v>
      </c>
      <c r="DG92" s="154">
        <v>2.4543692999999998E-2</v>
      </c>
      <c r="DH92" s="154">
        <v>23.364453999999999</v>
      </c>
    </row>
    <row r="93" spans="17:112">
      <c r="Q93" s="162"/>
      <c r="R93" s="154" t="s">
        <v>567</v>
      </c>
      <c r="S93" s="154">
        <v>0.24</v>
      </c>
      <c r="V93" s="214" t="s">
        <v>265</v>
      </c>
      <c r="W93" s="215" t="s">
        <v>567</v>
      </c>
      <c r="X93" s="201">
        <v>0.27700000000000002</v>
      </c>
      <c r="Y93" s="201"/>
      <c r="AA93" s="162" t="s">
        <v>637</v>
      </c>
      <c r="AB93" s="157" t="s">
        <v>729</v>
      </c>
      <c r="AF93" s="162" t="s">
        <v>265</v>
      </c>
      <c r="AG93" s="157" t="s">
        <v>567</v>
      </c>
      <c r="AH93" s="154">
        <v>0.27700000000000002</v>
      </c>
      <c r="BQ93" s="162" t="s">
        <v>908</v>
      </c>
      <c r="BR93" s="158" t="s">
        <v>1132</v>
      </c>
      <c r="BS93" s="158">
        <v>9.8174999999999998E-2</v>
      </c>
      <c r="BT93" s="158">
        <v>5.36</v>
      </c>
      <c r="BV93" s="162" t="s">
        <v>978</v>
      </c>
      <c r="BW93" s="158" t="s">
        <v>567</v>
      </c>
      <c r="BX93" s="158">
        <v>0.26</v>
      </c>
      <c r="CA93" s="480" t="s">
        <v>1043</v>
      </c>
      <c r="CB93" s="479" t="s">
        <v>567</v>
      </c>
      <c r="CC93" s="479">
        <v>0.42499999999999999</v>
      </c>
      <c r="CM93" s="498" t="s">
        <v>349</v>
      </c>
      <c r="CN93" s="157" t="s">
        <v>567</v>
      </c>
      <c r="CO93" s="157">
        <v>0.1</v>
      </c>
      <c r="DE93" s="162">
        <v>5</v>
      </c>
      <c r="DF93" s="154" t="s">
        <v>1077</v>
      </c>
      <c r="DG93" s="154">
        <v>2.4543692999999998E-2</v>
      </c>
      <c r="DH93" s="154">
        <v>23.364453999999999</v>
      </c>
    </row>
    <row r="94" spans="17:112">
      <c r="Q94" s="162"/>
      <c r="R94" s="154" t="s">
        <v>1077</v>
      </c>
      <c r="S94" s="154">
        <v>4.759988869075444E-2</v>
      </c>
      <c r="T94" s="154">
        <v>21.995799999999999</v>
      </c>
      <c r="V94" s="194" t="s">
        <v>153</v>
      </c>
      <c r="W94" s="163" t="s">
        <v>698</v>
      </c>
      <c r="X94" s="170">
        <v>0</v>
      </c>
      <c r="Y94" s="165">
        <v>0</v>
      </c>
      <c r="AA94" s="162" t="s">
        <v>265</v>
      </c>
      <c r="AB94" s="157" t="s">
        <v>567</v>
      </c>
      <c r="AC94" s="154">
        <v>0.27700000000000002</v>
      </c>
      <c r="AF94" s="162" t="s">
        <v>152</v>
      </c>
      <c r="AG94" s="157" t="s">
        <v>729</v>
      </c>
      <c r="BQ94" s="162" t="s">
        <v>741</v>
      </c>
      <c r="BR94" s="158" t="s">
        <v>1077</v>
      </c>
      <c r="BS94" s="158">
        <v>9.8174999999999998E-2</v>
      </c>
      <c r="BT94" s="158">
        <v>5.36</v>
      </c>
      <c r="BV94" s="162" t="s">
        <v>499</v>
      </c>
      <c r="BW94" s="158" t="s">
        <v>670</v>
      </c>
      <c r="BX94" s="158">
        <v>0.26</v>
      </c>
      <c r="BY94" s="158">
        <v>-1.7161</v>
      </c>
      <c r="CA94" s="480" t="s">
        <v>204</v>
      </c>
      <c r="CB94" s="479" t="s">
        <v>79</v>
      </c>
      <c r="CC94" s="479">
        <v>0.2</v>
      </c>
      <c r="CE94" s="479">
        <v>-16.4864</v>
      </c>
      <c r="CM94" s="498" t="s">
        <v>723</v>
      </c>
      <c r="CN94" s="157" t="s">
        <v>770</v>
      </c>
      <c r="CO94" s="157">
        <v>0</v>
      </c>
      <c r="CP94" s="157">
        <v>2.478E-2</v>
      </c>
      <c r="DE94" s="162" t="s">
        <v>1030</v>
      </c>
      <c r="DF94" s="154" t="s">
        <v>567</v>
      </c>
      <c r="DG94" s="154">
        <v>0.53140001999999997</v>
      </c>
    </row>
    <row r="95" spans="17:112">
      <c r="Q95" s="162"/>
      <c r="R95" s="154" t="s">
        <v>760</v>
      </c>
      <c r="S95" s="154">
        <v>4.759988869075444E-2</v>
      </c>
      <c r="T95" s="154">
        <v>21.995799999999999</v>
      </c>
      <c r="V95" s="217" t="s">
        <v>703</v>
      </c>
      <c r="W95" s="218" t="s">
        <v>567</v>
      </c>
      <c r="X95" s="206">
        <v>0.373</v>
      </c>
      <c r="Y95" s="206"/>
      <c r="AA95" s="162" t="s">
        <v>638</v>
      </c>
      <c r="AB95" s="157" t="s">
        <v>698</v>
      </c>
      <c r="AC95" s="154">
        <v>0</v>
      </c>
      <c r="AD95" s="154">
        <v>0</v>
      </c>
      <c r="AF95" s="162" t="s">
        <v>265</v>
      </c>
      <c r="AG95" s="157" t="s">
        <v>567</v>
      </c>
      <c r="AH95" s="154">
        <v>0.27700000000000002</v>
      </c>
      <c r="BQ95" s="162" t="s">
        <v>993</v>
      </c>
      <c r="BR95" s="158" t="s">
        <v>567</v>
      </c>
      <c r="BS95" s="158">
        <v>0.44</v>
      </c>
      <c r="BV95" s="162" t="s">
        <v>123</v>
      </c>
      <c r="BW95" s="158" t="s">
        <v>567</v>
      </c>
      <c r="BX95" s="158">
        <v>2.1967669999999999</v>
      </c>
      <c r="CA95" s="480" t="s">
        <v>205</v>
      </c>
      <c r="CB95" s="479" t="s">
        <v>567</v>
      </c>
      <c r="CC95" s="479">
        <v>0.19900000000000001</v>
      </c>
      <c r="CM95" s="498" t="s">
        <v>349</v>
      </c>
      <c r="CN95" s="157" t="s">
        <v>567</v>
      </c>
      <c r="CO95" s="157">
        <v>0.1</v>
      </c>
      <c r="DE95" s="162" t="s">
        <v>222</v>
      </c>
      <c r="DF95" s="154" t="s">
        <v>670</v>
      </c>
      <c r="DG95" s="154">
        <v>0.51899998999999997</v>
      </c>
      <c r="DH95" s="154">
        <v>-1.0538958</v>
      </c>
    </row>
    <row r="96" spans="17:112">
      <c r="Q96" s="162"/>
      <c r="R96" s="154" t="s">
        <v>760</v>
      </c>
      <c r="S96" s="154">
        <v>4.759988869075444E-2</v>
      </c>
      <c r="T96" s="154">
        <v>21.995799999999999</v>
      </c>
      <c r="V96" s="194" t="s">
        <v>765</v>
      </c>
      <c r="W96" s="163" t="s">
        <v>670</v>
      </c>
      <c r="X96" s="170">
        <v>0.6</v>
      </c>
      <c r="Y96" s="165">
        <v>0.71027499999999999</v>
      </c>
      <c r="AA96" s="162" t="s">
        <v>796</v>
      </c>
      <c r="AB96" s="157" t="s">
        <v>567</v>
      </c>
      <c r="AC96" s="154">
        <v>0.68489999999999995</v>
      </c>
      <c r="AF96" s="162" t="s">
        <v>554</v>
      </c>
      <c r="AG96" s="157" t="s">
        <v>698</v>
      </c>
      <c r="AH96" s="154">
        <v>0</v>
      </c>
      <c r="AI96" s="154">
        <v>0</v>
      </c>
      <c r="BQ96" s="162" t="s">
        <v>515</v>
      </c>
      <c r="BR96" s="158" t="s">
        <v>670</v>
      </c>
      <c r="BS96" s="158">
        <v>0.32</v>
      </c>
      <c r="BT96" s="158">
        <v>-1.1183099999999999</v>
      </c>
      <c r="BW96" s="158" t="s">
        <v>254</v>
      </c>
      <c r="CA96" s="480" t="s">
        <v>714</v>
      </c>
      <c r="CB96" s="479" t="s">
        <v>670</v>
      </c>
      <c r="CC96" s="479">
        <v>0.4</v>
      </c>
      <c r="CD96" s="479">
        <v>1.2861899999999999</v>
      </c>
      <c r="CM96" s="498" t="s">
        <v>350</v>
      </c>
      <c r="CN96" s="157" t="s">
        <v>567</v>
      </c>
      <c r="CO96" s="157">
        <v>0.2</v>
      </c>
      <c r="DE96" s="162" t="s">
        <v>648</v>
      </c>
      <c r="DF96" s="154" t="s">
        <v>567</v>
      </c>
      <c r="DG96" s="154">
        <v>0.34050000000000002</v>
      </c>
    </row>
    <row r="97" spans="17:112" ht="15.75">
      <c r="Q97" s="162"/>
      <c r="R97" s="154" t="s">
        <v>1077</v>
      </c>
      <c r="S97" s="154">
        <v>4.759988869075444E-2</v>
      </c>
      <c r="T97" s="154">
        <v>21.995799999999999</v>
      </c>
      <c r="V97" s="219" t="s">
        <v>4</v>
      </c>
      <c r="W97" s="203" t="s">
        <v>567</v>
      </c>
      <c r="X97" s="179">
        <v>3.6589999999999998</v>
      </c>
      <c r="Y97" s="204"/>
      <c r="AA97" s="162"/>
      <c r="AB97" s="157" t="s">
        <v>1077</v>
      </c>
      <c r="AC97" s="154">
        <v>4.7600000000000003E-2</v>
      </c>
      <c r="AD97" s="154">
        <v>21.995999999999999</v>
      </c>
      <c r="AF97" s="162" t="s">
        <v>703</v>
      </c>
      <c r="AG97" s="157" t="s">
        <v>567</v>
      </c>
      <c r="AH97" s="154">
        <v>0.373</v>
      </c>
      <c r="BQ97" s="162" t="s">
        <v>232</v>
      </c>
      <c r="BR97" s="158" t="s">
        <v>567</v>
      </c>
      <c r="BS97" s="158">
        <v>0.2</v>
      </c>
      <c r="CA97" s="480" t="s">
        <v>243</v>
      </c>
      <c r="CB97" s="479" t="s">
        <v>567</v>
      </c>
      <c r="CC97" s="479">
        <v>0.23849999999999999</v>
      </c>
      <c r="CM97" s="498" t="s">
        <v>351</v>
      </c>
      <c r="CN97" s="157" t="s">
        <v>670</v>
      </c>
      <c r="CO97" s="157">
        <v>0.4</v>
      </c>
      <c r="CP97" s="157">
        <v>1.989406</v>
      </c>
      <c r="DE97" s="162" t="s">
        <v>707</v>
      </c>
      <c r="DF97" s="154" t="s">
        <v>567</v>
      </c>
      <c r="DG97" s="154">
        <v>0.14149999999999999</v>
      </c>
    </row>
    <row r="98" spans="17:112" ht="15.75">
      <c r="Q98" s="162"/>
      <c r="R98" s="154" t="s">
        <v>567</v>
      </c>
      <c r="S98" s="154">
        <v>0.38600000000000001</v>
      </c>
      <c r="V98" s="202"/>
      <c r="W98" s="203" t="s">
        <v>1077</v>
      </c>
      <c r="X98" s="179">
        <v>4.7600000000000003E-2</v>
      </c>
      <c r="Y98" s="204">
        <v>21.995999999999999</v>
      </c>
      <c r="AA98" s="162" t="s">
        <v>175</v>
      </c>
      <c r="AB98" s="157" t="s">
        <v>760</v>
      </c>
      <c r="AC98" s="154">
        <v>9.5200000000000007E-2</v>
      </c>
      <c r="AD98" s="154">
        <v>21.995999999999999</v>
      </c>
      <c r="AF98" s="162" t="s">
        <v>801</v>
      </c>
      <c r="AG98" s="157" t="s">
        <v>670</v>
      </c>
      <c r="AH98" s="154">
        <v>0.6</v>
      </c>
      <c r="AI98" s="154">
        <v>-0.80265799999999998</v>
      </c>
      <c r="BQ98" s="162" t="s">
        <v>172</v>
      </c>
      <c r="BR98" s="158" t="s">
        <v>1125</v>
      </c>
      <c r="BS98" s="158">
        <v>-5.00352</v>
      </c>
      <c r="BT98" s="158" t="s">
        <v>1178</v>
      </c>
      <c r="CA98" s="480" t="s">
        <v>244</v>
      </c>
      <c r="CB98" s="479" t="s">
        <v>79</v>
      </c>
      <c r="CC98" s="479">
        <v>0.3</v>
      </c>
      <c r="CE98" s="479">
        <v>17.746449999999999</v>
      </c>
      <c r="CM98" s="498" t="s">
        <v>352</v>
      </c>
      <c r="CN98" s="157" t="s">
        <v>567</v>
      </c>
      <c r="CO98" s="157">
        <v>0.2</v>
      </c>
      <c r="DE98" s="162" t="s">
        <v>258</v>
      </c>
      <c r="DF98" s="154" t="s">
        <v>567</v>
      </c>
      <c r="DG98" s="154">
        <v>5.4000000999999999E-2</v>
      </c>
    </row>
    <row r="99" spans="17:112" ht="15.75">
      <c r="Q99" s="162" t="s">
        <v>588</v>
      </c>
      <c r="R99" s="154" t="s">
        <v>698</v>
      </c>
      <c r="S99" s="154">
        <v>0</v>
      </c>
      <c r="T99" s="154">
        <v>0</v>
      </c>
      <c r="V99" s="219" t="s">
        <v>175</v>
      </c>
      <c r="W99" s="203" t="s">
        <v>760</v>
      </c>
      <c r="X99" s="179">
        <v>9.5200000000000007E-2</v>
      </c>
      <c r="Y99" s="204">
        <v>21.995999999999999</v>
      </c>
      <c r="AA99" s="162"/>
      <c r="AB99" s="157" t="s">
        <v>1077</v>
      </c>
      <c r="AC99" s="154">
        <v>4.7600000000000003E-2</v>
      </c>
      <c r="AD99" s="154">
        <v>21.995999999999999</v>
      </c>
      <c r="AF99" s="162" t="s">
        <v>800</v>
      </c>
      <c r="AG99" s="157" t="s">
        <v>567</v>
      </c>
      <c r="AH99" s="154">
        <v>0.84699999999999998</v>
      </c>
      <c r="BQ99" s="162" t="s">
        <v>1078</v>
      </c>
      <c r="BR99" s="158" t="s">
        <v>567</v>
      </c>
      <c r="BS99" s="158">
        <v>0.39</v>
      </c>
      <c r="CA99" s="480" t="s">
        <v>890</v>
      </c>
      <c r="CB99" s="479" t="s">
        <v>729</v>
      </c>
      <c r="CM99" s="498" t="s">
        <v>353</v>
      </c>
      <c r="CN99" s="157" t="s">
        <v>567</v>
      </c>
      <c r="CO99" s="157">
        <v>0.1</v>
      </c>
      <c r="DE99" s="162" t="s">
        <v>765</v>
      </c>
      <c r="DF99" s="154" t="s">
        <v>670</v>
      </c>
      <c r="DG99" s="154">
        <v>0.91769999000000002</v>
      </c>
      <c r="DH99" s="154">
        <v>0.94632660999999996</v>
      </c>
    </row>
    <row r="100" spans="17:112">
      <c r="Q100" s="162"/>
      <c r="R100" s="154" t="s">
        <v>567</v>
      </c>
      <c r="S100" s="154">
        <v>0.16500000000000001</v>
      </c>
      <c r="V100" s="194"/>
      <c r="W100" s="163" t="s">
        <v>1077</v>
      </c>
      <c r="X100" s="170">
        <v>4.7600000000000003E-2</v>
      </c>
      <c r="Y100" s="165">
        <v>21.995999999999999</v>
      </c>
      <c r="AA100" s="162" t="s">
        <v>183</v>
      </c>
      <c r="AB100" s="157" t="s">
        <v>567</v>
      </c>
      <c r="AC100" s="154">
        <v>2.59</v>
      </c>
      <c r="AF100" s="162" t="s">
        <v>85</v>
      </c>
      <c r="AG100" s="157" t="s">
        <v>670</v>
      </c>
      <c r="AH100" s="154">
        <v>0.6</v>
      </c>
      <c r="AI100" s="154">
        <v>1.1433</v>
      </c>
      <c r="BQ100" s="162" t="s">
        <v>520</v>
      </c>
      <c r="BR100" s="158" t="s">
        <v>670</v>
      </c>
      <c r="BS100" s="158">
        <v>0.46</v>
      </c>
      <c r="BT100" s="158">
        <v>2.21705</v>
      </c>
      <c r="CA100" s="480" t="s">
        <v>243</v>
      </c>
      <c r="CB100" s="479" t="s">
        <v>567</v>
      </c>
      <c r="CC100" s="479">
        <v>0.23849999999999999</v>
      </c>
      <c r="CM100" s="498" t="s">
        <v>1168</v>
      </c>
      <c r="CN100" s="157" t="s">
        <v>770</v>
      </c>
      <c r="CO100" s="157">
        <v>0</v>
      </c>
      <c r="CP100" s="157">
        <v>1.0434889999999999</v>
      </c>
      <c r="DE100" s="162" t="s">
        <v>31</v>
      </c>
      <c r="DF100" s="154" t="s">
        <v>567</v>
      </c>
      <c r="DG100" s="154">
        <v>0.13235</v>
      </c>
    </row>
    <row r="101" spans="17:112">
      <c r="Q101" s="162"/>
      <c r="R101" s="154" t="s">
        <v>729</v>
      </c>
      <c r="V101" s="217" t="s">
        <v>789</v>
      </c>
      <c r="W101" s="218" t="s">
        <v>567</v>
      </c>
      <c r="X101" s="206">
        <v>1.7544</v>
      </c>
      <c r="Y101" s="206"/>
      <c r="AA101" s="162" t="s">
        <v>28</v>
      </c>
      <c r="AB101" s="157" t="s">
        <v>698</v>
      </c>
      <c r="AC101" s="154">
        <v>0</v>
      </c>
      <c r="AD101" s="154">
        <v>0</v>
      </c>
      <c r="AF101" s="162" t="s">
        <v>207</v>
      </c>
      <c r="AG101" s="157" t="s">
        <v>567</v>
      </c>
      <c r="AH101" s="154">
        <v>0.377</v>
      </c>
      <c r="BQ101" s="162" t="s">
        <v>581</v>
      </c>
      <c r="BR101" s="158" t="s">
        <v>567</v>
      </c>
      <c r="BS101" s="158">
        <v>0.2</v>
      </c>
      <c r="CA101" s="480" t="s">
        <v>714</v>
      </c>
      <c r="CB101" s="479" t="s">
        <v>670</v>
      </c>
      <c r="CC101" s="479">
        <v>0.4</v>
      </c>
      <c r="CD101" s="479">
        <v>1.2861899999999999</v>
      </c>
      <c r="CM101" s="498" t="s">
        <v>353</v>
      </c>
      <c r="CN101" s="157" t="s">
        <v>567</v>
      </c>
      <c r="CO101" s="157">
        <v>0.1</v>
      </c>
      <c r="DE101" s="162" t="s">
        <v>893</v>
      </c>
      <c r="DF101" s="154" t="s">
        <v>567</v>
      </c>
      <c r="DG101" s="154">
        <v>2.984</v>
      </c>
    </row>
    <row r="102" spans="17:112">
      <c r="Q102" s="162"/>
      <c r="R102" s="154" t="s">
        <v>567</v>
      </c>
      <c r="S102" s="154">
        <v>0.19500000000000001</v>
      </c>
      <c r="V102" s="194" t="s">
        <v>513</v>
      </c>
      <c r="W102" s="163" t="s">
        <v>670</v>
      </c>
      <c r="X102" s="170">
        <v>0.6</v>
      </c>
      <c r="Y102" s="165">
        <v>-0.53271999999999997</v>
      </c>
      <c r="AA102" s="162" t="s">
        <v>265</v>
      </c>
      <c r="AB102" s="157" t="s">
        <v>567</v>
      </c>
      <c r="AC102" s="154">
        <v>0.27700000000000002</v>
      </c>
      <c r="AF102" s="162"/>
      <c r="AG102" s="157" t="s">
        <v>1077</v>
      </c>
      <c r="AH102" s="154">
        <v>4.7600000000000003E-2</v>
      </c>
      <c r="AI102" s="154">
        <v>21.995999999999999</v>
      </c>
      <c r="BQ102" s="162" t="s">
        <v>613</v>
      </c>
      <c r="BR102" s="158" t="s">
        <v>1125</v>
      </c>
      <c r="BS102" s="158">
        <v>4.1937199999999999</v>
      </c>
      <c r="BT102" s="158" t="s">
        <v>1178</v>
      </c>
      <c r="CA102" s="480" t="s">
        <v>205</v>
      </c>
      <c r="CB102" s="479" t="s">
        <v>567</v>
      </c>
      <c r="CC102" s="479">
        <v>0.19900000000000001</v>
      </c>
      <c r="CM102" s="498" t="s">
        <v>959</v>
      </c>
      <c r="CN102" s="157" t="s">
        <v>698</v>
      </c>
      <c r="CO102" s="157">
        <v>0</v>
      </c>
      <c r="CP102" s="157">
        <v>0</v>
      </c>
      <c r="DE102" s="162"/>
      <c r="DF102" s="154" t="s">
        <v>514</v>
      </c>
    </row>
    <row r="103" spans="17:112">
      <c r="Q103" s="162" t="s">
        <v>366</v>
      </c>
      <c r="R103" s="154" t="s">
        <v>670</v>
      </c>
      <c r="S103" s="154">
        <v>0.3</v>
      </c>
      <c r="T103" s="154">
        <v>-0.65</v>
      </c>
      <c r="V103" s="214" t="s">
        <v>1007</v>
      </c>
      <c r="W103" s="215" t="s">
        <v>567</v>
      </c>
      <c r="X103" s="201">
        <v>0.54300000000000004</v>
      </c>
      <c r="Y103" s="201"/>
      <c r="AA103" s="162" t="s">
        <v>1014</v>
      </c>
      <c r="AB103" s="157" t="s">
        <v>729</v>
      </c>
      <c r="AF103" s="162" t="s">
        <v>175</v>
      </c>
      <c r="AG103" s="157" t="s">
        <v>760</v>
      </c>
      <c r="AH103" s="154">
        <v>9.5200000000000007E-2</v>
      </c>
      <c r="AI103" s="154">
        <v>21.995999999999999</v>
      </c>
      <c r="BQ103" s="162" t="s">
        <v>989</v>
      </c>
      <c r="BR103" s="158" t="s">
        <v>567</v>
      </c>
      <c r="BS103" s="158">
        <v>0.39</v>
      </c>
      <c r="CA103" s="480" t="s">
        <v>715</v>
      </c>
      <c r="CB103" s="479" t="s">
        <v>729</v>
      </c>
      <c r="CM103" s="498" t="s">
        <v>354</v>
      </c>
      <c r="CN103" s="157" t="s">
        <v>567</v>
      </c>
      <c r="CO103" s="157">
        <v>0.4</v>
      </c>
    </row>
    <row r="104" spans="17:112">
      <c r="Q104" s="162" t="s">
        <v>366</v>
      </c>
      <c r="R104" s="154" t="s">
        <v>670</v>
      </c>
      <c r="S104" s="154">
        <v>0.3</v>
      </c>
      <c r="T104" s="154">
        <v>-0.65</v>
      </c>
      <c r="V104" s="194" t="s">
        <v>614</v>
      </c>
      <c r="W104" s="163" t="s">
        <v>698</v>
      </c>
      <c r="X104" s="170">
        <v>0</v>
      </c>
      <c r="Y104" s="165">
        <v>0</v>
      </c>
      <c r="AA104" s="162" t="s">
        <v>265</v>
      </c>
      <c r="AB104" s="157" t="s">
        <v>567</v>
      </c>
      <c r="AC104" s="154">
        <v>0.27700000000000002</v>
      </c>
      <c r="AF104" s="162"/>
      <c r="AG104" s="157" t="s">
        <v>1077</v>
      </c>
      <c r="AH104" s="154">
        <v>4.7600000000000003E-2</v>
      </c>
      <c r="AI104" s="154">
        <v>21.995999999999999</v>
      </c>
      <c r="BQ104" s="162" t="s">
        <v>1075</v>
      </c>
      <c r="BR104" s="158" t="s">
        <v>670</v>
      </c>
      <c r="BS104" s="158">
        <v>0.32</v>
      </c>
      <c r="BT104" s="158">
        <v>-1.7020500000000001</v>
      </c>
      <c r="CA104" s="480" t="s">
        <v>204</v>
      </c>
      <c r="CB104" s="479" t="s">
        <v>79</v>
      </c>
      <c r="CC104" s="479">
        <v>0.2</v>
      </c>
      <c r="CE104" s="479">
        <v>-16.4864</v>
      </c>
      <c r="CM104" s="498" t="s">
        <v>355</v>
      </c>
      <c r="CN104" s="157" t="s">
        <v>670</v>
      </c>
      <c r="CO104" s="157">
        <v>0.3</v>
      </c>
      <c r="CP104" s="157">
        <v>-0.19894790000000001</v>
      </c>
    </row>
    <row r="105" spans="17:112">
      <c r="Q105" s="162"/>
      <c r="R105" s="154" t="s">
        <v>567</v>
      </c>
      <c r="S105" s="154">
        <v>0.1618</v>
      </c>
      <c r="V105" s="207" t="s">
        <v>265</v>
      </c>
      <c r="W105" s="208" t="s">
        <v>567</v>
      </c>
      <c r="X105" s="209">
        <v>0.27700000000000002</v>
      </c>
      <c r="Y105" s="165"/>
      <c r="AA105" s="162" t="s">
        <v>153</v>
      </c>
      <c r="AB105" s="157" t="s">
        <v>698</v>
      </c>
      <c r="AC105" s="154">
        <v>0</v>
      </c>
      <c r="AD105" s="154">
        <v>0</v>
      </c>
      <c r="AF105" s="162" t="s">
        <v>1194</v>
      </c>
      <c r="AG105" s="157" t="s">
        <v>567</v>
      </c>
      <c r="AH105" s="154">
        <v>1.4730000000000001</v>
      </c>
      <c r="BQ105" s="162" t="s">
        <v>807</v>
      </c>
      <c r="BR105" s="158" t="s">
        <v>567</v>
      </c>
      <c r="BS105" s="158">
        <v>3.4825499999999998</v>
      </c>
      <c r="CA105" s="480" t="s">
        <v>1043</v>
      </c>
      <c r="CB105" s="479" t="s">
        <v>567</v>
      </c>
      <c r="CC105" s="479">
        <v>0.42499999999999999</v>
      </c>
      <c r="CM105" s="498" t="s">
        <v>729</v>
      </c>
      <c r="CN105" s="157" t="s">
        <v>729</v>
      </c>
    </row>
    <row r="106" spans="17:112">
      <c r="Q106" s="162" t="s">
        <v>999</v>
      </c>
      <c r="R106" s="154" t="s">
        <v>1125</v>
      </c>
      <c r="S106" s="154">
        <v>0</v>
      </c>
      <c r="T106" s="154">
        <v>0</v>
      </c>
      <c r="V106" s="194" t="s">
        <v>995</v>
      </c>
      <c r="W106" s="163" t="s">
        <v>729</v>
      </c>
      <c r="X106" s="170"/>
      <c r="Y106" s="165"/>
      <c r="AA106" s="162" t="s">
        <v>703</v>
      </c>
      <c r="AB106" s="157" t="s">
        <v>567</v>
      </c>
      <c r="AC106" s="154">
        <v>0.373</v>
      </c>
      <c r="AF106" s="162" t="s">
        <v>1198</v>
      </c>
      <c r="AG106" s="157" t="s">
        <v>698</v>
      </c>
      <c r="AH106" s="154">
        <v>0</v>
      </c>
      <c r="AI106" s="154">
        <v>0</v>
      </c>
      <c r="BR106" s="158" t="s">
        <v>254</v>
      </c>
      <c r="CA106" s="480" t="s">
        <v>716</v>
      </c>
      <c r="CB106" s="479" t="s">
        <v>670</v>
      </c>
      <c r="CC106" s="479">
        <v>0.4</v>
      </c>
      <c r="CD106" s="479">
        <v>-1.04495</v>
      </c>
      <c r="CM106" s="498" t="s">
        <v>356</v>
      </c>
      <c r="CN106" s="157" t="s">
        <v>567</v>
      </c>
      <c r="CO106" s="157">
        <v>0.35</v>
      </c>
    </row>
    <row r="107" spans="17:112">
      <c r="Q107" s="162"/>
      <c r="R107" s="154" t="s">
        <v>567</v>
      </c>
      <c r="S107" s="154">
        <v>0.24</v>
      </c>
      <c r="V107" s="214" t="s">
        <v>265</v>
      </c>
      <c r="W107" s="215" t="s">
        <v>567</v>
      </c>
      <c r="X107" s="201">
        <v>0.27700000000000002</v>
      </c>
      <c r="Y107" s="201"/>
      <c r="AA107" s="162" t="s">
        <v>765</v>
      </c>
      <c r="AB107" s="157" t="s">
        <v>670</v>
      </c>
      <c r="AC107" s="154">
        <v>0.6</v>
      </c>
      <c r="AD107" s="154">
        <v>0.71027499999999999</v>
      </c>
      <c r="AF107" s="162" t="s">
        <v>265</v>
      </c>
      <c r="AG107" s="157" t="s">
        <v>567</v>
      </c>
      <c r="AH107" s="154">
        <v>0.27700000000000002</v>
      </c>
      <c r="CA107" s="480" t="s">
        <v>1040</v>
      </c>
      <c r="CB107" s="479" t="s">
        <v>567</v>
      </c>
      <c r="CC107" s="479">
        <v>0.58750000000000002</v>
      </c>
      <c r="CM107" s="498" t="s">
        <v>357</v>
      </c>
      <c r="CN107" s="157" t="s">
        <v>567</v>
      </c>
      <c r="CO107" s="157">
        <v>0.1</v>
      </c>
    </row>
    <row r="108" spans="17:112">
      <c r="Q108" s="162"/>
      <c r="R108" s="154" t="s">
        <v>1077</v>
      </c>
      <c r="S108" s="154">
        <v>4.759988869075444E-2</v>
      </c>
      <c r="T108" s="154">
        <v>21.995799999999999</v>
      </c>
      <c r="V108" s="194" t="s">
        <v>813</v>
      </c>
      <c r="W108" s="163" t="s">
        <v>698</v>
      </c>
      <c r="X108" s="170">
        <v>0</v>
      </c>
      <c r="Y108" s="165">
        <v>0</v>
      </c>
      <c r="AA108" s="162" t="s">
        <v>4</v>
      </c>
      <c r="AB108" s="157" t="s">
        <v>567</v>
      </c>
      <c r="AC108" s="154">
        <v>3.6589999999999998</v>
      </c>
      <c r="AF108" s="162" t="s">
        <v>812</v>
      </c>
      <c r="AG108" s="157" t="s">
        <v>729</v>
      </c>
      <c r="CA108" s="480"/>
      <c r="CB108" s="479" t="s">
        <v>1077</v>
      </c>
      <c r="CC108" s="479">
        <v>6.5449999999999994E-2</v>
      </c>
      <c r="CD108" s="479">
        <v>7.1504969999999997</v>
      </c>
      <c r="CM108" s="498" t="s">
        <v>793</v>
      </c>
      <c r="CN108" s="157" t="s">
        <v>770</v>
      </c>
      <c r="CO108" s="157">
        <v>0</v>
      </c>
      <c r="CP108" s="157">
        <v>0.66009600000000002</v>
      </c>
    </row>
    <row r="109" spans="17:112">
      <c r="Q109" s="162"/>
      <c r="R109" s="154" t="s">
        <v>760</v>
      </c>
      <c r="S109" s="154">
        <v>4.759988869075444E-2</v>
      </c>
      <c r="T109" s="154">
        <v>22</v>
      </c>
      <c r="V109" s="217" t="s">
        <v>703</v>
      </c>
      <c r="W109" s="218" t="s">
        <v>567</v>
      </c>
      <c r="X109" s="206">
        <v>0.373</v>
      </c>
      <c r="Y109" s="206"/>
      <c r="AA109" s="162"/>
      <c r="AB109" s="157" t="s">
        <v>1077</v>
      </c>
      <c r="AC109" s="154">
        <v>4.7600000000000003E-2</v>
      </c>
      <c r="AD109" s="154">
        <v>21.995999999999999</v>
      </c>
      <c r="AF109" s="162" t="s">
        <v>265</v>
      </c>
      <c r="AG109" s="157" t="s">
        <v>567</v>
      </c>
      <c r="AH109" s="154">
        <v>0.27700000000000002</v>
      </c>
      <c r="CA109" s="480"/>
      <c r="CB109" s="479" t="s">
        <v>1132</v>
      </c>
      <c r="CC109" s="479">
        <v>0.13089999999999999</v>
      </c>
      <c r="CD109" s="479">
        <v>7.1504969999999997</v>
      </c>
      <c r="CM109" s="498" t="s">
        <v>357</v>
      </c>
      <c r="CN109" s="157" t="s">
        <v>567</v>
      </c>
      <c r="CO109" s="157">
        <v>0.1</v>
      </c>
    </row>
    <row r="110" spans="17:112">
      <c r="Q110" s="162"/>
      <c r="R110" s="154" t="s">
        <v>760</v>
      </c>
      <c r="S110" s="154">
        <v>4.759988869075444E-2</v>
      </c>
      <c r="T110" s="154">
        <v>22</v>
      </c>
      <c r="V110" s="194" t="s">
        <v>585</v>
      </c>
      <c r="W110" s="163" t="s">
        <v>670</v>
      </c>
      <c r="X110" s="170">
        <v>0.6</v>
      </c>
      <c r="Y110" s="165">
        <v>0.53271999999999997</v>
      </c>
      <c r="AA110" s="162" t="s">
        <v>175</v>
      </c>
      <c r="AB110" s="157" t="s">
        <v>760</v>
      </c>
      <c r="AC110" s="154">
        <v>9.5200000000000007E-2</v>
      </c>
      <c r="AD110" s="154">
        <v>21.995999999999999</v>
      </c>
      <c r="AF110" s="162" t="s">
        <v>584</v>
      </c>
      <c r="AG110" s="157" t="s">
        <v>698</v>
      </c>
      <c r="AH110" s="154">
        <v>0</v>
      </c>
      <c r="AI110" s="154">
        <v>0</v>
      </c>
      <c r="CA110" s="480"/>
      <c r="CB110" s="479" t="s">
        <v>1077</v>
      </c>
      <c r="CC110" s="479">
        <v>6.5449999999999994E-2</v>
      </c>
      <c r="CD110" s="479">
        <v>7.1504969999999997</v>
      </c>
      <c r="CM110" s="498" t="s">
        <v>358</v>
      </c>
      <c r="CN110" s="157" t="s">
        <v>567</v>
      </c>
      <c r="CO110" s="157">
        <v>0.5</v>
      </c>
    </row>
    <row r="111" spans="17:112">
      <c r="Q111" s="162"/>
      <c r="R111" s="154" t="s">
        <v>1077</v>
      </c>
      <c r="S111" s="154">
        <v>4.759988869075444E-2</v>
      </c>
      <c r="T111" s="154">
        <v>21.995799999999999</v>
      </c>
      <c r="V111" s="217" t="s">
        <v>228</v>
      </c>
      <c r="W111" s="218" t="s">
        <v>567</v>
      </c>
      <c r="X111" s="206">
        <v>1.47</v>
      </c>
      <c r="Y111" s="206"/>
      <c r="AA111" s="162"/>
      <c r="AB111" s="157" t="s">
        <v>1077</v>
      </c>
      <c r="AC111" s="154">
        <v>4.7600000000000003E-2</v>
      </c>
      <c r="AD111" s="154">
        <v>21.995999999999999</v>
      </c>
      <c r="AF111" s="162" t="s">
        <v>703</v>
      </c>
      <c r="AG111" s="157" t="s">
        <v>567</v>
      </c>
      <c r="AH111" s="154">
        <v>0.373</v>
      </c>
      <c r="CA111" s="480" t="s">
        <v>1039</v>
      </c>
      <c r="CB111" s="479" t="s">
        <v>567</v>
      </c>
      <c r="CC111" s="479">
        <v>0.66749999999999998</v>
      </c>
      <c r="CM111" s="498" t="s">
        <v>359</v>
      </c>
      <c r="CN111" s="157" t="s">
        <v>670</v>
      </c>
      <c r="CO111" s="157">
        <v>0.3</v>
      </c>
      <c r="CP111" s="157">
        <v>-1.108371</v>
      </c>
    </row>
    <row r="112" spans="17:112">
      <c r="Q112" s="162"/>
      <c r="R112" s="154" t="s">
        <v>567</v>
      </c>
      <c r="S112" s="154">
        <v>0.38555000000000011</v>
      </c>
      <c r="V112" s="194" t="s">
        <v>482</v>
      </c>
      <c r="W112" s="163" t="s">
        <v>670</v>
      </c>
      <c r="X112" s="170">
        <v>0.6</v>
      </c>
      <c r="Y112" s="165">
        <v>-0.48489500000000002</v>
      </c>
      <c r="AA112" s="162" t="s">
        <v>789</v>
      </c>
      <c r="AB112" s="157" t="s">
        <v>567</v>
      </c>
      <c r="AC112" s="154">
        <v>1.7544</v>
      </c>
      <c r="AF112" s="162" t="s">
        <v>991</v>
      </c>
      <c r="AG112" s="157" t="s">
        <v>670</v>
      </c>
      <c r="AH112" s="154">
        <v>0.6</v>
      </c>
      <c r="AI112" s="154">
        <v>1.0103200000000001</v>
      </c>
      <c r="CA112" s="480" t="s">
        <v>1036</v>
      </c>
      <c r="CB112" s="479" t="s">
        <v>729</v>
      </c>
      <c r="CM112" s="498" t="s">
        <v>360</v>
      </c>
      <c r="CN112" s="157" t="s">
        <v>567</v>
      </c>
      <c r="CO112" s="157">
        <v>2.5</v>
      </c>
    </row>
    <row r="113" spans="17:92">
      <c r="Q113" s="162" t="s">
        <v>148</v>
      </c>
      <c r="R113" s="154" t="s">
        <v>698</v>
      </c>
      <c r="S113" s="154">
        <v>0</v>
      </c>
      <c r="T113" s="154">
        <v>0</v>
      </c>
      <c r="V113" s="217" t="s">
        <v>418</v>
      </c>
      <c r="W113" s="218" t="s">
        <v>567</v>
      </c>
      <c r="X113" s="206">
        <v>1.77</v>
      </c>
      <c r="Y113" s="206"/>
      <c r="AA113" s="162" t="s">
        <v>513</v>
      </c>
      <c r="AB113" s="157" t="s">
        <v>670</v>
      </c>
      <c r="AC113" s="154">
        <v>0.6</v>
      </c>
      <c r="AD113" s="154">
        <v>-0.53271999999999997</v>
      </c>
      <c r="AF113" s="162" t="s">
        <v>417</v>
      </c>
      <c r="AG113" s="157" t="s">
        <v>567</v>
      </c>
      <c r="AH113" s="154">
        <v>3.395</v>
      </c>
      <c r="CA113" s="480" t="s">
        <v>95</v>
      </c>
      <c r="CB113" s="479" t="s">
        <v>79</v>
      </c>
      <c r="CC113" s="479">
        <v>0.3</v>
      </c>
      <c r="CE113" s="479">
        <v>-15.00075</v>
      </c>
      <c r="CM113" s="498"/>
      <c r="CN113" s="157" t="s">
        <v>254</v>
      </c>
    </row>
    <row r="114" spans="17:92">
      <c r="Q114" s="162"/>
      <c r="R114" s="154" t="s">
        <v>567</v>
      </c>
      <c r="S114" s="154">
        <v>0.16500000000000001</v>
      </c>
      <c r="V114" s="194" t="s">
        <v>519</v>
      </c>
      <c r="W114" s="163" t="s">
        <v>670</v>
      </c>
      <c r="X114" s="170">
        <v>0.6</v>
      </c>
      <c r="Y114" s="165">
        <v>0.75626499999999997</v>
      </c>
      <c r="AA114" s="162" t="s">
        <v>1007</v>
      </c>
      <c r="AB114" s="157" t="s">
        <v>567</v>
      </c>
      <c r="AC114" s="154">
        <v>0.54300000000000004</v>
      </c>
      <c r="AF114" s="162"/>
      <c r="AG114" s="157" t="s">
        <v>1077</v>
      </c>
      <c r="AH114" s="154">
        <v>4.7600000000000003E-2</v>
      </c>
      <c r="AI114" s="154">
        <v>21.995999999999999</v>
      </c>
      <c r="CA114" s="480" t="s">
        <v>1037</v>
      </c>
      <c r="CB114" s="479" t="s">
        <v>567</v>
      </c>
      <c r="CC114" s="479">
        <v>0.2</v>
      </c>
    </row>
    <row r="115" spans="17:92" ht="15.75">
      <c r="Q115" s="162"/>
      <c r="R115" s="154" t="s">
        <v>729</v>
      </c>
      <c r="V115" s="219" t="s">
        <v>1181</v>
      </c>
      <c r="W115" s="203" t="s">
        <v>567</v>
      </c>
      <c r="X115" s="179">
        <v>0.379</v>
      </c>
      <c r="Y115" s="204"/>
      <c r="AA115" s="162" t="s">
        <v>614</v>
      </c>
      <c r="AB115" s="157" t="s">
        <v>698</v>
      </c>
      <c r="AC115" s="154">
        <v>0</v>
      </c>
      <c r="AD115" s="154">
        <v>0</v>
      </c>
      <c r="AF115" s="162" t="s">
        <v>175</v>
      </c>
      <c r="AG115" s="157" t="s">
        <v>760</v>
      </c>
      <c r="AH115" s="154">
        <v>9.5200000000000007E-2</v>
      </c>
      <c r="AI115" s="154">
        <v>21.995999999999999</v>
      </c>
      <c r="CA115" s="480" t="s">
        <v>718</v>
      </c>
      <c r="CB115" s="479" t="s">
        <v>670</v>
      </c>
      <c r="CC115" s="479">
        <v>0.3</v>
      </c>
      <c r="CD115" s="479">
        <v>-0.88436999999999999</v>
      </c>
    </row>
    <row r="116" spans="17:92" ht="15.75">
      <c r="Q116" s="162"/>
      <c r="R116" s="154" t="s">
        <v>567</v>
      </c>
      <c r="S116" s="154">
        <v>0.19500000000000001</v>
      </c>
      <c r="V116" s="202"/>
      <c r="W116" s="203" t="s">
        <v>1077</v>
      </c>
      <c r="X116" s="179">
        <v>4.7600000000000003E-2</v>
      </c>
      <c r="Y116" s="204">
        <v>21.995999999999999</v>
      </c>
      <c r="AA116" s="162" t="s">
        <v>265</v>
      </c>
      <c r="AB116" s="157" t="s">
        <v>567</v>
      </c>
      <c r="AC116" s="154">
        <v>0.27700000000000002</v>
      </c>
      <c r="AF116" s="162"/>
      <c r="AG116" s="157" t="s">
        <v>1077</v>
      </c>
      <c r="AH116" s="154">
        <v>4.7600000000000003E-2</v>
      </c>
      <c r="AI116" s="154">
        <v>21.995999999999999</v>
      </c>
      <c r="CA116" s="480" t="s">
        <v>198</v>
      </c>
      <c r="CB116" s="479" t="s">
        <v>567</v>
      </c>
      <c r="CC116" s="479">
        <v>0.46500000000000002</v>
      </c>
    </row>
    <row r="117" spans="17:92" ht="15.75">
      <c r="Q117" s="162" t="s">
        <v>124</v>
      </c>
      <c r="R117" s="154" t="s">
        <v>670</v>
      </c>
      <c r="S117" s="154">
        <v>0.3</v>
      </c>
      <c r="T117" s="154">
        <v>0.73</v>
      </c>
      <c r="V117" s="219" t="s">
        <v>175</v>
      </c>
      <c r="W117" s="203" t="s">
        <v>760</v>
      </c>
      <c r="X117" s="179">
        <v>9.5200000000000007E-2</v>
      </c>
      <c r="Y117" s="204">
        <v>21.995999999999999</v>
      </c>
      <c r="AA117" s="162" t="s">
        <v>995</v>
      </c>
      <c r="AB117" s="157" t="s">
        <v>729</v>
      </c>
      <c r="AF117" s="162" t="s">
        <v>1140</v>
      </c>
      <c r="AG117" s="157" t="s">
        <v>567</v>
      </c>
      <c r="AH117" s="154">
        <v>1.079</v>
      </c>
      <c r="CA117" s="480" t="s">
        <v>548</v>
      </c>
      <c r="CB117" s="479" t="s">
        <v>670</v>
      </c>
      <c r="CC117" s="479">
        <v>0.6</v>
      </c>
      <c r="CD117" s="479">
        <v>1.47533</v>
      </c>
    </row>
    <row r="118" spans="17:92">
      <c r="Q118" s="162" t="s">
        <v>124</v>
      </c>
      <c r="R118" s="154" t="s">
        <v>670</v>
      </c>
      <c r="S118" s="154">
        <v>0.3</v>
      </c>
      <c r="T118" s="154">
        <v>0.73</v>
      </c>
      <c r="V118" s="194"/>
      <c r="W118" s="163" t="s">
        <v>1077</v>
      </c>
      <c r="X118" s="170">
        <v>4.7600000000000003E-2</v>
      </c>
      <c r="Y118" s="165">
        <v>21.995999999999999</v>
      </c>
      <c r="AA118" s="162" t="s">
        <v>265</v>
      </c>
      <c r="AB118" s="157" t="s">
        <v>567</v>
      </c>
      <c r="AC118" s="154">
        <v>0.27700000000000002</v>
      </c>
      <c r="AF118" s="162" t="s">
        <v>499</v>
      </c>
      <c r="AG118" s="157" t="s">
        <v>670</v>
      </c>
      <c r="AH118" s="154">
        <v>0.6</v>
      </c>
      <c r="AI118" s="154">
        <v>-0.49038300000000001</v>
      </c>
      <c r="CA118" s="480" t="s">
        <v>384</v>
      </c>
      <c r="CB118" s="479" t="s">
        <v>567</v>
      </c>
      <c r="CC118" s="479">
        <v>0.23499999999999999</v>
      </c>
    </row>
    <row r="119" spans="17:92">
      <c r="Q119" s="162"/>
      <c r="R119" s="154" t="s">
        <v>567</v>
      </c>
      <c r="S119" s="154">
        <v>0.1618</v>
      </c>
      <c r="V119" s="217" t="s">
        <v>208</v>
      </c>
      <c r="W119" s="218" t="s">
        <v>567</v>
      </c>
      <c r="X119" s="206">
        <v>0.72699999999999998</v>
      </c>
      <c r="Y119" s="206"/>
      <c r="AA119" s="162" t="s">
        <v>813</v>
      </c>
      <c r="AB119" s="157" t="s">
        <v>698</v>
      </c>
      <c r="AC119" s="154">
        <v>0</v>
      </c>
      <c r="AD119" s="154">
        <v>0</v>
      </c>
      <c r="AF119" s="162" t="s">
        <v>703</v>
      </c>
      <c r="AG119" s="157" t="s">
        <v>567</v>
      </c>
      <c r="AH119" s="154">
        <v>0.373</v>
      </c>
      <c r="CA119" s="480" t="s">
        <v>94</v>
      </c>
      <c r="CB119" s="479" t="s">
        <v>79</v>
      </c>
      <c r="CC119" s="479">
        <v>0.3</v>
      </c>
      <c r="CE119" s="479">
        <v>9.9616500000000006</v>
      </c>
    </row>
    <row r="120" spans="17:92">
      <c r="Q120" s="162" t="s">
        <v>575</v>
      </c>
      <c r="R120" s="154" t="s">
        <v>1125</v>
      </c>
      <c r="S120" s="154">
        <v>0</v>
      </c>
      <c r="T120" s="154">
        <v>0</v>
      </c>
      <c r="V120" s="194" t="s">
        <v>376</v>
      </c>
      <c r="W120" s="163" t="s">
        <v>670</v>
      </c>
      <c r="X120" s="170">
        <v>0.6</v>
      </c>
      <c r="Y120" s="165">
        <v>-0.95448500000000003</v>
      </c>
      <c r="AA120" s="162" t="s">
        <v>703</v>
      </c>
      <c r="AB120" s="157" t="s">
        <v>567</v>
      </c>
      <c r="AC120" s="154">
        <v>0.373</v>
      </c>
      <c r="AF120" s="162" t="s">
        <v>389</v>
      </c>
      <c r="AG120" s="157" t="s">
        <v>698</v>
      </c>
      <c r="AH120" s="154">
        <v>0</v>
      </c>
      <c r="AI120" s="154">
        <v>0</v>
      </c>
      <c r="CA120" s="480" t="s">
        <v>382</v>
      </c>
      <c r="CB120" s="479" t="s">
        <v>567</v>
      </c>
      <c r="CC120" s="479">
        <v>0.15</v>
      </c>
    </row>
    <row r="121" spans="17:92">
      <c r="Q121" s="162"/>
      <c r="R121" s="154" t="s">
        <v>567</v>
      </c>
      <c r="S121" s="154">
        <v>0.24</v>
      </c>
      <c r="V121" s="214" t="s">
        <v>703</v>
      </c>
      <c r="W121" s="215" t="s">
        <v>567</v>
      </c>
      <c r="X121" s="201">
        <v>0.373</v>
      </c>
      <c r="Y121" s="201"/>
      <c r="AA121" s="162" t="s">
        <v>585</v>
      </c>
      <c r="AB121" s="157" t="s">
        <v>670</v>
      </c>
      <c r="AC121" s="154">
        <v>0.6</v>
      </c>
      <c r="AD121" s="154">
        <v>0.53271999999999997</v>
      </c>
      <c r="AF121" s="162" t="s">
        <v>265</v>
      </c>
      <c r="AG121" s="157" t="s">
        <v>567</v>
      </c>
      <c r="AH121" s="154">
        <v>0.27700000000000002</v>
      </c>
      <c r="CA121" s="480" t="s">
        <v>550</v>
      </c>
      <c r="CB121" s="479" t="s">
        <v>670</v>
      </c>
      <c r="CC121" s="479">
        <v>0.4</v>
      </c>
      <c r="CD121" s="479">
        <v>-1.24621</v>
      </c>
    </row>
    <row r="122" spans="17:92">
      <c r="Q122" s="162"/>
      <c r="R122" s="154" t="s">
        <v>1077</v>
      </c>
      <c r="S122" s="154">
        <v>4.759988869075444E-2</v>
      </c>
      <c r="T122" s="154">
        <v>21.995799999999999</v>
      </c>
      <c r="V122" s="194" t="s">
        <v>38</v>
      </c>
      <c r="W122" s="163" t="s">
        <v>698</v>
      </c>
      <c r="X122" s="170">
        <v>0</v>
      </c>
      <c r="Y122" s="165">
        <v>0</v>
      </c>
      <c r="AA122" s="162" t="s">
        <v>228</v>
      </c>
      <c r="AB122" s="157" t="s">
        <v>567</v>
      </c>
      <c r="AC122" s="154">
        <v>1.47</v>
      </c>
      <c r="AF122" s="162" t="s">
        <v>671</v>
      </c>
      <c r="AG122" s="157" t="s">
        <v>729</v>
      </c>
      <c r="CA122" s="480" t="s">
        <v>551</v>
      </c>
      <c r="CB122" s="479" t="s">
        <v>567</v>
      </c>
      <c r="CC122" s="479">
        <v>0.40100000000000002</v>
      </c>
    </row>
    <row r="123" spans="17:92">
      <c r="Q123" s="162"/>
      <c r="R123" s="154" t="s">
        <v>760</v>
      </c>
      <c r="S123" s="154">
        <v>4.759988869075444E-2</v>
      </c>
      <c r="T123" s="154">
        <v>21.995799999999999</v>
      </c>
      <c r="V123" s="207" t="s">
        <v>265</v>
      </c>
      <c r="W123" s="208" t="s">
        <v>567</v>
      </c>
      <c r="X123" s="209">
        <v>0.27700000000000002</v>
      </c>
      <c r="Y123" s="165"/>
      <c r="AA123" s="162" t="s">
        <v>482</v>
      </c>
      <c r="AB123" s="157" t="s">
        <v>670</v>
      </c>
      <c r="AC123" s="154">
        <v>0.6</v>
      </c>
      <c r="AD123" s="154">
        <v>-0.48489500000000002</v>
      </c>
      <c r="AF123" s="162" t="s">
        <v>265</v>
      </c>
      <c r="AG123" s="157" t="s">
        <v>567</v>
      </c>
      <c r="AH123" s="154">
        <v>0.27700000000000002</v>
      </c>
      <c r="CA123" s="480" t="s">
        <v>1069</v>
      </c>
      <c r="CB123" s="479" t="s">
        <v>698</v>
      </c>
      <c r="CC123" s="479">
        <v>0</v>
      </c>
      <c r="CD123" s="479">
        <v>0</v>
      </c>
    </row>
    <row r="124" spans="17:92">
      <c r="Q124" s="162"/>
      <c r="R124" s="154" t="s">
        <v>760</v>
      </c>
      <c r="S124" s="154">
        <v>4.759988869075444E-2</v>
      </c>
      <c r="T124" s="154">
        <v>21.995799999999999</v>
      </c>
      <c r="V124" s="194" t="s">
        <v>219</v>
      </c>
      <c r="W124" s="163" t="s">
        <v>729</v>
      </c>
      <c r="X124" s="170"/>
      <c r="Y124" s="165"/>
      <c r="AA124" s="162" t="s">
        <v>418</v>
      </c>
      <c r="AB124" s="157" t="s">
        <v>567</v>
      </c>
      <c r="AC124" s="154">
        <v>1.77</v>
      </c>
      <c r="AF124" s="162" t="s">
        <v>218</v>
      </c>
      <c r="AG124" s="157" t="s">
        <v>698</v>
      </c>
      <c r="AH124" s="154">
        <v>0</v>
      </c>
      <c r="AI124" s="154">
        <v>0</v>
      </c>
      <c r="CA124" s="480" t="s">
        <v>552</v>
      </c>
      <c r="CB124" s="479" t="s">
        <v>567</v>
      </c>
      <c r="CC124" s="479">
        <v>0.33</v>
      </c>
    </row>
    <row r="125" spans="17:92">
      <c r="Q125" s="162"/>
      <c r="R125" s="154" t="s">
        <v>1077</v>
      </c>
      <c r="S125" s="154">
        <v>4.759988869075444E-2</v>
      </c>
      <c r="T125" s="154">
        <v>21.995799999999999</v>
      </c>
      <c r="V125" s="214" t="s">
        <v>265</v>
      </c>
      <c r="W125" s="215" t="s">
        <v>567</v>
      </c>
      <c r="X125" s="201">
        <v>0.27700000000000002</v>
      </c>
      <c r="Y125" s="201"/>
      <c r="AA125" s="162" t="s">
        <v>519</v>
      </c>
      <c r="AB125" s="157" t="s">
        <v>670</v>
      </c>
      <c r="AC125" s="154">
        <v>0.6</v>
      </c>
      <c r="AD125" s="154">
        <v>0.75626499999999997</v>
      </c>
      <c r="AF125" s="162" t="s">
        <v>859</v>
      </c>
      <c r="AG125" s="157" t="s">
        <v>567</v>
      </c>
      <c r="AH125" s="154">
        <v>1.81</v>
      </c>
      <c r="CA125" s="480" t="s">
        <v>1069</v>
      </c>
      <c r="CB125" s="479" t="s">
        <v>698</v>
      </c>
      <c r="CC125" s="479">
        <v>0</v>
      </c>
      <c r="CD125" s="479">
        <v>0</v>
      </c>
    </row>
    <row r="126" spans="17:92">
      <c r="Q126" s="162"/>
      <c r="R126" s="154" t="s">
        <v>567</v>
      </c>
      <c r="S126" s="154">
        <v>0.38600000000000001</v>
      </c>
      <c r="V126" s="194" t="s">
        <v>985</v>
      </c>
      <c r="W126" s="163" t="s">
        <v>698</v>
      </c>
      <c r="X126" s="170">
        <v>0</v>
      </c>
      <c r="Y126" s="165">
        <v>0</v>
      </c>
      <c r="AA126" s="162" t="s">
        <v>1181</v>
      </c>
      <c r="AB126" s="157" t="s">
        <v>567</v>
      </c>
      <c r="AC126" s="154">
        <v>0.379</v>
      </c>
      <c r="AF126" s="162" t="s">
        <v>334</v>
      </c>
      <c r="AG126" s="157" t="s">
        <v>670</v>
      </c>
      <c r="AH126" s="154">
        <v>0.6</v>
      </c>
      <c r="AI126" s="154">
        <v>0.611487</v>
      </c>
      <c r="CA126" s="480" t="s">
        <v>530</v>
      </c>
      <c r="CB126" s="479" t="s">
        <v>729</v>
      </c>
    </row>
    <row r="127" spans="17:92">
      <c r="Q127" s="162" t="s">
        <v>588</v>
      </c>
      <c r="R127" s="154" t="s">
        <v>698</v>
      </c>
      <c r="S127" s="154">
        <v>0</v>
      </c>
      <c r="T127" s="154">
        <v>0</v>
      </c>
      <c r="V127" s="217" t="s">
        <v>704</v>
      </c>
      <c r="W127" s="218" t="s">
        <v>567</v>
      </c>
      <c r="X127" s="206">
        <v>0.60699999999999998</v>
      </c>
      <c r="Y127" s="206"/>
      <c r="AA127" s="162"/>
      <c r="AB127" s="157" t="s">
        <v>1077</v>
      </c>
      <c r="AC127" s="154">
        <v>4.7600000000000003E-2</v>
      </c>
      <c r="AD127" s="154">
        <v>21.995999999999999</v>
      </c>
      <c r="AF127" s="162" t="s">
        <v>703</v>
      </c>
      <c r="AG127" s="157" t="s">
        <v>567</v>
      </c>
      <c r="AH127" s="154">
        <v>0.373</v>
      </c>
      <c r="CA127" s="480" t="s">
        <v>531</v>
      </c>
      <c r="CB127" s="479" t="s">
        <v>567</v>
      </c>
      <c r="CC127" s="479">
        <v>2.4405000000000001</v>
      </c>
    </row>
    <row r="128" spans="17:92">
      <c r="Q128" s="162"/>
      <c r="R128" s="154" t="s">
        <v>567</v>
      </c>
      <c r="S128" s="154">
        <v>0.16500000000000001</v>
      </c>
      <c r="V128" s="194" t="s">
        <v>277</v>
      </c>
      <c r="W128" s="163" t="s">
        <v>670</v>
      </c>
      <c r="X128" s="170">
        <v>0.6</v>
      </c>
      <c r="Y128" s="165">
        <v>1.14377</v>
      </c>
      <c r="AA128" s="162" t="s">
        <v>175</v>
      </c>
      <c r="AB128" s="157" t="s">
        <v>760</v>
      </c>
      <c r="AC128" s="154">
        <v>9.5200000000000007E-2</v>
      </c>
      <c r="AD128" s="154">
        <v>21.995999999999999</v>
      </c>
      <c r="AF128" s="162" t="s">
        <v>203</v>
      </c>
      <c r="AG128" s="157" t="s">
        <v>698</v>
      </c>
      <c r="AH128" s="154">
        <v>0</v>
      </c>
      <c r="AI128" s="154">
        <v>0</v>
      </c>
      <c r="CA128" s="480" t="s">
        <v>93</v>
      </c>
      <c r="CB128" s="479" t="s">
        <v>567</v>
      </c>
      <c r="CC128" s="479">
        <v>1</v>
      </c>
    </row>
    <row r="129" spans="17:80">
      <c r="Q129" s="162"/>
      <c r="R129" s="154" t="s">
        <v>729</v>
      </c>
      <c r="V129" s="217" t="s">
        <v>1141</v>
      </c>
      <c r="W129" s="218" t="s">
        <v>567</v>
      </c>
      <c r="X129" s="206">
        <v>0.51700000000000002</v>
      </c>
      <c r="Y129" s="206"/>
      <c r="AA129" s="162"/>
      <c r="AB129" s="157" t="s">
        <v>1077</v>
      </c>
      <c r="AC129" s="154">
        <v>4.7600000000000003E-2</v>
      </c>
      <c r="AD129" s="154">
        <v>21.995999999999999</v>
      </c>
      <c r="AF129" s="162" t="s">
        <v>265</v>
      </c>
      <c r="AG129" s="157" t="s">
        <v>567</v>
      </c>
      <c r="AH129" s="154">
        <v>0.27700000000000002</v>
      </c>
      <c r="CB129" s="479" t="s">
        <v>254</v>
      </c>
    </row>
    <row r="130" spans="17:80">
      <c r="Q130" s="162"/>
      <c r="R130" s="154" t="s">
        <v>567</v>
      </c>
      <c r="S130" s="154">
        <v>0.19500000000000001</v>
      </c>
      <c r="V130" s="194" t="s">
        <v>32</v>
      </c>
      <c r="W130" s="163" t="s">
        <v>670</v>
      </c>
      <c r="X130" s="170">
        <v>0.6</v>
      </c>
      <c r="Y130" s="165">
        <v>-0.37853500000000001</v>
      </c>
      <c r="AA130" s="162" t="s">
        <v>208</v>
      </c>
      <c r="AB130" s="157" t="s">
        <v>567</v>
      </c>
      <c r="AC130" s="154">
        <v>0.72699999999999998</v>
      </c>
      <c r="AF130" s="162" t="s">
        <v>1128</v>
      </c>
      <c r="AG130" s="157" t="s">
        <v>729</v>
      </c>
    </row>
    <row r="131" spans="17:80">
      <c r="Q131" s="162" t="s">
        <v>366</v>
      </c>
      <c r="R131" s="154" t="s">
        <v>670</v>
      </c>
      <c r="S131" s="154">
        <v>0.3</v>
      </c>
      <c r="T131" s="154">
        <v>-0.65</v>
      </c>
      <c r="V131" s="214"/>
      <c r="W131" s="215" t="s">
        <v>567</v>
      </c>
      <c r="X131" s="201">
        <v>0.83</v>
      </c>
      <c r="Y131" s="201"/>
      <c r="AA131" s="162" t="s">
        <v>376</v>
      </c>
      <c r="AB131" s="157" t="s">
        <v>670</v>
      </c>
      <c r="AC131" s="154">
        <v>0.6</v>
      </c>
      <c r="AD131" s="154">
        <v>-0.95448500000000003</v>
      </c>
      <c r="AF131" s="162" t="s">
        <v>265</v>
      </c>
      <c r="AG131" s="157" t="s">
        <v>567</v>
      </c>
      <c r="AH131" s="154">
        <v>0.27700000000000002</v>
      </c>
    </row>
    <row r="132" spans="17:80">
      <c r="Q132" s="162" t="s">
        <v>366</v>
      </c>
      <c r="R132" s="154" t="s">
        <v>670</v>
      </c>
      <c r="S132" s="154">
        <v>0.3</v>
      </c>
      <c r="T132" s="154">
        <v>-0.65</v>
      </c>
      <c r="V132" s="194" t="s">
        <v>854</v>
      </c>
      <c r="W132" s="163" t="s">
        <v>698</v>
      </c>
      <c r="X132" s="170">
        <v>0</v>
      </c>
      <c r="Y132" s="165">
        <v>0</v>
      </c>
      <c r="AA132" s="162" t="s">
        <v>703</v>
      </c>
      <c r="AB132" s="157" t="s">
        <v>567</v>
      </c>
      <c r="AC132" s="154">
        <v>0.373</v>
      </c>
      <c r="AF132" s="162" t="s">
        <v>981</v>
      </c>
      <c r="AG132" s="157" t="s">
        <v>698</v>
      </c>
      <c r="AH132" s="154">
        <v>0</v>
      </c>
      <c r="AI132" s="154">
        <v>0</v>
      </c>
    </row>
    <row r="133" spans="17:80">
      <c r="Q133" s="162"/>
      <c r="R133" s="154" t="s">
        <v>567</v>
      </c>
      <c r="S133" s="154">
        <v>0.1618</v>
      </c>
      <c r="V133" s="207"/>
      <c r="W133" s="208" t="s">
        <v>567</v>
      </c>
      <c r="X133" s="209">
        <v>0.93500000000000005</v>
      </c>
      <c r="Y133" s="165"/>
      <c r="AA133" s="162" t="s">
        <v>38</v>
      </c>
      <c r="AB133" s="157" t="s">
        <v>698</v>
      </c>
      <c r="AC133" s="154">
        <v>0</v>
      </c>
      <c r="AD133" s="154">
        <v>0</v>
      </c>
      <c r="AF133" s="162" t="s">
        <v>1093</v>
      </c>
      <c r="AG133" s="157" t="s">
        <v>567</v>
      </c>
      <c r="AH133" s="154">
        <v>2.2040000000000002</v>
      </c>
    </row>
    <row r="134" spans="17:80">
      <c r="Q134" s="162" t="s">
        <v>999</v>
      </c>
      <c r="R134" s="154" t="s">
        <v>1125</v>
      </c>
      <c r="S134" s="154">
        <v>0</v>
      </c>
      <c r="T134" s="154">
        <v>0</v>
      </c>
      <c r="V134" s="194" t="s">
        <v>413</v>
      </c>
      <c r="W134" s="163" t="s">
        <v>729</v>
      </c>
      <c r="X134" s="170"/>
      <c r="Y134" s="165"/>
      <c r="AA134" s="162" t="s">
        <v>265</v>
      </c>
      <c r="AB134" s="157" t="s">
        <v>567</v>
      </c>
      <c r="AC134" s="154">
        <v>0.27700000000000002</v>
      </c>
      <c r="AF134" s="162" t="s">
        <v>125</v>
      </c>
      <c r="AG134" s="157" t="s">
        <v>698</v>
      </c>
      <c r="AH134" s="154">
        <v>0</v>
      </c>
      <c r="AI134" s="154">
        <v>0</v>
      </c>
    </row>
    <row r="135" spans="17:80" ht="15.75">
      <c r="Q135" s="162"/>
      <c r="R135" s="154" t="s">
        <v>567</v>
      </c>
      <c r="S135" s="154">
        <v>0.24</v>
      </c>
      <c r="V135" s="202"/>
      <c r="W135" s="203" t="s">
        <v>567</v>
      </c>
      <c r="X135" s="179">
        <v>0.36</v>
      </c>
      <c r="Y135" s="204"/>
      <c r="AA135" s="162" t="s">
        <v>219</v>
      </c>
      <c r="AB135" s="157" t="s">
        <v>729</v>
      </c>
      <c r="AF135" s="162" t="s">
        <v>1093</v>
      </c>
      <c r="AG135" s="157" t="s">
        <v>567</v>
      </c>
      <c r="AH135" s="154">
        <v>0.8</v>
      </c>
    </row>
    <row r="136" spans="17:80">
      <c r="Q136" s="162"/>
      <c r="R136" s="154" t="s">
        <v>1077</v>
      </c>
      <c r="S136" s="154">
        <v>4.759988869075444E-2</v>
      </c>
      <c r="T136" s="154">
        <v>21.995799999999999</v>
      </c>
      <c r="V136" s="194" t="s">
        <v>371</v>
      </c>
      <c r="W136" s="163" t="s">
        <v>760</v>
      </c>
      <c r="X136" s="170">
        <v>4.2673299999999997E-2</v>
      </c>
      <c r="Y136" s="165">
        <v>22.918299999999999</v>
      </c>
      <c r="AA136" s="162" t="s">
        <v>265</v>
      </c>
      <c r="AB136" s="157" t="s">
        <v>567</v>
      </c>
      <c r="AC136" s="154">
        <v>0.27700000000000002</v>
      </c>
      <c r="AF136" s="162" t="s">
        <v>370</v>
      </c>
      <c r="AG136" s="157" t="s">
        <v>729</v>
      </c>
    </row>
    <row r="137" spans="17:80" ht="15.75">
      <c r="Q137" s="162"/>
      <c r="R137" s="154" t="s">
        <v>760</v>
      </c>
      <c r="S137" s="154">
        <v>4.759988869075444E-2</v>
      </c>
      <c r="T137" s="154">
        <v>22</v>
      </c>
      <c r="V137" s="202" t="s">
        <v>87</v>
      </c>
      <c r="W137" s="203" t="s">
        <v>567</v>
      </c>
      <c r="X137" s="179">
        <v>0.15</v>
      </c>
      <c r="Y137" s="204"/>
      <c r="AA137" s="162" t="s">
        <v>985</v>
      </c>
      <c r="AB137" s="157" t="s">
        <v>698</v>
      </c>
      <c r="AC137" s="154">
        <v>0</v>
      </c>
      <c r="AD137" s="154">
        <v>0</v>
      </c>
      <c r="AF137" s="162" t="s">
        <v>1093</v>
      </c>
      <c r="AG137" s="157" t="s">
        <v>567</v>
      </c>
      <c r="AH137" s="154">
        <v>0.3</v>
      </c>
    </row>
    <row r="138" spans="17:80">
      <c r="Q138" s="162"/>
      <c r="R138" s="154" t="s">
        <v>760</v>
      </c>
      <c r="S138" s="154">
        <v>4.759988869075444E-2</v>
      </c>
      <c r="T138" s="154">
        <v>22</v>
      </c>
      <c r="V138" s="194" t="s">
        <v>364</v>
      </c>
      <c r="W138" s="163" t="s">
        <v>760</v>
      </c>
      <c r="X138" s="170">
        <v>4.2673299999999997E-2</v>
      </c>
      <c r="Y138" s="165">
        <v>22.918299999999999</v>
      </c>
      <c r="AA138" s="162" t="s">
        <v>704</v>
      </c>
      <c r="AB138" s="157" t="s">
        <v>567</v>
      </c>
      <c r="AC138" s="154">
        <v>0.60699999999999998</v>
      </c>
      <c r="AF138" s="162" t="s">
        <v>149</v>
      </c>
      <c r="AG138" s="157" t="s">
        <v>760</v>
      </c>
      <c r="AH138" s="154">
        <v>3.4599999999999999E-2</v>
      </c>
      <c r="AI138" s="154">
        <v>-15.5</v>
      </c>
    </row>
    <row r="139" spans="17:80" ht="15.75">
      <c r="Q139" s="162"/>
      <c r="R139" s="154" t="s">
        <v>1077</v>
      </c>
      <c r="S139" s="154">
        <v>4.759988869075444E-2</v>
      </c>
      <c r="T139" s="154">
        <v>21.995799999999999</v>
      </c>
      <c r="V139" s="202" t="s">
        <v>1084</v>
      </c>
      <c r="W139" s="203" t="s">
        <v>567</v>
      </c>
      <c r="X139" s="179">
        <v>1.2250000000000001</v>
      </c>
      <c r="Y139" s="204"/>
      <c r="AA139" s="162" t="s">
        <v>277</v>
      </c>
      <c r="AB139" s="157" t="s">
        <v>670</v>
      </c>
      <c r="AC139" s="154">
        <v>0.6</v>
      </c>
      <c r="AD139" s="154">
        <v>1.14377</v>
      </c>
      <c r="AF139" s="162" t="s">
        <v>1093</v>
      </c>
      <c r="AG139" s="157" t="s">
        <v>567</v>
      </c>
      <c r="AH139" s="154">
        <v>0.15</v>
      </c>
    </row>
    <row r="140" spans="17:80">
      <c r="Q140" s="162"/>
      <c r="R140" s="154" t="s">
        <v>567</v>
      </c>
      <c r="S140" s="154">
        <v>0.38555000000000011</v>
      </c>
      <c r="V140" s="194" t="s">
        <v>7</v>
      </c>
      <c r="W140" s="163" t="s">
        <v>760</v>
      </c>
      <c r="X140" s="170">
        <v>2.1816599999999998E-2</v>
      </c>
      <c r="Y140" s="165">
        <v>22.918299999999999</v>
      </c>
      <c r="AA140" s="162" t="s">
        <v>1141</v>
      </c>
      <c r="AB140" s="157" t="s">
        <v>567</v>
      </c>
      <c r="AC140" s="154">
        <v>0.51700000000000002</v>
      </c>
      <c r="AF140" s="162" t="s">
        <v>6</v>
      </c>
      <c r="AG140" s="157" t="s">
        <v>760</v>
      </c>
      <c r="AH140" s="154">
        <v>5.7700000000000001E-2</v>
      </c>
      <c r="AI140" s="154">
        <v>-15.5</v>
      </c>
    </row>
    <row r="141" spans="17:80">
      <c r="Q141" s="162"/>
      <c r="R141" s="154" t="s">
        <v>698</v>
      </c>
      <c r="S141" s="154">
        <v>0</v>
      </c>
      <c r="T141" s="154">
        <v>0</v>
      </c>
      <c r="V141" s="162" t="s">
        <v>1033</v>
      </c>
      <c r="W141" s="157" t="s">
        <v>567</v>
      </c>
      <c r="X141" s="154">
        <v>-1.2250000000000001</v>
      </c>
      <c r="AA141" s="162" t="s">
        <v>32</v>
      </c>
      <c r="AB141" s="157" t="s">
        <v>670</v>
      </c>
      <c r="AC141" s="154">
        <v>0.6</v>
      </c>
      <c r="AD141" s="154">
        <v>-0.37853500000000001</v>
      </c>
      <c r="AF141" s="162"/>
      <c r="AG141" s="157" t="s">
        <v>567</v>
      </c>
      <c r="AH141" s="154">
        <v>0.2</v>
      </c>
    </row>
    <row r="142" spans="17:80">
      <c r="Q142" s="162"/>
      <c r="R142" s="154" t="s">
        <v>567</v>
      </c>
      <c r="S142" s="154">
        <v>0.16500000000000001</v>
      </c>
      <c r="V142" s="162"/>
      <c r="W142" s="157" t="s">
        <v>254</v>
      </c>
      <c r="AA142" s="162"/>
      <c r="AB142" s="157" t="s">
        <v>567</v>
      </c>
      <c r="AC142" s="154">
        <v>0.83</v>
      </c>
      <c r="AF142" s="162" t="s">
        <v>568</v>
      </c>
      <c r="AG142" s="157" t="s">
        <v>670</v>
      </c>
      <c r="AH142" s="154">
        <v>0.6</v>
      </c>
      <c r="AI142" s="154">
        <v>-0.65</v>
      </c>
    </row>
    <row r="143" spans="17:80">
      <c r="Q143" s="162"/>
      <c r="R143" s="154" t="s">
        <v>729</v>
      </c>
      <c r="AA143" s="162" t="s">
        <v>854</v>
      </c>
      <c r="AB143" s="157" t="s">
        <v>698</v>
      </c>
      <c r="AC143" s="154">
        <v>0</v>
      </c>
      <c r="AD143" s="154">
        <v>0</v>
      </c>
      <c r="AF143" s="162"/>
      <c r="AG143" s="157" t="s">
        <v>567</v>
      </c>
      <c r="AH143" s="154">
        <v>2.4019999999999997</v>
      </c>
    </row>
    <row r="144" spans="17:80">
      <c r="Q144" s="162"/>
      <c r="R144" s="154" t="s">
        <v>567</v>
      </c>
      <c r="S144" s="154">
        <v>0.19500000000000001</v>
      </c>
      <c r="AA144" s="162"/>
      <c r="AB144" s="157" t="s">
        <v>567</v>
      </c>
      <c r="AC144" s="154">
        <v>0.93500000000000005</v>
      </c>
      <c r="AF144" s="162" t="s">
        <v>133</v>
      </c>
      <c r="AG144" s="157" t="s">
        <v>760</v>
      </c>
      <c r="AH144" s="154">
        <v>0.182</v>
      </c>
      <c r="AI144" s="154">
        <v>-3.2967032967032965</v>
      </c>
    </row>
    <row r="145" spans="17:36">
      <c r="Q145" s="162"/>
      <c r="R145" s="154" t="s">
        <v>670</v>
      </c>
      <c r="S145" s="154">
        <v>0.3</v>
      </c>
      <c r="T145" s="154">
        <v>0.73</v>
      </c>
      <c r="AA145" s="162" t="s">
        <v>413</v>
      </c>
      <c r="AB145" s="157" t="s">
        <v>729</v>
      </c>
      <c r="AF145" s="162"/>
      <c r="AG145" s="157" t="s">
        <v>567</v>
      </c>
      <c r="AH145" s="154">
        <v>0.24</v>
      </c>
    </row>
    <row r="146" spans="17:36">
      <c r="Q146" s="162"/>
      <c r="R146" s="154" t="s">
        <v>670</v>
      </c>
      <c r="S146" s="154">
        <v>0.3</v>
      </c>
      <c r="T146" s="154">
        <v>0.73</v>
      </c>
      <c r="AA146" s="162"/>
      <c r="AB146" s="157" t="s">
        <v>567</v>
      </c>
      <c r="AC146" s="154">
        <v>0.36</v>
      </c>
      <c r="AF146" s="162" t="s">
        <v>334</v>
      </c>
      <c r="AG146" s="157" t="s">
        <v>670</v>
      </c>
      <c r="AH146" s="154">
        <v>0.6</v>
      </c>
      <c r="AI146" s="154">
        <v>0.73</v>
      </c>
    </row>
    <row r="147" spans="17:36">
      <c r="Q147" s="162"/>
      <c r="R147" s="154" t="s">
        <v>567</v>
      </c>
      <c r="S147" s="154">
        <v>0.1618</v>
      </c>
      <c r="AA147" s="162" t="s">
        <v>371</v>
      </c>
      <c r="AB147" s="157" t="s">
        <v>760</v>
      </c>
      <c r="AC147" s="154">
        <v>4.2673299999999997E-2</v>
      </c>
      <c r="AD147" s="154">
        <v>22.918299999999999</v>
      </c>
      <c r="AF147" s="162"/>
      <c r="AG147" s="157" t="s">
        <v>567</v>
      </c>
      <c r="AH147" s="154">
        <v>3.242</v>
      </c>
    </row>
    <row r="148" spans="17:36">
      <c r="Q148" s="162"/>
      <c r="R148" s="154" t="s">
        <v>1125</v>
      </c>
      <c r="S148" s="154">
        <v>0</v>
      </c>
      <c r="T148" s="154">
        <v>0</v>
      </c>
      <c r="AA148" s="162" t="s">
        <v>87</v>
      </c>
      <c r="AB148" s="157" t="s">
        <v>567</v>
      </c>
      <c r="AC148" s="154">
        <v>0.15</v>
      </c>
      <c r="AF148" s="162" t="s">
        <v>589</v>
      </c>
      <c r="AG148" s="157" t="s">
        <v>670</v>
      </c>
      <c r="AH148" s="154">
        <v>0.6</v>
      </c>
      <c r="AI148" s="154">
        <v>-0.65</v>
      </c>
    </row>
    <row r="149" spans="17:36">
      <c r="Q149" s="162"/>
      <c r="R149" s="154" t="s">
        <v>567</v>
      </c>
      <c r="S149" s="154">
        <v>0.24</v>
      </c>
      <c r="AA149" s="162" t="s">
        <v>364</v>
      </c>
      <c r="AB149" s="157" t="s">
        <v>760</v>
      </c>
      <c r="AC149" s="154">
        <v>4.2673299999999997E-2</v>
      </c>
      <c r="AD149" s="154">
        <v>22.918299999999999</v>
      </c>
      <c r="AF149" s="162"/>
      <c r="AG149" s="157" t="s">
        <v>567</v>
      </c>
      <c r="AH149" s="154">
        <v>2.5299999999999998</v>
      </c>
    </row>
    <row r="150" spans="17:36">
      <c r="Q150" s="162"/>
      <c r="R150" s="154" t="s">
        <v>1077</v>
      </c>
      <c r="S150" s="154">
        <v>4.759988869075444E-2</v>
      </c>
      <c r="T150" s="154">
        <v>21.995799999999999</v>
      </c>
      <c r="AA150" s="162" t="s">
        <v>1084</v>
      </c>
      <c r="AB150" s="157" t="s">
        <v>567</v>
      </c>
      <c r="AC150" s="154">
        <v>1.2250000000000001</v>
      </c>
      <c r="AF150" s="162" t="s">
        <v>291</v>
      </c>
      <c r="AG150" s="157" t="s">
        <v>698</v>
      </c>
      <c r="AH150" s="154">
        <v>1.1499999999999999</v>
      </c>
      <c r="AI150" s="154">
        <v>0</v>
      </c>
    </row>
    <row r="151" spans="17:36">
      <c r="Q151" s="162"/>
      <c r="R151" s="154" t="s">
        <v>760</v>
      </c>
      <c r="S151" s="154">
        <v>4.759988869075444E-2</v>
      </c>
      <c r="T151" s="154">
        <v>21.995799999999999</v>
      </c>
      <c r="AA151" s="162" t="s">
        <v>7</v>
      </c>
      <c r="AB151" s="157" t="s">
        <v>760</v>
      </c>
      <c r="AC151" s="154">
        <v>2.1816599999999998E-2</v>
      </c>
      <c r="AD151" s="154">
        <v>22.918299999999999</v>
      </c>
      <c r="AF151" s="162"/>
      <c r="AG151" s="157" t="s">
        <v>567</v>
      </c>
      <c r="AH151" s="154">
        <v>0.71199999999999997</v>
      </c>
    </row>
    <row r="152" spans="17:36">
      <c r="Q152" s="162"/>
      <c r="R152" s="154" t="s">
        <v>760</v>
      </c>
      <c r="S152" s="154">
        <v>4.759988869075444E-2</v>
      </c>
      <c r="T152" s="154">
        <v>21.995799999999999</v>
      </c>
      <c r="AA152" s="162" t="s">
        <v>1033</v>
      </c>
      <c r="AB152" s="157" t="s">
        <v>567</v>
      </c>
      <c r="AC152" s="154">
        <v>-1.2250000000000001</v>
      </c>
      <c r="AF152" s="162" t="s">
        <v>724</v>
      </c>
      <c r="AG152" s="157" t="s">
        <v>670</v>
      </c>
      <c r="AH152" s="154">
        <v>0.6</v>
      </c>
      <c r="AI152" s="154">
        <v>0.73</v>
      </c>
    </row>
    <row r="153" spans="17:36">
      <c r="Q153" s="162"/>
      <c r="R153" s="154" t="s">
        <v>1077</v>
      </c>
      <c r="S153" s="154">
        <v>4.759988869075444E-2</v>
      </c>
      <c r="T153" s="154">
        <v>21.995799999999999</v>
      </c>
      <c r="AA153" s="170"/>
      <c r="AB153" s="171" t="s">
        <v>254</v>
      </c>
      <c r="AC153" s="170"/>
      <c r="AD153" s="170"/>
      <c r="AE153" s="170"/>
      <c r="AF153" s="170"/>
      <c r="AG153" s="171" t="s">
        <v>254</v>
      </c>
      <c r="AH153" s="170"/>
      <c r="AI153" s="170"/>
      <c r="AJ153" s="170"/>
    </row>
    <row r="154" spans="17:36">
      <c r="Q154" s="162"/>
      <c r="R154" s="154" t="s">
        <v>567</v>
      </c>
      <c r="S154" s="154">
        <v>0.38600000000000001</v>
      </c>
    </row>
    <row r="155" spans="17:36">
      <c r="Q155" s="162"/>
      <c r="R155" s="154" t="s">
        <v>698</v>
      </c>
      <c r="S155" s="154">
        <v>0</v>
      </c>
      <c r="T155" s="154">
        <v>0</v>
      </c>
    </row>
    <row r="156" spans="17:36">
      <c r="Q156" s="162"/>
      <c r="R156" s="154" t="s">
        <v>567</v>
      </c>
      <c r="S156" s="154">
        <v>0.16500000000000001</v>
      </c>
    </row>
    <row r="157" spans="17:36">
      <c r="Q157" s="162"/>
      <c r="R157" s="154" t="s">
        <v>729</v>
      </c>
    </row>
    <row r="158" spans="17:36">
      <c r="Q158" s="162"/>
      <c r="R158" s="154" t="s">
        <v>567</v>
      </c>
      <c r="S158" s="154">
        <v>0.19500000000000001</v>
      </c>
    </row>
    <row r="159" spans="17:36">
      <c r="Q159" s="162"/>
      <c r="R159" s="154" t="s">
        <v>670</v>
      </c>
      <c r="S159" s="154">
        <v>0.3</v>
      </c>
      <c r="T159" s="154">
        <v>-0.65</v>
      </c>
    </row>
    <row r="160" spans="17:36">
      <c r="Q160" s="162"/>
      <c r="R160" s="154" t="s">
        <v>670</v>
      </c>
      <c r="S160" s="154">
        <v>0.3</v>
      </c>
      <c r="T160" s="154">
        <v>-0.65</v>
      </c>
    </row>
    <row r="161" spans="17:20">
      <c r="Q161" s="162"/>
      <c r="R161" s="154" t="s">
        <v>567</v>
      </c>
      <c r="S161" s="154">
        <v>0.1618</v>
      </c>
    </row>
    <row r="162" spans="17:20">
      <c r="Q162" s="162"/>
      <c r="R162" s="154" t="s">
        <v>1125</v>
      </c>
      <c r="S162" s="154">
        <v>0</v>
      </c>
      <c r="T162" s="154">
        <v>0</v>
      </c>
    </row>
    <row r="163" spans="17:20">
      <c r="Q163" s="162"/>
      <c r="R163" s="154" t="s">
        <v>567</v>
      </c>
      <c r="S163" s="154">
        <v>0.24</v>
      </c>
    </row>
    <row r="164" spans="17:20">
      <c r="Q164" s="162"/>
      <c r="R164" s="154" t="s">
        <v>1077</v>
      </c>
      <c r="S164" s="154">
        <v>4.759988869075444E-2</v>
      </c>
      <c r="T164" s="154">
        <v>21.995799999999999</v>
      </c>
    </row>
    <row r="165" spans="17:20">
      <c r="Q165" s="162"/>
      <c r="R165" s="154" t="s">
        <v>760</v>
      </c>
      <c r="S165" s="154">
        <v>4.759988869075444E-2</v>
      </c>
      <c r="T165" s="154">
        <v>22</v>
      </c>
    </row>
    <row r="166" spans="17:20">
      <c r="Q166" s="162"/>
      <c r="R166" s="154" t="s">
        <v>760</v>
      </c>
      <c r="S166" s="154">
        <v>4.759988869075444E-2</v>
      </c>
      <c r="T166" s="154">
        <v>22</v>
      </c>
    </row>
    <row r="167" spans="17:20">
      <c r="Q167" s="162"/>
      <c r="R167" s="154" t="s">
        <v>1077</v>
      </c>
      <c r="S167" s="154">
        <v>4.759988869075444E-2</v>
      </c>
      <c r="T167" s="154">
        <v>21.995799999999999</v>
      </c>
    </row>
    <row r="168" spans="17:20">
      <c r="Q168" s="162"/>
      <c r="R168" s="154" t="s">
        <v>567</v>
      </c>
      <c r="S168" s="154">
        <v>0.38555000000000011</v>
      </c>
    </row>
    <row r="169" spans="17:20">
      <c r="Q169" s="162"/>
      <c r="R169" s="154" t="s">
        <v>698</v>
      </c>
      <c r="S169" s="154">
        <v>0</v>
      </c>
      <c r="T169" s="154">
        <v>0</v>
      </c>
    </row>
    <row r="170" spans="17:20">
      <c r="Q170" s="162"/>
      <c r="R170" s="154" t="s">
        <v>567</v>
      </c>
      <c r="S170" s="154">
        <v>0.16500000000000001</v>
      </c>
    </row>
    <row r="171" spans="17:20">
      <c r="Q171" s="162"/>
      <c r="R171" s="154" t="s">
        <v>729</v>
      </c>
    </row>
    <row r="172" spans="17:20">
      <c r="Q172" s="162"/>
      <c r="R172" s="154" t="s">
        <v>567</v>
      </c>
      <c r="S172" s="154">
        <v>0.19500000000000001</v>
      </c>
    </row>
    <row r="173" spans="17:20">
      <c r="Q173" s="162"/>
      <c r="R173" s="154" t="s">
        <v>670</v>
      </c>
      <c r="S173" s="154">
        <v>0.3</v>
      </c>
      <c r="T173" s="154">
        <v>0.73</v>
      </c>
    </row>
    <row r="174" spans="17:20">
      <c r="Q174" s="162"/>
      <c r="R174" s="154" t="s">
        <v>670</v>
      </c>
      <c r="S174" s="154">
        <v>0.3</v>
      </c>
      <c r="T174" s="154">
        <v>0.73</v>
      </c>
    </row>
    <row r="175" spans="17:20">
      <c r="Q175" s="162"/>
      <c r="R175" s="154" t="s">
        <v>567</v>
      </c>
      <c r="S175" s="154">
        <v>0.1618</v>
      </c>
    </row>
    <row r="176" spans="17:20">
      <c r="Q176" s="162"/>
      <c r="R176" s="154" t="s">
        <v>1125</v>
      </c>
      <c r="S176" s="154">
        <v>0</v>
      </c>
      <c r="T176" s="154">
        <v>0</v>
      </c>
    </row>
    <row r="177" spans="17:20">
      <c r="Q177" s="162"/>
      <c r="R177" s="154" t="s">
        <v>567</v>
      </c>
      <c r="S177" s="154">
        <v>0.24</v>
      </c>
    </row>
    <row r="178" spans="17:20">
      <c r="Q178" s="162"/>
      <c r="R178" s="154" t="s">
        <v>1077</v>
      </c>
      <c r="S178" s="154">
        <v>4.759988869075444E-2</v>
      </c>
      <c r="T178" s="154">
        <v>21.995799999999999</v>
      </c>
    </row>
    <row r="179" spans="17:20">
      <c r="Q179" s="162"/>
      <c r="R179" s="154" t="s">
        <v>760</v>
      </c>
      <c r="S179" s="154">
        <v>4.759988869075444E-2</v>
      </c>
      <c r="T179" s="154">
        <v>21.995799999999999</v>
      </c>
    </row>
    <row r="180" spans="17:20">
      <c r="Q180" s="162"/>
      <c r="R180" s="154" t="s">
        <v>760</v>
      </c>
      <c r="S180" s="154">
        <v>4.759988869075444E-2</v>
      </c>
      <c r="T180" s="154">
        <v>21.995799999999999</v>
      </c>
    </row>
    <row r="181" spans="17:20">
      <c r="Q181" s="162"/>
      <c r="R181" s="154" t="s">
        <v>1077</v>
      </c>
      <c r="S181" s="154">
        <v>4.759988869075444E-2</v>
      </c>
      <c r="T181" s="154">
        <v>21.995799999999999</v>
      </c>
    </row>
    <row r="182" spans="17:20">
      <c r="Q182" s="162"/>
      <c r="R182" s="154" t="s">
        <v>567</v>
      </c>
      <c r="S182" s="154">
        <v>0.38600000000000001</v>
      </c>
    </row>
    <row r="183" spans="17:20">
      <c r="Q183" s="162"/>
      <c r="R183" s="154" t="s">
        <v>698</v>
      </c>
      <c r="S183" s="154">
        <v>0</v>
      </c>
      <c r="T183" s="154">
        <v>0</v>
      </c>
    </row>
    <row r="184" spans="17:20">
      <c r="Q184" s="162"/>
      <c r="R184" s="154" t="s">
        <v>567</v>
      </c>
      <c r="S184" s="154">
        <v>0.16500000000000001</v>
      </c>
    </row>
    <row r="185" spans="17:20">
      <c r="Q185" s="162"/>
      <c r="R185" s="154" t="s">
        <v>729</v>
      </c>
    </row>
    <row r="186" spans="17:20">
      <c r="Q186" s="162"/>
      <c r="R186" s="154" t="s">
        <v>567</v>
      </c>
      <c r="S186" s="154">
        <v>0.19500000000000001</v>
      </c>
    </row>
    <row r="187" spans="17:20">
      <c r="Q187" s="162"/>
      <c r="R187" s="154" t="s">
        <v>670</v>
      </c>
      <c r="S187" s="154">
        <v>0.3</v>
      </c>
      <c r="T187" s="154">
        <v>-0.65</v>
      </c>
    </row>
    <row r="188" spans="17:20">
      <c r="Q188" s="162"/>
      <c r="R188" s="154" t="s">
        <v>670</v>
      </c>
      <c r="S188" s="154">
        <v>0.3</v>
      </c>
      <c r="T188" s="154">
        <v>-0.65</v>
      </c>
    </row>
    <row r="189" spans="17:20">
      <c r="Q189" s="162"/>
      <c r="R189" s="154" t="s">
        <v>567</v>
      </c>
      <c r="S189" s="154">
        <v>0.1618</v>
      </c>
    </row>
    <row r="190" spans="17:20">
      <c r="Q190" s="162"/>
      <c r="R190" s="154" t="s">
        <v>1125</v>
      </c>
      <c r="S190" s="154">
        <v>0</v>
      </c>
      <c r="T190" s="154">
        <v>0</v>
      </c>
    </row>
    <row r="191" spans="17:20">
      <c r="Q191" s="162"/>
      <c r="R191" s="154" t="s">
        <v>567</v>
      </c>
      <c r="S191" s="154">
        <v>0.24</v>
      </c>
    </row>
    <row r="192" spans="17:20">
      <c r="Q192" s="162"/>
      <c r="R192" s="154" t="s">
        <v>1077</v>
      </c>
      <c r="S192" s="154">
        <v>4.759988869075444E-2</v>
      </c>
      <c r="T192" s="154">
        <v>21.995799999999999</v>
      </c>
    </row>
    <row r="193" spans="17:20">
      <c r="Q193" s="162"/>
      <c r="R193" s="154" t="s">
        <v>760</v>
      </c>
      <c r="S193" s="154">
        <v>4.759988869075444E-2</v>
      </c>
      <c r="T193" s="154">
        <v>22</v>
      </c>
    </row>
    <row r="194" spans="17:20">
      <c r="Q194" s="162"/>
      <c r="R194" s="154" t="s">
        <v>760</v>
      </c>
      <c r="S194" s="154">
        <v>4.759988869075444E-2</v>
      </c>
      <c r="T194" s="154">
        <v>22</v>
      </c>
    </row>
    <row r="195" spans="17:20">
      <c r="Q195" s="162"/>
      <c r="R195" s="154" t="s">
        <v>1077</v>
      </c>
      <c r="S195" s="154">
        <v>4.759988869075444E-2</v>
      </c>
      <c r="T195" s="154">
        <v>21.995799999999999</v>
      </c>
    </row>
    <row r="196" spans="17:20">
      <c r="Q196" s="162"/>
      <c r="R196" s="154" t="s">
        <v>567</v>
      </c>
      <c r="S196" s="154">
        <v>0.38555000000000011</v>
      </c>
    </row>
    <row r="197" spans="17:20">
      <c r="Q197" s="162"/>
      <c r="R197" s="154" t="s">
        <v>698</v>
      </c>
      <c r="S197" s="154">
        <v>0</v>
      </c>
      <c r="T197" s="154">
        <v>0</v>
      </c>
    </row>
    <row r="198" spans="17:20">
      <c r="Q198" s="162"/>
      <c r="R198" s="154" t="s">
        <v>567</v>
      </c>
      <c r="S198" s="154">
        <v>0.16500000000000001</v>
      </c>
    </row>
    <row r="199" spans="17:20">
      <c r="Q199" s="162"/>
      <c r="R199" s="154" t="s">
        <v>729</v>
      </c>
    </row>
    <row r="200" spans="17:20">
      <c r="Q200" s="162"/>
      <c r="R200" s="154" t="s">
        <v>567</v>
      </c>
      <c r="S200" s="154">
        <v>0.19500000000000001</v>
      </c>
    </row>
    <row r="201" spans="17:20">
      <c r="Q201" s="162"/>
      <c r="R201" s="154" t="s">
        <v>670</v>
      </c>
      <c r="S201" s="154">
        <v>0.3</v>
      </c>
      <c r="T201" s="154">
        <v>0.73</v>
      </c>
    </row>
    <row r="202" spans="17:20">
      <c r="Q202" s="162"/>
      <c r="R202" s="154" t="s">
        <v>254</v>
      </c>
    </row>
  </sheetData>
  <sheetProtection formatCells="0" formatColumns="0" formatRows="0" insertColumns="0" insertRows="0" insertHyperlinks="0" deleteColumns="0" deleteRows="0"/>
  <phoneticPr fontId="0"/>
  <pageMargins left="0.75" right="0.75" top="1" bottom="1" header="0.5" footer="0.5"/>
  <pageSetup paperSize="0" orientation="portrait" horizontalDpi="4294967292" verticalDpi="4294967292"/>
  <headerFooter alignWithMargins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1">
    <outlinePr summaryBelow="0" summaryRight="0"/>
  </sheetPr>
  <dimension ref="A1:EO76"/>
  <sheetViews>
    <sheetView topLeftCell="E1" workbookViewId="0">
      <selection activeCell="W1" sqref="W1:W65536"/>
    </sheetView>
  </sheetViews>
  <sheetFormatPr defaultColWidth="6.42578125" defaultRowHeight="15" outlineLevelRow="1" outlineLevelCol="1"/>
  <cols>
    <col min="1" max="4" width="6.42578125" style="154" hidden="1" customWidth="1" outlineLevel="1"/>
    <col min="5" max="5" width="11.28515625" style="154" customWidth="1" collapsed="1"/>
    <col min="6" max="10" width="11.28515625" style="471" hidden="1" customWidth="1" outlineLevel="1"/>
    <col min="11" max="11" width="11.28515625" style="472" customWidth="1" collapsed="1"/>
    <col min="12" max="16" width="11.28515625" style="471" hidden="1" customWidth="1" outlineLevel="1"/>
    <col min="17" max="17" width="11.28515625" style="472" customWidth="1" collapsed="1"/>
    <col min="18" max="22" width="11.28515625" style="471" hidden="1" customWidth="1" outlineLevel="1"/>
    <col min="23" max="23" width="11.28515625" style="472" customWidth="1" collapsed="1"/>
    <col min="24" max="28" width="11.28515625" style="471" hidden="1" customWidth="1" outlineLevel="1"/>
    <col min="29" max="30" width="6.42578125" style="154" customWidth="1"/>
    <col min="31" max="31" width="6.42578125" style="154" customWidth="1" collapsed="1"/>
    <col min="32" max="35" width="6.42578125" style="154" customWidth="1"/>
    <col min="36" max="36" width="6.42578125" style="154" customWidth="1" collapsed="1"/>
    <col min="37" max="42" width="6.42578125" style="154" customWidth="1"/>
    <col min="43" max="43" width="6.42578125" style="154" customWidth="1" collapsed="1"/>
    <col min="44" max="48" width="6.42578125" style="154" customWidth="1"/>
    <col min="49" max="49" width="6.42578125" style="154" customWidth="1" collapsed="1"/>
    <col min="50" max="54" width="6.42578125" style="154" customWidth="1"/>
    <col min="55" max="55" width="6.42578125" style="154" customWidth="1" collapsed="1"/>
    <col min="56" max="61" width="6.42578125" style="154" customWidth="1"/>
    <col min="62" max="62" width="6.42578125" style="154" customWidth="1" collapsed="1"/>
    <col min="63" max="68" width="6.42578125" style="154" customWidth="1"/>
    <col min="69" max="69" width="6.42578125" style="154" customWidth="1" collapsed="1"/>
    <col min="70" max="75" width="6.42578125" style="154" customWidth="1"/>
    <col min="76" max="76" width="6.42578125" style="154" customWidth="1" collapsed="1"/>
    <col min="77" max="82" width="6.42578125" style="154" customWidth="1"/>
    <col min="83" max="83" width="6.42578125" style="154" customWidth="1" collapsed="1"/>
    <col min="84" max="89" width="6.42578125" style="154" customWidth="1"/>
    <col min="90" max="90" width="6.42578125" style="154" customWidth="1" collapsed="1"/>
    <col min="91" max="95" width="6.42578125" style="154" customWidth="1"/>
    <col min="96" max="96" width="6.42578125" style="154" customWidth="1" collapsed="1"/>
    <col min="97" max="101" width="6.42578125" style="154" customWidth="1"/>
    <col min="102" max="102" width="6.42578125" style="154" customWidth="1" collapsed="1"/>
    <col min="103" max="108" width="6.42578125" style="154" customWidth="1"/>
    <col min="109" max="109" width="6.42578125" style="154" customWidth="1" collapsed="1"/>
    <col min="110" max="115" width="6.42578125" style="154" customWidth="1"/>
    <col min="116" max="116" width="6.42578125" style="154" customWidth="1" collapsed="1"/>
    <col min="117" max="122" width="6.42578125" style="154" customWidth="1"/>
    <col min="123" max="123" width="6.42578125" style="154" customWidth="1" collapsed="1"/>
    <col min="124" max="128" width="6.42578125" style="154" customWidth="1"/>
    <col min="129" max="129" width="6.42578125" style="154" customWidth="1" collapsed="1"/>
    <col min="130" max="134" width="6.42578125" style="154" customWidth="1"/>
    <col min="135" max="135" width="6.42578125" style="154" customWidth="1" collapsed="1"/>
    <col min="136" max="138" width="6.42578125" style="154" customWidth="1"/>
    <col min="139" max="139" width="6.42578125" style="154" customWidth="1" collapsed="1"/>
    <col min="140" max="140" width="6.42578125" style="154" customWidth="1"/>
    <col min="141" max="141" width="6.42578125" style="154" customWidth="1" collapsed="1"/>
    <col min="142" max="144" width="6.42578125" style="154" customWidth="1"/>
    <col min="145" max="145" width="6.42578125" style="154" customWidth="1" collapsed="1"/>
    <col min="146" max="16384" width="6.42578125" style="154"/>
  </cols>
  <sheetData>
    <row r="1" spans="1:28">
      <c r="A1" s="154" t="s">
        <v>280</v>
      </c>
      <c r="E1" s="156" t="s">
        <v>430</v>
      </c>
      <c r="F1" s="471" t="s">
        <v>280</v>
      </c>
      <c r="K1" s="472" t="s">
        <v>431</v>
      </c>
      <c r="L1" s="471" t="s">
        <v>280</v>
      </c>
      <c r="Q1" s="472" t="s">
        <v>466</v>
      </c>
      <c r="R1" s="471" t="s">
        <v>280</v>
      </c>
      <c r="W1" s="472" t="s">
        <v>1044</v>
      </c>
      <c r="X1" s="471" t="s">
        <v>280</v>
      </c>
    </row>
    <row r="2" spans="1:28">
      <c r="E2" s="162"/>
    </row>
    <row r="3" spans="1:28" outlineLevel="1">
      <c r="A3" s="154" t="s">
        <v>278</v>
      </c>
      <c r="B3" s="154">
        <v>8</v>
      </c>
      <c r="C3" s="158"/>
      <c r="E3" s="162"/>
      <c r="F3" s="471" t="s">
        <v>278</v>
      </c>
      <c r="G3" s="471">
        <v>6.04</v>
      </c>
      <c r="L3" s="471" t="s">
        <v>278</v>
      </c>
      <c r="M3" s="471">
        <v>6.04</v>
      </c>
      <c r="R3" s="471" t="s">
        <v>278</v>
      </c>
      <c r="S3" s="471">
        <v>6.04</v>
      </c>
      <c r="X3" s="471" t="s">
        <v>278</v>
      </c>
      <c r="Y3" s="471">
        <v>6.04</v>
      </c>
    </row>
    <row r="4" spans="1:28" outlineLevel="1">
      <c r="A4" s="154" t="s">
        <v>122</v>
      </c>
      <c r="B4" s="154">
        <v>22</v>
      </c>
      <c r="C4" s="158"/>
      <c r="E4" s="162"/>
      <c r="F4" s="471" t="s">
        <v>122</v>
      </c>
      <c r="G4" s="471">
        <v>16</v>
      </c>
      <c r="L4" s="471" t="s">
        <v>379</v>
      </c>
      <c r="M4" s="471">
        <v>16</v>
      </c>
      <c r="R4" s="471" t="s">
        <v>379</v>
      </c>
      <c r="S4" s="471">
        <v>16</v>
      </c>
      <c r="X4" s="471" t="s">
        <v>379</v>
      </c>
      <c r="Y4" s="471">
        <v>16</v>
      </c>
    </row>
    <row r="5" spans="1:28" outlineLevel="1">
      <c r="A5" s="154" t="s">
        <v>398</v>
      </c>
      <c r="B5" s="154" t="s">
        <v>557</v>
      </c>
      <c r="C5" s="158"/>
      <c r="E5" s="162"/>
      <c r="F5" s="471" t="s">
        <v>398</v>
      </c>
      <c r="G5" s="471" t="s">
        <v>557</v>
      </c>
      <c r="L5" s="471" t="s">
        <v>398</v>
      </c>
      <c r="M5" s="471" t="s">
        <v>557</v>
      </c>
      <c r="R5" s="471" t="s">
        <v>398</v>
      </c>
      <c r="S5" s="471" t="s">
        <v>557</v>
      </c>
      <c r="X5" s="471" t="s">
        <v>398</v>
      </c>
      <c r="Y5" s="471" t="s">
        <v>557</v>
      </c>
    </row>
    <row r="6" spans="1:28" outlineLevel="1">
      <c r="A6" s="154" t="s">
        <v>1047</v>
      </c>
      <c r="B6" s="154">
        <v>0.01</v>
      </c>
      <c r="C6" s="158"/>
      <c r="E6" s="162"/>
      <c r="F6" s="471" t="s">
        <v>1047</v>
      </c>
      <c r="G6" s="471">
        <v>0.01</v>
      </c>
      <c r="L6" s="471" t="s">
        <v>1047</v>
      </c>
      <c r="M6" s="471">
        <v>0.01</v>
      </c>
      <c r="R6" s="471" t="s">
        <v>1047</v>
      </c>
      <c r="S6" s="471">
        <v>0.01</v>
      </c>
      <c r="X6" s="471" t="s">
        <v>1047</v>
      </c>
      <c r="Y6" s="471">
        <v>0.01</v>
      </c>
    </row>
    <row r="7" spans="1:28" outlineLevel="1">
      <c r="A7" s="154" t="s">
        <v>279</v>
      </c>
      <c r="B7" s="154">
        <v>12</v>
      </c>
      <c r="C7" s="158"/>
      <c r="E7" s="162"/>
      <c r="F7" s="471" t="s">
        <v>279</v>
      </c>
      <c r="G7" s="471">
        <v>9</v>
      </c>
      <c r="L7" s="471" t="s">
        <v>279</v>
      </c>
      <c r="M7" s="471">
        <v>9</v>
      </c>
      <c r="R7" s="471" t="s">
        <v>279</v>
      </c>
      <c r="S7" s="471">
        <v>9</v>
      </c>
      <c r="X7" s="471" t="s">
        <v>279</v>
      </c>
      <c r="Y7" s="471">
        <v>9</v>
      </c>
    </row>
    <row r="8" spans="1:28" outlineLevel="1">
      <c r="A8" s="154" t="s">
        <v>580</v>
      </c>
      <c r="B8" s="154">
        <v>2200</v>
      </c>
      <c r="C8" s="158"/>
      <c r="E8" s="162"/>
      <c r="F8" s="471" t="s">
        <v>580</v>
      </c>
      <c r="G8" s="471">
        <v>992</v>
      </c>
      <c r="L8" s="471" t="s">
        <v>580</v>
      </c>
      <c r="M8" s="471">
        <v>992</v>
      </c>
      <c r="R8" s="471" t="s">
        <v>580</v>
      </c>
      <c r="S8" s="471">
        <v>992</v>
      </c>
      <c r="X8" s="471" t="s">
        <v>580</v>
      </c>
      <c r="Y8" s="471">
        <v>992</v>
      </c>
    </row>
    <row r="9" spans="1:28" outlineLevel="1">
      <c r="B9" s="166"/>
      <c r="C9" s="158"/>
      <c r="E9" s="162"/>
      <c r="F9" s="471" t="s">
        <v>1026</v>
      </c>
      <c r="G9" s="471">
        <v>4</v>
      </c>
      <c r="L9" s="471" t="s">
        <v>1026</v>
      </c>
      <c r="M9" s="471">
        <v>4</v>
      </c>
      <c r="R9" s="471" t="s">
        <v>1026</v>
      </c>
      <c r="S9" s="471">
        <v>4</v>
      </c>
      <c r="X9" s="471" t="s">
        <v>1026</v>
      </c>
      <c r="Y9" s="471">
        <v>4</v>
      </c>
    </row>
    <row r="10" spans="1:28">
      <c r="E10" s="162"/>
    </row>
    <row r="11" spans="1:28">
      <c r="E11" s="162"/>
    </row>
    <row r="12" spans="1:28">
      <c r="A12" s="154" t="s">
        <v>567</v>
      </c>
      <c r="B12" s="154">
        <v>3.3250000000000002</v>
      </c>
      <c r="E12" s="162"/>
      <c r="F12" s="471" t="s">
        <v>240</v>
      </c>
      <c r="G12" s="471">
        <v>-0.2</v>
      </c>
      <c r="H12" s="471">
        <v>0.2</v>
      </c>
      <c r="I12" s="471">
        <v>-0.05</v>
      </c>
      <c r="J12" s="471">
        <v>0.05</v>
      </c>
      <c r="L12" s="471" t="s">
        <v>240</v>
      </c>
      <c r="M12" s="471">
        <v>-0.2</v>
      </c>
      <c r="N12" s="471">
        <v>0.2</v>
      </c>
      <c r="O12" s="471">
        <v>-0.05</v>
      </c>
      <c r="P12" s="471">
        <v>0.05</v>
      </c>
      <c r="R12" s="471" t="s">
        <v>240</v>
      </c>
      <c r="S12" s="471">
        <v>-0.2</v>
      </c>
      <c r="T12" s="471">
        <v>0.2</v>
      </c>
      <c r="U12" s="471">
        <v>-0.05</v>
      </c>
      <c r="V12" s="471">
        <v>0.05</v>
      </c>
      <c r="X12" s="471" t="s">
        <v>240</v>
      </c>
      <c r="Y12" s="471">
        <v>-0.2</v>
      </c>
      <c r="Z12" s="471">
        <v>0.2</v>
      </c>
      <c r="AA12" s="471">
        <v>-0.05</v>
      </c>
      <c r="AB12" s="471">
        <v>0.05</v>
      </c>
    </row>
    <row r="13" spans="1:28">
      <c r="A13" s="154" t="s">
        <v>670</v>
      </c>
      <c r="B13" s="154">
        <v>0.35</v>
      </c>
      <c r="C13" s="154">
        <v>-0.42930079999999998</v>
      </c>
      <c r="E13" s="162" t="s">
        <v>567</v>
      </c>
      <c r="F13" s="471" t="s">
        <v>567</v>
      </c>
      <c r="G13" s="471">
        <v>3.0525600000000002</v>
      </c>
      <c r="K13" s="472">
        <v>45</v>
      </c>
      <c r="L13" s="471" t="s">
        <v>567</v>
      </c>
      <c r="M13" s="471">
        <v>3.0526</v>
      </c>
      <c r="Q13" s="472">
        <v>45</v>
      </c>
      <c r="R13" s="471" t="s">
        <v>567</v>
      </c>
      <c r="S13" s="471">
        <v>3.0526</v>
      </c>
      <c r="W13" s="472">
        <v>45</v>
      </c>
      <c r="X13" s="471" t="s">
        <v>567</v>
      </c>
      <c r="Y13" s="471">
        <v>3.0526</v>
      </c>
    </row>
    <row r="14" spans="1:28">
      <c r="A14" s="154" t="s">
        <v>567</v>
      </c>
      <c r="B14" s="154">
        <v>0.35499999999999998</v>
      </c>
      <c r="E14" s="162"/>
      <c r="F14" s="471" t="s">
        <v>729</v>
      </c>
      <c r="K14" s="472" t="s">
        <v>101</v>
      </c>
      <c r="L14" s="471" t="s">
        <v>729</v>
      </c>
      <c r="Q14" s="472" t="s">
        <v>101</v>
      </c>
      <c r="R14" s="471" t="s">
        <v>729</v>
      </c>
      <c r="W14" s="472" t="s">
        <v>101</v>
      </c>
      <c r="X14" s="471" t="s">
        <v>729</v>
      </c>
    </row>
    <row r="15" spans="1:28">
      <c r="A15" s="154" t="s">
        <v>567</v>
      </c>
      <c r="B15" s="154">
        <v>0.15</v>
      </c>
      <c r="E15" s="162"/>
      <c r="F15" s="471" t="s">
        <v>567</v>
      </c>
      <c r="G15" s="471">
        <v>9.7975000000000007E-2</v>
      </c>
      <c r="K15" s="472" t="s">
        <v>102</v>
      </c>
      <c r="L15" s="471" t="s">
        <v>567</v>
      </c>
      <c r="M15" s="471">
        <v>9.7975000000000007E-2</v>
      </c>
      <c r="Q15" s="472" t="s">
        <v>102</v>
      </c>
      <c r="R15" s="471" t="s">
        <v>567</v>
      </c>
      <c r="S15" s="471">
        <v>9.7975000000000007E-2</v>
      </c>
      <c r="W15" s="472" t="s">
        <v>102</v>
      </c>
      <c r="X15" s="471" t="s">
        <v>567</v>
      </c>
      <c r="Y15" s="471">
        <v>9.7975000000000007E-2</v>
      </c>
    </row>
    <row r="16" spans="1:28">
      <c r="A16" s="154" t="s">
        <v>1125</v>
      </c>
      <c r="B16" s="154">
        <v>1.9460625</v>
      </c>
      <c r="E16" s="162" t="s">
        <v>568</v>
      </c>
      <c r="F16" s="471" t="s">
        <v>670</v>
      </c>
      <c r="G16" s="471">
        <v>0.43804999999999999</v>
      </c>
      <c r="H16" s="471">
        <v>-0.114872</v>
      </c>
      <c r="K16" s="472" t="s">
        <v>568</v>
      </c>
      <c r="L16" s="471" t="s">
        <v>670</v>
      </c>
      <c r="M16" s="471">
        <v>0.43804999999999999</v>
      </c>
      <c r="N16" s="471">
        <v>0</v>
      </c>
      <c r="Q16" s="472" t="s">
        <v>568</v>
      </c>
      <c r="R16" s="471" t="s">
        <v>670</v>
      </c>
      <c r="S16" s="471">
        <v>0.43804999999999999</v>
      </c>
      <c r="T16" s="471">
        <v>0</v>
      </c>
      <c r="W16" s="472" t="s">
        <v>568</v>
      </c>
      <c r="X16" s="471" t="s">
        <v>670</v>
      </c>
      <c r="Y16" s="471">
        <v>0.43804999999999999</v>
      </c>
      <c r="Z16" s="471">
        <v>0</v>
      </c>
    </row>
    <row r="17" spans="1:27">
      <c r="A17" s="154" t="s">
        <v>567</v>
      </c>
      <c r="B17" s="154">
        <v>0.15</v>
      </c>
      <c r="E17" s="162"/>
      <c r="F17" s="471" t="s">
        <v>567</v>
      </c>
      <c r="G17" s="471">
        <v>0.33097500000000002</v>
      </c>
      <c r="K17" s="472" t="s">
        <v>103</v>
      </c>
      <c r="L17" s="471" t="s">
        <v>567</v>
      </c>
      <c r="M17" s="471">
        <v>0.33097500000000002</v>
      </c>
      <c r="Q17" s="472" t="s">
        <v>103</v>
      </c>
      <c r="R17" s="471" t="s">
        <v>567</v>
      </c>
      <c r="S17" s="471">
        <v>0.33097500000000002</v>
      </c>
      <c r="W17" s="472" t="s">
        <v>103</v>
      </c>
      <c r="X17" s="471" t="s">
        <v>567</v>
      </c>
      <c r="Y17" s="471">
        <v>0.33097500000000002</v>
      </c>
    </row>
    <row r="18" spans="1:27">
      <c r="A18" s="154" t="s">
        <v>567</v>
      </c>
      <c r="B18" s="154">
        <v>0.35499999999999998</v>
      </c>
      <c r="E18" s="472" t="s">
        <v>367</v>
      </c>
      <c r="F18" s="471" t="s">
        <v>770</v>
      </c>
      <c r="G18" s="471">
        <v>0</v>
      </c>
      <c r="H18" s="471">
        <v>1.0326500000000001</v>
      </c>
      <c r="K18" s="472" t="s">
        <v>367</v>
      </c>
      <c r="L18" s="471" t="s">
        <v>770</v>
      </c>
      <c r="M18" s="471">
        <v>0</v>
      </c>
      <c r="N18" s="471">
        <v>1.1925999999999999</v>
      </c>
      <c r="Q18" s="472" t="s">
        <v>367</v>
      </c>
      <c r="R18" s="471" t="s">
        <v>770</v>
      </c>
      <c r="S18" s="471">
        <v>0</v>
      </c>
      <c r="T18" s="471">
        <v>1.2574189999999998</v>
      </c>
      <c r="W18" s="472" t="s">
        <v>367</v>
      </c>
      <c r="X18" s="471" t="s">
        <v>770</v>
      </c>
      <c r="Y18" s="471">
        <v>0</v>
      </c>
      <c r="Z18" s="471">
        <v>1.2574189999999998</v>
      </c>
    </row>
    <row r="19" spans="1:27">
      <c r="A19" s="154" t="s">
        <v>670</v>
      </c>
      <c r="B19" s="154">
        <v>0.97</v>
      </c>
      <c r="C19" s="154">
        <v>0.45358700000000002</v>
      </c>
      <c r="E19" s="162"/>
      <c r="F19" s="471" t="s">
        <v>567</v>
      </c>
      <c r="G19" s="471">
        <v>0.328295</v>
      </c>
      <c r="K19" s="472" t="s">
        <v>104</v>
      </c>
      <c r="L19" s="471" t="s">
        <v>567</v>
      </c>
      <c r="M19" s="471">
        <v>0.32829499000000001</v>
      </c>
      <c r="Q19" s="472" t="s">
        <v>104</v>
      </c>
      <c r="R19" s="471" t="s">
        <v>567</v>
      </c>
      <c r="S19" s="471">
        <v>0.32829499000000001</v>
      </c>
      <c r="W19" s="472" t="s">
        <v>104</v>
      </c>
      <c r="X19" s="471" t="s">
        <v>567</v>
      </c>
      <c r="Y19" s="471">
        <v>0.32829499000000001</v>
      </c>
    </row>
    <row r="20" spans="1:27">
      <c r="A20" s="154" t="s">
        <v>567</v>
      </c>
      <c r="B20" s="154">
        <v>0.34</v>
      </c>
      <c r="E20" s="162" t="s">
        <v>191</v>
      </c>
      <c r="F20" s="471" t="s">
        <v>670</v>
      </c>
      <c r="G20" s="471">
        <v>0.94340999999999997</v>
      </c>
      <c r="H20" s="471">
        <v>0.450488</v>
      </c>
      <c r="K20" s="472" t="s">
        <v>191</v>
      </c>
      <c r="L20" s="471" t="s">
        <v>670</v>
      </c>
      <c r="M20" s="471">
        <v>0.94340999999999997</v>
      </c>
      <c r="N20" s="471">
        <v>0.37798867000000003</v>
      </c>
      <c r="Q20" s="472" t="s">
        <v>191</v>
      </c>
      <c r="R20" s="471" t="s">
        <v>670</v>
      </c>
      <c r="S20" s="471">
        <v>0.94340999999999997</v>
      </c>
      <c r="T20" s="471">
        <v>0.39104849000000003</v>
      </c>
      <c r="W20" s="472" t="s">
        <v>191</v>
      </c>
      <c r="X20" s="471" t="s">
        <v>670</v>
      </c>
      <c r="Y20" s="471">
        <v>0.94340999999999997</v>
      </c>
      <c r="Z20" s="471">
        <v>0.39100748841534999</v>
      </c>
    </row>
    <row r="21" spans="1:27">
      <c r="A21" s="154" t="s">
        <v>567</v>
      </c>
      <c r="B21" s="154">
        <v>0.15</v>
      </c>
      <c r="E21" s="162"/>
      <c r="F21" s="471" t="s">
        <v>567</v>
      </c>
      <c r="G21" s="471">
        <v>9.5295000000000005E-2</v>
      </c>
      <c r="K21" s="472" t="s">
        <v>391</v>
      </c>
      <c r="L21" s="471" t="s">
        <v>567</v>
      </c>
      <c r="M21" s="471">
        <v>9.5294997000000006E-2</v>
      </c>
      <c r="Q21" s="472" t="s">
        <v>391</v>
      </c>
      <c r="R21" s="471" t="s">
        <v>567</v>
      </c>
      <c r="S21" s="471">
        <v>9.5295000000000005E-2</v>
      </c>
      <c r="W21" s="472" t="s">
        <v>391</v>
      </c>
      <c r="X21" s="471" t="s">
        <v>567</v>
      </c>
      <c r="Y21" s="471">
        <v>9.5295000000000005E-2</v>
      </c>
    </row>
    <row r="22" spans="1:27">
      <c r="A22" s="154" t="s">
        <v>1125</v>
      </c>
      <c r="B22" s="154">
        <v>-1.6517110500000001</v>
      </c>
      <c r="E22" s="162"/>
      <c r="F22" s="471" t="s">
        <v>729</v>
      </c>
      <c r="K22" s="472" t="s">
        <v>101</v>
      </c>
      <c r="L22" s="471" t="s">
        <v>729</v>
      </c>
      <c r="Q22" s="472" t="s">
        <v>101</v>
      </c>
      <c r="R22" s="471" t="s">
        <v>729</v>
      </c>
      <c r="W22" s="472" t="s">
        <v>101</v>
      </c>
      <c r="X22" s="471" t="s">
        <v>729</v>
      </c>
    </row>
    <row r="23" spans="1:27">
      <c r="A23" s="154" t="s">
        <v>567</v>
      </c>
      <c r="B23" s="154">
        <v>0.15</v>
      </c>
      <c r="E23" s="162"/>
      <c r="F23" s="471" t="s">
        <v>567</v>
      </c>
      <c r="G23" s="471">
        <v>0.28299999999999997</v>
      </c>
      <c r="K23" s="472">
        <v>47</v>
      </c>
      <c r="L23" s="471" t="s">
        <v>567</v>
      </c>
      <c r="M23" s="471">
        <v>0.28299998999999998</v>
      </c>
      <c r="Q23" s="472">
        <v>47</v>
      </c>
      <c r="R23" s="471" t="s">
        <v>567</v>
      </c>
      <c r="S23" s="471">
        <v>0.28299998999999998</v>
      </c>
      <c r="W23" s="472">
        <v>47</v>
      </c>
      <c r="X23" s="471" t="s">
        <v>567</v>
      </c>
      <c r="Y23" s="471">
        <v>0.28299998999999998</v>
      </c>
    </row>
    <row r="24" spans="1:27">
      <c r="A24" s="154" t="s">
        <v>567</v>
      </c>
      <c r="B24" s="154">
        <v>0.34</v>
      </c>
      <c r="E24" s="472" t="s">
        <v>493</v>
      </c>
      <c r="F24" s="471" t="s">
        <v>770</v>
      </c>
      <c r="G24" s="471">
        <v>0</v>
      </c>
      <c r="H24" s="471">
        <v>-1.1666300000000001</v>
      </c>
      <c r="K24" s="472" t="s">
        <v>493</v>
      </c>
      <c r="L24" s="471" t="s">
        <v>770</v>
      </c>
      <c r="M24" s="471">
        <v>0</v>
      </c>
      <c r="N24" s="471">
        <v>-1.51129</v>
      </c>
      <c r="Q24" s="472" t="s">
        <v>493</v>
      </c>
      <c r="R24" s="471" t="s">
        <v>770</v>
      </c>
      <c r="S24" s="471">
        <v>0</v>
      </c>
      <c r="T24" s="471">
        <v>-1.578319</v>
      </c>
      <c r="W24" s="472" t="s">
        <v>493</v>
      </c>
      <c r="X24" s="471" t="s">
        <v>770</v>
      </c>
      <c r="Y24" s="471">
        <v>0</v>
      </c>
      <c r="Z24" s="471">
        <v>-1.578319</v>
      </c>
    </row>
    <row r="25" spans="1:27">
      <c r="A25" s="154" t="s">
        <v>670</v>
      </c>
      <c r="B25" s="154">
        <v>0.51</v>
      </c>
      <c r="C25" s="154">
        <v>-0.473576</v>
      </c>
      <c r="E25" s="162"/>
      <c r="F25" s="471" t="s">
        <v>567</v>
      </c>
      <c r="G25" s="471">
        <v>0.33316499999999999</v>
      </c>
      <c r="K25" s="472" t="s">
        <v>798</v>
      </c>
      <c r="L25" s="471" t="s">
        <v>567</v>
      </c>
      <c r="M25" s="471">
        <v>0.33316498999999999</v>
      </c>
      <c r="Q25" s="472" t="s">
        <v>798</v>
      </c>
      <c r="R25" s="471" t="s">
        <v>567</v>
      </c>
      <c r="S25" s="471">
        <v>0.33316498999999999</v>
      </c>
      <c r="W25" s="472" t="s">
        <v>798</v>
      </c>
      <c r="X25" s="471" t="s">
        <v>567</v>
      </c>
      <c r="Y25" s="471">
        <v>0.33316498999999999</v>
      </c>
    </row>
    <row r="26" spans="1:27">
      <c r="A26" s="154" t="s">
        <v>567</v>
      </c>
      <c r="B26" s="154">
        <v>1.1245000000000001</v>
      </c>
      <c r="E26" s="162" t="s">
        <v>157</v>
      </c>
      <c r="F26" s="471" t="s">
        <v>670</v>
      </c>
      <c r="G26" s="471">
        <v>0.53366999999999998</v>
      </c>
      <c r="H26" s="471">
        <v>-0.61749799999999999</v>
      </c>
      <c r="K26" s="472" t="s">
        <v>157</v>
      </c>
      <c r="L26" s="471" t="s">
        <v>670</v>
      </c>
      <c r="M26" s="471">
        <v>0.53366999999999998</v>
      </c>
      <c r="N26" s="471">
        <v>-0.51637732999999997</v>
      </c>
      <c r="Q26" s="472" t="s">
        <v>157</v>
      </c>
      <c r="R26" s="471" t="s">
        <v>670</v>
      </c>
      <c r="S26" s="471">
        <v>0.53366999999999998</v>
      </c>
      <c r="T26" s="471">
        <v>-0.60540360000000004</v>
      </c>
      <c r="W26" s="472" t="s">
        <v>157</v>
      </c>
      <c r="X26" s="471" t="s">
        <v>670</v>
      </c>
      <c r="Y26" s="471">
        <v>0.53366999999999998</v>
      </c>
      <c r="Z26" s="471">
        <v>-0.603553432914813</v>
      </c>
    </row>
    <row r="27" spans="1:27">
      <c r="A27" s="154" t="s">
        <v>1077</v>
      </c>
      <c r="B27" s="154">
        <v>3.5699916518065831E-2</v>
      </c>
      <c r="C27" s="154">
        <v>39.271800517811357</v>
      </c>
      <c r="E27" s="162"/>
      <c r="F27" s="471" t="s">
        <v>567</v>
      </c>
      <c r="G27" s="471">
        <v>1.05542</v>
      </c>
      <c r="K27" s="472" t="s">
        <v>309</v>
      </c>
      <c r="L27" s="471" t="s">
        <v>567</v>
      </c>
      <c r="M27" s="471">
        <v>1.05542</v>
      </c>
      <c r="Q27" s="472" t="s">
        <v>309</v>
      </c>
      <c r="R27" s="471" t="s">
        <v>567</v>
      </c>
      <c r="S27" s="471">
        <v>1.05542</v>
      </c>
      <c r="W27" s="472" t="s">
        <v>309</v>
      </c>
      <c r="X27" s="471" t="s">
        <v>567</v>
      </c>
      <c r="Y27" s="471">
        <v>1.05542</v>
      </c>
    </row>
    <row r="28" spans="1:27">
      <c r="A28" s="154" t="s">
        <v>760</v>
      </c>
      <c r="B28" s="154">
        <v>3.5699916518065831E-2</v>
      </c>
      <c r="C28" s="154">
        <v>39.271800517811357</v>
      </c>
      <c r="E28" s="472">
        <v>10</v>
      </c>
      <c r="F28" s="471" t="s">
        <v>1077</v>
      </c>
      <c r="G28" s="471">
        <v>4.9087401000000003E-2</v>
      </c>
      <c r="H28" s="471">
        <v>23.366299999999999</v>
      </c>
      <c r="K28" s="472">
        <v>10</v>
      </c>
      <c r="L28" s="471" t="s">
        <v>1077</v>
      </c>
      <c r="M28" s="471">
        <v>4.9087401000000003E-2</v>
      </c>
      <c r="N28" s="471">
        <v>23.366299999999999</v>
      </c>
      <c r="Q28" s="472">
        <v>10</v>
      </c>
      <c r="R28" s="471" t="s">
        <v>1077</v>
      </c>
      <c r="S28" s="471">
        <v>4.9087401000000003E-2</v>
      </c>
      <c r="T28" s="471">
        <v>23.366301</v>
      </c>
      <c r="W28" s="472">
        <v>10</v>
      </c>
      <c r="X28" s="471" t="s">
        <v>1077</v>
      </c>
      <c r="Y28" s="471">
        <v>4.9087401000000003E-2</v>
      </c>
      <c r="Z28" s="471">
        <v>23.366301</v>
      </c>
    </row>
    <row r="29" spans="1:27">
      <c r="A29" s="154" t="s">
        <v>760</v>
      </c>
      <c r="B29" s="154">
        <v>3.5699916518065831E-2</v>
      </c>
      <c r="C29" s="154">
        <v>39.271800517811357</v>
      </c>
      <c r="E29" s="472">
        <v>11</v>
      </c>
      <c r="F29" s="471" t="s">
        <v>1132</v>
      </c>
      <c r="G29" s="471">
        <v>9.2324800999999998E-2</v>
      </c>
      <c r="H29" s="471">
        <v>23.366299999999999</v>
      </c>
      <c r="I29" s="471">
        <v>0</v>
      </c>
      <c r="K29" s="472">
        <v>11</v>
      </c>
      <c r="L29" s="471" t="s">
        <v>1132</v>
      </c>
      <c r="M29" s="471">
        <v>9.2324800999999998E-2</v>
      </c>
      <c r="N29" s="471">
        <v>23.366299999999999</v>
      </c>
      <c r="O29" s="471">
        <v>0</v>
      </c>
      <c r="Q29" s="472">
        <v>11</v>
      </c>
      <c r="R29" s="471" t="s">
        <v>1132</v>
      </c>
      <c r="S29" s="471">
        <v>9.2324800999999998E-2</v>
      </c>
      <c r="T29" s="471">
        <v>23.366301</v>
      </c>
      <c r="U29" s="471">
        <v>0</v>
      </c>
      <c r="W29" s="472">
        <v>11</v>
      </c>
      <c r="X29" s="471" t="s">
        <v>1132</v>
      </c>
      <c r="Y29" s="471">
        <v>9.2324800999999998E-2</v>
      </c>
      <c r="Z29" s="471">
        <v>23.366301</v>
      </c>
      <c r="AA29" s="471">
        <v>0</v>
      </c>
    </row>
    <row r="30" spans="1:27">
      <c r="A30" s="154" t="s">
        <v>1077</v>
      </c>
      <c r="B30" s="154">
        <v>3.5699916518065831E-2</v>
      </c>
      <c r="C30" s="154">
        <v>39.271800517811357</v>
      </c>
      <c r="E30" s="472">
        <v>12</v>
      </c>
      <c r="F30" s="471" t="s">
        <v>1077</v>
      </c>
      <c r="G30" s="471">
        <v>4.3237399000000003E-2</v>
      </c>
      <c r="H30" s="471">
        <v>23.366299999999999</v>
      </c>
      <c r="K30" s="472">
        <v>12</v>
      </c>
      <c r="L30" s="471" t="s">
        <v>1077</v>
      </c>
      <c r="M30" s="471">
        <v>4.3237399000000003E-2</v>
      </c>
      <c r="N30" s="471">
        <v>23.366299999999999</v>
      </c>
      <c r="Q30" s="472">
        <v>12</v>
      </c>
      <c r="R30" s="471" t="s">
        <v>1077</v>
      </c>
      <c r="S30" s="471">
        <v>4.3237399000000003E-2</v>
      </c>
      <c r="T30" s="471">
        <v>23.366301</v>
      </c>
      <c r="W30" s="472">
        <v>12</v>
      </c>
      <c r="X30" s="471" t="s">
        <v>1077</v>
      </c>
      <c r="Y30" s="471">
        <v>4.3237399000000003E-2</v>
      </c>
      <c r="Z30" s="471">
        <v>23.366301</v>
      </c>
    </row>
    <row r="31" spans="1:27">
      <c r="A31" s="154" t="s">
        <v>567</v>
      </c>
      <c r="B31" s="154">
        <v>1.4145000000000001</v>
      </c>
      <c r="E31" s="472">
        <v>13</v>
      </c>
      <c r="F31" s="471" t="s">
        <v>1077</v>
      </c>
      <c r="G31" s="471">
        <v>-4.3237399000000003E-2</v>
      </c>
      <c r="H31" s="471">
        <v>50.036000000000001</v>
      </c>
      <c r="K31" s="472">
        <v>13</v>
      </c>
      <c r="L31" s="471" t="s">
        <v>1077</v>
      </c>
      <c r="M31" s="471">
        <v>-4.3237399000000003E-2</v>
      </c>
      <c r="N31" s="471">
        <v>50.036000000000001</v>
      </c>
      <c r="Q31" s="472">
        <v>13</v>
      </c>
      <c r="R31" s="471" t="s">
        <v>1077</v>
      </c>
      <c r="S31" s="471">
        <v>-4.3237399000000003E-2</v>
      </c>
      <c r="T31" s="471">
        <v>50.035998999999997</v>
      </c>
      <c r="W31" s="472">
        <v>13</v>
      </c>
      <c r="X31" s="471" t="s">
        <v>1077</v>
      </c>
      <c r="Y31" s="471">
        <v>-4.3237399000000003E-2</v>
      </c>
      <c r="Z31" s="471">
        <v>50.035998999999997</v>
      </c>
    </row>
    <row r="32" spans="1:27">
      <c r="A32" s="154" t="s">
        <v>670</v>
      </c>
      <c r="B32" s="154">
        <v>0.41</v>
      </c>
      <c r="C32" s="154">
        <v>-0.56893269999999996</v>
      </c>
      <c r="E32" s="472">
        <v>14</v>
      </c>
      <c r="F32" s="471" t="s">
        <v>1132</v>
      </c>
      <c r="G32" s="471">
        <v>5.8499998000000001E-3</v>
      </c>
      <c r="H32" s="471">
        <v>50.036000000000001</v>
      </c>
      <c r="I32" s="471">
        <v>0</v>
      </c>
      <c r="K32" s="472">
        <v>14</v>
      </c>
      <c r="L32" s="471" t="s">
        <v>1132</v>
      </c>
      <c r="M32" s="471">
        <v>5.8499998000000001E-3</v>
      </c>
      <c r="N32" s="471">
        <v>50.036000000000001</v>
      </c>
      <c r="O32" s="471">
        <v>0</v>
      </c>
      <c r="Q32" s="472">
        <v>14</v>
      </c>
      <c r="R32" s="471" t="s">
        <v>1132</v>
      </c>
      <c r="S32" s="471">
        <v>5.8499998000000001E-3</v>
      </c>
      <c r="T32" s="471">
        <v>50.035998999999997</v>
      </c>
      <c r="U32" s="471">
        <v>0</v>
      </c>
      <c r="W32" s="472">
        <v>14</v>
      </c>
      <c r="X32" s="471" t="s">
        <v>1132</v>
      </c>
      <c r="Y32" s="471">
        <v>5.8499998000000001E-3</v>
      </c>
      <c r="Z32" s="471">
        <v>50.035998999999997</v>
      </c>
      <c r="AA32" s="471">
        <v>0</v>
      </c>
    </row>
    <row r="33" spans="1:26">
      <c r="A33" s="154" t="s">
        <v>567</v>
      </c>
      <c r="B33" s="154">
        <v>0.34689999999999999</v>
      </c>
      <c r="E33" s="472">
        <v>15</v>
      </c>
      <c r="F33" s="471" t="s">
        <v>1077</v>
      </c>
      <c r="G33" s="471">
        <v>4.9087401000000003E-2</v>
      </c>
      <c r="H33" s="471">
        <v>50.036000000000001</v>
      </c>
      <c r="K33" s="472">
        <v>15</v>
      </c>
      <c r="L33" s="471" t="s">
        <v>1077</v>
      </c>
      <c r="M33" s="471">
        <v>4.9087401000000003E-2</v>
      </c>
      <c r="N33" s="471">
        <v>50.036000000000001</v>
      </c>
      <c r="Q33" s="472">
        <v>15</v>
      </c>
      <c r="R33" s="471" t="s">
        <v>1077</v>
      </c>
      <c r="S33" s="471">
        <v>4.9087401000000003E-2</v>
      </c>
      <c r="T33" s="471">
        <v>50.035998999999997</v>
      </c>
      <c r="W33" s="472">
        <v>15</v>
      </c>
      <c r="X33" s="471" t="s">
        <v>1077</v>
      </c>
      <c r="Y33" s="471">
        <v>4.9087401000000003E-2</v>
      </c>
      <c r="Z33" s="471">
        <v>50.035998999999997</v>
      </c>
    </row>
    <row r="34" spans="1:26">
      <c r="A34" s="154" t="s">
        <v>567</v>
      </c>
      <c r="B34" s="154">
        <v>0.15</v>
      </c>
      <c r="E34" s="162"/>
      <c r="F34" s="471" t="s">
        <v>567</v>
      </c>
      <c r="G34" s="471">
        <v>0.95474999999999999</v>
      </c>
      <c r="K34" s="472">
        <v>23</v>
      </c>
      <c r="L34" s="471" t="s">
        <v>567</v>
      </c>
      <c r="M34" s="471">
        <v>0.95474999999999999</v>
      </c>
      <c r="Q34" s="472">
        <v>23</v>
      </c>
      <c r="R34" s="471" t="s">
        <v>567</v>
      </c>
      <c r="S34" s="471">
        <v>0.95474999999999999</v>
      </c>
      <c r="W34" s="472">
        <v>23</v>
      </c>
      <c r="X34" s="471" t="s">
        <v>567</v>
      </c>
      <c r="Y34" s="471">
        <v>0.95474999999999999</v>
      </c>
    </row>
    <row r="35" spans="1:26">
      <c r="A35" s="154" t="s">
        <v>1125</v>
      </c>
      <c r="B35" s="154">
        <v>-2.2690169</v>
      </c>
      <c r="E35" s="162"/>
      <c r="F35" s="471" t="s">
        <v>729</v>
      </c>
      <c r="K35" s="472" t="s">
        <v>101</v>
      </c>
      <c r="L35" s="471" t="s">
        <v>729</v>
      </c>
      <c r="Q35" s="472" t="s">
        <v>101</v>
      </c>
      <c r="R35" s="471" t="s">
        <v>729</v>
      </c>
      <c r="W35" s="472" t="s">
        <v>101</v>
      </c>
      <c r="X35" s="471" t="s">
        <v>729</v>
      </c>
    </row>
    <row r="36" spans="1:26">
      <c r="A36" s="154" t="s">
        <v>567</v>
      </c>
      <c r="B36" s="154">
        <v>0.15</v>
      </c>
      <c r="E36" s="162"/>
      <c r="F36" s="471" t="s">
        <v>567</v>
      </c>
      <c r="G36" s="471">
        <v>0.105945</v>
      </c>
      <c r="K36" s="472" t="s">
        <v>310</v>
      </c>
      <c r="L36" s="471" t="s">
        <v>567</v>
      </c>
      <c r="M36" s="471">
        <v>0.105945</v>
      </c>
      <c r="Q36" s="472" t="s">
        <v>310</v>
      </c>
      <c r="R36" s="471" t="s">
        <v>567</v>
      </c>
      <c r="S36" s="471">
        <v>0.105945</v>
      </c>
      <c r="W36" s="472" t="s">
        <v>310</v>
      </c>
      <c r="X36" s="471" t="s">
        <v>567</v>
      </c>
      <c r="Y36" s="471">
        <v>0.105945</v>
      </c>
    </row>
    <row r="37" spans="1:26">
      <c r="A37" s="154" t="s">
        <v>567</v>
      </c>
      <c r="B37" s="154">
        <v>0.3468</v>
      </c>
      <c r="E37" s="162" t="s">
        <v>507</v>
      </c>
      <c r="F37" s="471" t="s">
        <v>670</v>
      </c>
      <c r="G37" s="471">
        <v>0.42210999999999999</v>
      </c>
      <c r="H37" s="471">
        <v>-0.66051000000000004</v>
      </c>
      <c r="K37" s="472" t="s">
        <v>507</v>
      </c>
      <c r="L37" s="471" t="s">
        <v>670</v>
      </c>
      <c r="M37" s="471">
        <v>0.42210999999999999</v>
      </c>
      <c r="N37" s="471">
        <v>-0.69608504000000004</v>
      </c>
      <c r="Q37" s="472" t="s">
        <v>507</v>
      </c>
      <c r="R37" s="471" t="s">
        <v>670</v>
      </c>
      <c r="S37" s="471">
        <v>0.42210999999999999</v>
      </c>
      <c r="T37" s="471">
        <v>-0.59900147000000004</v>
      </c>
      <c r="W37" s="472" t="s">
        <v>507</v>
      </c>
      <c r="X37" s="471" t="s">
        <v>670</v>
      </c>
      <c r="Y37" s="471">
        <v>0.42210999999999999</v>
      </c>
      <c r="Z37" s="471">
        <v>-0.60152556163972903</v>
      </c>
    </row>
    <row r="38" spans="1:26">
      <c r="A38" s="154" t="s">
        <v>670</v>
      </c>
      <c r="B38" s="154">
        <v>0.51</v>
      </c>
      <c r="C38" s="154">
        <v>0.62670983000000002</v>
      </c>
      <c r="E38" s="162"/>
      <c r="F38" s="471" t="s">
        <v>567</v>
      </c>
      <c r="G38" s="471">
        <v>0.338945</v>
      </c>
      <c r="K38" s="472" t="s">
        <v>311</v>
      </c>
      <c r="L38" s="471" t="s">
        <v>567</v>
      </c>
      <c r="M38" s="471">
        <v>0.338945</v>
      </c>
      <c r="Q38" s="472" t="s">
        <v>311</v>
      </c>
      <c r="R38" s="471" t="s">
        <v>567</v>
      </c>
      <c r="S38" s="471">
        <v>0.338945</v>
      </c>
      <c r="W38" s="472" t="s">
        <v>311</v>
      </c>
      <c r="X38" s="471" t="s">
        <v>567</v>
      </c>
      <c r="Y38" s="471">
        <v>0.338945</v>
      </c>
    </row>
    <row r="39" spans="1:26">
      <c r="A39" s="154" t="s">
        <v>567</v>
      </c>
      <c r="B39" s="154">
        <v>0.30609999999999998</v>
      </c>
      <c r="E39" s="472" t="s">
        <v>264</v>
      </c>
      <c r="F39" s="471" t="s">
        <v>770</v>
      </c>
      <c r="G39" s="471">
        <v>0</v>
      </c>
      <c r="H39" s="471">
        <v>-2.5099100000000001</v>
      </c>
      <c r="K39" s="472" t="s">
        <v>264</v>
      </c>
      <c r="L39" s="471" t="s">
        <v>770</v>
      </c>
      <c r="M39" s="471">
        <v>0</v>
      </c>
      <c r="N39" s="471">
        <v>-2.5022599999999997</v>
      </c>
      <c r="Q39" s="472" t="s">
        <v>264</v>
      </c>
      <c r="R39" s="471" t="s">
        <v>770</v>
      </c>
      <c r="S39" s="471">
        <v>0</v>
      </c>
      <c r="T39" s="471">
        <v>-2.8546719447336231</v>
      </c>
      <c r="W39" s="472" t="s">
        <v>264</v>
      </c>
      <c r="X39" s="471" t="s">
        <v>770</v>
      </c>
      <c r="Y39" s="471">
        <v>0</v>
      </c>
      <c r="Z39" s="471">
        <v>-2.8546719447336231</v>
      </c>
    </row>
    <row r="40" spans="1:26">
      <c r="A40" s="154" t="s">
        <v>567</v>
      </c>
      <c r="B40" s="154">
        <v>0.25</v>
      </c>
      <c r="E40" s="162"/>
      <c r="F40" s="471" t="s">
        <v>567</v>
      </c>
      <c r="G40" s="471">
        <v>0.42019000000000001</v>
      </c>
      <c r="K40" s="472" t="s">
        <v>312</v>
      </c>
      <c r="L40" s="471" t="s">
        <v>567</v>
      </c>
      <c r="M40" s="471">
        <v>0.42019001</v>
      </c>
      <c r="Q40" s="472" t="s">
        <v>312</v>
      </c>
      <c r="R40" s="471" t="s">
        <v>567</v>
      </c>
      <c r="S40" s="471">
        <v>0.42019001</v>
      </c>
      <c r="W40" s="472" t="s">
        <v>312</v>
      </c>
      <c r="X40" s="471" t="s">
        <v>567</v>
      </c>
      <c r="Y40" s="471">
        <v>0.42019001</v>
      </c>
    </row>
    <row r="41" spans="1:26">
      <c r="A41" s="154" t="s">
        <v>1125</v>
      </c>
      <c r="B41" s="154">
        <v>3.8650592000000001</v>
      </c>
      <c r="E41" s="162" t="s">
        <v>578</v>
      </c>
      <c r="F41" s="471" t="s">
        <v>670</v>
      </c>
      <c r="G41" s="471">
        <v>0.51961999999999997</v>
      </c>
      <c r="H41" s="471">
        <v>0.74956100000000003</v>
      </c>
      <c r="K41" s="472" t="s">
        <v>578</v>
      </c>
      <c r="L41" s="471" t="s">
        <v>670</v>
      </c>
      <c r="M41" s="471">
        <v>0.51961999999999997</v>
      </c>
      <c r="N41" s="471">
        <v>0.76387066000000003</v>
      </c>
      <c r="Q41" s="472" t="s">
        <v>578</v>
      </c>
      <c r="R41" s="471" t="s">
        <v>670</v>
      </c>
      <c r="S41" s="471">
        <v>0.51961999999999997</v>
      </c>
      <c r="T41" s="471">
        <v>0.73552507</v>
      </c>
      <c r="W41" s="472" t="s">
        <v>578</v>
      </c>
      <c r="X41" s="471" t="s">
        <v>670</v>
      </c>
      <c r="Y41" s="471">
        <v>0.51961999999999997</v>
      </c>
      <c r="Z41" s="471">
        <v>0.73458675277149998</v>
      </c>
    </row>
    <row r="42" spans="1:26">
      <c r="A42" s="154" t="s">
        <v>567</v>
      </c>
      <c r="B42" s="154">
        <v>0.25</v>
      </c>
      <c r="E42" s="162"/>
      <c r="F42" s="471" t="s">
        <v>567</v>
      </c>
      <c r="G42" s="471">
        <v>0.10718999999999999</v>
      </c>
      <c r="K42" s="472" t="s">
        <v>313</v>
      </c>
      <c r="L42" s="471" t="s">
        <v>567</v>
      </c>
      <c r="M42" s="471">
        <v>0.10718999999999999</v>
      </c>
      <c r="Q42" s="472" t="s">
        <v>313</v>
      </c>
      <c r="R42" s="471" t="s">
        <v>567</v>
      </c>
      <c r="S42" s="471">
        <v>0.10718999999999999</v>
      </c>
      <c r="W42" s="472" t="s">
        <v>313</v>
      </c>
      <c r="X42" s="471" t="s">
        <v>567</v>
      </c>
      <c r="Y42" s="471">
        <v>0.10718999999999999</v>
      </c>
    </row>
    <row r="43" spans="1:26">
      <c r="A43" s="154" t="s">
        <v>567</v>
      </c>
      <c r="B43" s="154">
        <v>0.30609999999999998</v>
      </c>
      <c r="E43" s="162"/>
      <c r="F43" s="471" t="s">
        <v>729</v>
      </c>
      <c r="K43" s="472" t="s">
        <v>101</v>
      </c>
      <c r="L43" s="471" t="s">
        <v>729</v>
      </c>
      <c r="Q43" s="472" t="s">
        <v>101</v>
      </c>
      <c r="R43" s="471" t="s">
        <v>729</v>
      </c>
      <c r="W43" s="472" t="s">
        <v>101</v>
      </c>
      <c r="X43" s="471" t="s">
        <v>729</v>
      </c>
    </row>
    <row r="44" spans="1:26">
      <c r="A44" s="154" t="s">
        <v>670</v>
      </c>
      <c r="B44" s="154">
        <v>0.51</v>
      </c>
      <c r="C44" s="154">
        <v>0.62670983000000002</v>
      </c>
      <c r="E44" s="162"/>
      <c r="F44" s="471" t="s">
        <v>567</v>
      </c>
      <c r="G44" s="471">
        <v>0.38300000000000001</v>
      </c>
      <c r="K44" s="472">
        <v>3</v>
      </c>
      <c r="L44" s="471" t="s">
        <v>567</v>
      </c>
      <c r="M44" s="471">
        <v>0.38299999000000001</v>
      </c>
      <c r="Q44" s="472">
        <v>3</v>
      </c>
      <c r="R44" s="471" t="s">
        <v>567</v>
      </c>
      <c r="S44" s="471">
        <v>0.38299999000000001</v>
      </c>
      <c r="W44" s="472">
        <v>3</v>
      </c>
      <c r="X44" s="471" t="s">
        <v>567</v>
      </c>
      <c r="Y44" s="471">
        <v>0.38299999000000001</v>
      </c>
    </row>
    <row r="45" spans="1:26">
      <c r="A45" s="154" t="s">
        <v>567</v>
      </c>
      <c r="B45" s="154">
        <v>0.3468</v>
      </c>
      <c r="E45" s="472" t="s">
        <v>758</v>
      </c>
      <c r="F45" s="471" t="s">
        <v>770</v>
      </c>
      <c r="G45" s="471">
        <v>0</v>
      </c>
      <c r="H45" s="471">
        <v>4.2526700000000002</v>
      </c>
      <c r="K45" s="472" t="s">
        <v>758</v>
      </c>
      <c r="L45" s="471" t="s">
        <v>770</v>
      </c>
      <c r="M45" s="471">
        <v>0</v>
      </c>
      <c r="N45" s="471">
        <v>4.4447299999999998</v>
      </c>
      <c r="Q45" s="472" t="s">
        <v>758</v>
      </c>
      <c r="R45" s="471" t="s">
        <v>770</v>
      </c>
      <c r="S45" s="471">
        <v>0</v>
      </c>
      <c r="T45" s="471">
        <v>4.8515423497104901</v>
      </c>
      <c r="W45" s="472" t="s">
        <v>758</v>
      </c>
      <c r="X45" s="471" t="s">
        <v>770</v>
      </c>
      <c r="Y45" s="471">
        <v>0</v>
      </c>
      <c r="Z45" s="471">
        <v>4.8515423497104901</v>
      </c>
    </row>
    <row r="46" spans="1:26">
      <c r="A46" s="154" t="s">
        <v>567</v>
      </c>
      <c r="B46" s="154">
        <v>0.15</v>
      </c>
      <c r="E46" s="162"/>
      <c r="F46" s="471" t="s">
        <v>567</v>
      </c>
      <c r="G46" s="471">
        <v>0.49019000000000001</v>
      </c>
      <c r="K46" s="472" t="s">
        <v>13</v>
      </c>
      <c r="L46" s="471" t="s">
        <v>567</v>
      </c>
      <c r="M46" s="471">
        <v>0.49019000000000001</v>
      </c>
      <c r="Q46" s="472" t="s">
        <v>13</v>
      </c>
      <c r="R46" s="471" t="s">
        <v>567</v>
      </c>
      <c r="S46" s="471">
        <v>0.49019000000000001</v>
      </c>
      <c r="W46" s="472" t="s">
        <v>13</v>
      </c>
      <c r="X46" s="471" t="s">
        <v>567</v>
      </c>
      <c r="Y46" s="471">
        <v>0.49019000000000001</v>
      </c>
    </row>
    <row r="47" spans="1:26">
      <c r="A47" s="154" t="s">
        <v>1125</v>
      </c>
      <c r="B47" s="154">
        <v>-2.2690169</v>
      </c>
      <c r="E47" s="162" t="s">
        <v>578</v>
      </c>
      <c r="F47" s="471" t="s">
        <v>670</v>
      </c>
      <c r="G47" s="471">
        <f>G41</f>
        <v>0.51961999999999997</v>
      </c>
      <c r="H47" s="471">
        <f>H41</f>
        <v>0.74956100000000003</v>
      </c>
      <c r="K47" s="472" t="s">
        <v>578</v>
      </c>
      <c r="L47" s="471" t="s">
        <v>670</v>
      </c>
      <c r="M47" s="471">
        <v>0.51961999999999997</v>
      </c>
      <c r="N47" s="471">
        <v>0.76387066000000003</v>
      </c>
      <c r="Q47" s="472" t="s">
        <v>578</v>
      </c>
      <c r="R47" s="471" t="s">
        <v>670</v>
      </c>
      <c r="S47" s="471">
        <v>0.51961999999999997</v>
      </c>
      <c r="T47" s="471">
        <v>0.73552507</v>
      </c>
      <c r="W47" s="472" t="s">
        <v>578</v>
      </c>
      <c r="X47" s="471" t="s">
        <v>670</v>
      </c>
      <c r="Y47" s="471">
        <v>0.51961999999999997</v>
      </c>
      <c r="Z47" s="471">
        <v>0.73458675277149998</v>
      </c>
    </row>
    <row r="48" spans="1:26">
      <c r="A48" s="154" t="s">
        <v>567</v>
      </c>
      <c r="B48" s="154">
        <v>0.15</v>
      </c>
      <c r="E48" s="162"/>
      <c r="F48" s="471" t="s">
        <v>567</v>
      </c>
      <c r="G48" s="471">
        <v>0.42019000000000001</v>
      </c>
      <c r="K48" s="472" t="s">
        <v>14</v>
      </c>
      <c r="L48" s="471" t="s">
        <v>567</v>
      </c>
      <c r="M48" s="471">
        <v>0.42019001</v>
      </c>
      <c r="Q48" s="472" t="s">
        <v>14</v>
      </c>
      <c r="R48" s="471" t="s">
        <v>567</v>
      </c>
      <c r="S48" s="471">
        <v>0.42019001</v>
      </c>
      <c r="W48" s="472" t="s">
        <v>14</v>
      </c>
      <c r="X48" s="471" t="s">
        <v>567</v>
      </c>
      <c r="Y48" s="471">
        <v>0.42019001</v>
      </c>
    </row>
    <row r="49" spans="1:27">
      <c r="A49" s="154" t="s">
        <v>567</v>
      </c>
      <c r="B49" s="154">
        <v>0.34689999999999999</v>
      </c>
      <c r="E49" s="472" t="s">
        <v>264</v>
      </c>
      <c r="F49" s="471" t="s">
        <v>770</v>
      </c>
      <c r="G49" s="471">
        <v>0</v>
      </c>
      <c r="H49" s="471">
        <v>-2.5099100000000001</v>
      </c>
      <c r="K49" s="472" t="s">
        <v>264</v>
      </c>
      <c r="L49" s="471" t="s">
        <v>770</v>
      </c>
      <c r="M49" s="471">
        <v>0</v>
      </c>
      <c r="N49" s="471">
        <v>-2.5022599999999997</v>
      </c>
      <c r="Q49" s="472" t="s">
        <v>264</v>
      </c>
      <c r="R49" s="471" t="s">
        <v>770</v>
      </c>
      <c r="S49" s="471">
        <v>0</v>
      </c>
      <c r="T49" s="471">
        <v>-2.8546719447336231</v>
      </c>
      <c r="W49" s="472" t="s">
        <v>264</v>
      </c>
      <c r="X49" s="471" t="s">
        <v>770</v>
      </c>
      <c r="Y49" s="471">
        <v>0</v>
      </c>
      <c r="Z49" s="471">
        <v>-2.8546719447336231</v>
      </c>
    </row>
    <row r="50" spans="1:27">
      <c r="A50" s="154" t="s">
        <v>670</v>
      </c>
      <c r="B50" s="154">
        <v>0.41</v>
      </c>
      <c r="C50" s="154">
        <v>-0.56893269999999996</v>
      </c>
      <c r="E50" s="162"/>
      <c r="F50" s="471" t="s">
        <v>567</v>
      </c>
      <c r="G50" s="471">
        <v>0.338945</v>
      </c>
      <c r="K50" s="472" t="s">
        <v>311</v>
      </c>
      <c r="L50" s="471" t="s">
        <v>567</v>
      </c>
      <c r="M50" s="471">
        <v>0.338945</v>
      </c>
      <c r="Q50" s="472" t="s">
        <v>311</v>
      </c>
      <c r="R50" s="471" t="s">
        <v>567</v>
      </c>
      <c r="S50" s="471">
        <v>0.338945</v>
      </c>
      <c r="W50" s="472" t="s">
        <v>311</v>
      </c>
      <c r="X50" s="471" t="s">
        <v>567</v>
      </c>
      <c r="Y50" s="471">
        <v>0.338945</v>
      </c>
    </row>
    <row r="51" spans="1:27">
      <c r="A51" s="154" t="s">
        <v>567</v>
      </c>
      <c r="B51" s="154">
        <v>1.4145000000000001</v>
      </c>
      <c r="E51" s="162" t="s">
        <v>507</v>
      </c>
      <c r="F51" s="471" t="s">
        <v>670</v>
      </c>
      <c r="G51" s="471">
        <f>G37</f>
        <v>0.42210999999999999</v>
      </c>
      <c r="H51" s="471">
        <f>H37</f>
        <v>-0.66051000000000004</v>
      </c>
      <c r="K51" s="472" t="s">
        <v>507</v>
      </c>
      <c r="L51" s="471" t="s">
        <v>670</v>
      </c>
      <c r="M51" s="471">
        <v>0.42210999999999999</v>
      </c>
      <c r="N51" s="471">
        <v>-0.69608504000000004</v>
      </c>
      <c r="Q51" s="472" t="s">
        <v>507</v>
      </c>
      <c r="R51" s="471" t="s">
        <v>670</v>
      </c>
      <c r="S51" s="471">
        <v>0.42210999999999999</v>
      </c>
      <c r="T51" s="471">
        <v>-0.59900147000000004</v>
      </c>
      <c r="W51" s="472" t="s">
        <v>507</v>
      </c>
      <c r="X51" s="471" t="s">
        <v>670</v>
      </c>
      <c r="Y51" s="471">
        <v>0.42210999999999999</v>
      </c>
      <c r="Z51" s="471">
        <v>-0.60152556163972903</v>
      </c>
    </row>
    <row r="52" spans="1:27">
      <c r="A52" s="154" t="s">
        <v>1077</v>
      </c>
      <c r="B52" s="154">
        <v>3.5699916518065831E-2</v>
      </c>
      <c r="C52" s="154">
        <v>39.271800517811357</v>
      </c>
      <c r="E52" s="162"/>
      <c r="F52" s="471" t="s">
        <v>567</v>
      </c>
      <c r="G52" s="471">
        <v>0.105945</v>
      </c>
      <c r="K52" s="472" t="s">
        <v>310</v>
      </c>
      <c r="L52" s="471" t="s">
        <v>567</v>
      </c>
      <c r="M52" s="471">
        <v>0.105945</v>
      </c>
      <c r="Q52" s="472" t="s">
        <v>310</v>
      </c>
      <c r="R52" s="471" t="s">
        <v>567</v>
      </c>
      <c r="S52" s="471">
        <v>0.105945</v>
      </c>
      <c r="W52" s="472" t="s">
        <v>310</v>
      </c>
      <c r="X52" s="471" t="s">
        <v>567</v>
      </c>
      <c r="Y52" s="471">
        <v>0.105945</v>
      </c>
    </row>
    <row r="53" spans="1:27">
      <c r="A53" s="154" t="s">
        <v>760</v>
      </c>
      <c r="B53" s="154">
        <v>3.5699916518065831E-2</v>
      </c>
      <c r="C53" s="154">
        <v>39.271800517811357</v>
      </c>
      <c r="E53" s="162"/>
      <c r="F53" s="471" t="s">
        <v>729</v>
      </c>
      <c r="K53" s="472" t="s">
        <v>101</v>
      </c>
      <c r="L53" s="471" t="s">
        <v>729</v>
      </c>
      <c r="Q53" s="472" t="s">
        <v>101</v>
      </c>
      <c r="R53" s="471" t="s">
        <v>729</v>
      </c>
      <c r="W53" s="472" t="s">
        <v>101</v>
      </c>
      <c r="X53" s="471" t="s">
        <v>729</v>
      </c>
    </row>
    <row r="54" spans="1:27">
      <c r="A54" s="154" t="s">
        <v>760</v>
      </c>
      <c r="B54" s="154">
        <v>3.5699916518065831E-2</v>
      </c>
      <c r="C54" s="154">
        <v>39.271800517811357</v>
      </c>
      <c r="E54" s="162"/>
      <c r="F54" s="471" t="s">
        <v>567</v>
      </c>
      <c r="G54" s="471">
        <v>0.95474999999999999</v>
      </c>
      <c r="K54" s="472">
        <v>23</v>
      </c>
      <c r="L54" s="471" t="s">
        <v>567</v>
      </c>
      <c r="M54" s="471">
        <v>0.95474999999999999</v>
      </c>
      <c r="Q54" s="472">
        <v>23</v>
      </c>
      <c r="R54" s="471" t="s">
        <v>567</v>
      </c>
      <c r="S54" s="471">
        <v>0.95474999999999999</v>
      </c>
      <c r="W54" s="472">
        <v>23</v>
      </c>
      <c r="X54" s="471" t="s">
        <v>567</v>
      </c>
      <c r="Y54" s="471">
        <v>0.95474999999999999</v>
      </c>
    </row>
    <row r="55" spans="1:27">
      <c r="A55" s="154" t="s">
        <v>1077</v>
      </c>
      <c r="B55" s="154">
        <v>3.5699916518065831E-2</v>
      </c>
      <c r="C55" s="154">
        <v>39.271800517811357</v>
      </c>
      <c r="E55" s="472">
        <v>16</v>
      </c>
      <c r="F55" s="471" t="s">
        <v>1077</v>
      </c>
      <c r="G55" s="471">
        <v>4.9087401000000003E-2</v>
      </c>
      <c r="H55" s="471">
        <v>50.035998999999997</v>
      </c>
      <c r="K55" s="472">
        <v>16</v>
      </c>
      <c r="L55" s="471" t="s">
        <v>1077</v>
      </c>
      <c r="M55" s="471">
        <v>4.9087401000000003E-2</v>
      </c>
      <c r="N55" s="471">
        <v>50.035998999999997</v>
      </c>
      <c r="Q55" s="472">
        <v>16</v>
      </c>
      <c r="R55" s="471" t="s">
        <v>1077</v>
      </c>
      <c r="S55" s="471">
        <v>4.9087401000000003E-2</v>
      </c>
      <c r="T55" s="471">
        <v>50.035998999999997</v>
      </c>
      <c r="W55" s="472">
        <v>16</v>
      </c>
      <c r="X55" s="471" t="s">
        <v>1077</v>
      </c>
      <c r="Y55" s="471">
        <v>4.9087401000000003E-2</v>
      </c>
      <c r="Z55" s="471">
        <v>50.035998999999997</v>
      </c>
    </row>
    <row r="56" spans="1:27">
      <c r="A56" s="154" t="s">
        <v>567</v>
      </c>
      <c r="B56" s="154">
        <v>1.1245000000000001</v>
      </c>
      <c r="E56" s="472">
        <v>17</v>
      </c>
      <c r="F56" s="471" t="s">
        <v>1132</v>
      </c>
      <c r="G56" s="471">
        <v>5.8499998000000001E-3</v>
      </c>
      <c r="H56" s="471">
        <v>50.035998999999997</v>
      </c>
      <c r="I56" s="471">
        <v>0</v>
      </c>
      <c r="K56" s="472">
        <v>17</v>
      </c>
      <c r="L56" s="471" t="s">
        <v>1132</v>
      </c>
      <c r="M56" s="471">
        <v>5.8499998000000001E-3</v>
      </c>
      <c r="N56" s="471">
        <v>50.035998999999997</v>
      </c>
      <c r="O56" s="471">
        <v>0</v>
      </c>
      <c r="Q56" s="472">
        <v>17</v>
      </c>
      <c r="R56" s="471" t="s">
        <v>1132</v>
      </c>
      <c r="S56" s="471">
        <v>5.8499998000000001E-3</v>
      </c>
      <c r="T56" s="471">
        <v>50.035998999999997</v>
      </c>
      <c r="U56" s="471">
        <v>0</v>
      </c>
      <c r="W56" s="472">
        <v>17</v>
      </c>
      <c r="X56" s="471" t="s">
        <v>1132</v>
      </c>
      <c r="Y56" s="471">
        <v>5.8499998000000001E-3</v>
      </c>
      <c r="Z56" s="471">
        <v>50.035998999999997</v>
      </c>
      <c r="AA56" s="471">
        <v>0</v>
      </c>
    </row>
    <row r="57" spans="1:27">
      <c r="A57" s="154" t="s">
        <v>670</v>
      </c>
      <c r="B57" s="154">
        <v>0.51</v>
      </c>
      <c r="C57" s="154">
        <v>-0.64770879999999997</v>
      </c>
      <c r="E57" s="472">
        <v>18</v>
      </c>
      <c r="F57" s="471" t="s">
        <v>1077</v>
      </c>
      <c r="G57" s="471">
        <v>-4.3237399000000003E-2</v>
      </c>
      <c r="H57" s="471">
        <v>50.035998999999997</v>
      </c>
      <c r="K57" s="472">
        <v>18</v>
      </c>
      <c r="L57" s="471" t="s">
        <v>1077</v>
      </c>
      <c r="M57" s="471">
        <v>-4.3237399000000003E-2</v>
      </c>
      <c r="N57" s="471">
        <v>50.035998999999997</v>
      </c>
      <c r="Q57" s="472">
        <v>18</v>
      </c>
      <c r="R57" s="471" t="s">
        <v>1077</v>
      </c>
      <c r="S57" s="471">
        <v>-4.3237399000000003E-2</v>
      </c>
      <c r="T57" s="471">
        <v>50.035998999999997</v>
      </c>
      <c r="W57" s="472">
        <v>18</v>
      </c>
      <c r="X57" s="471" t="s">
        <v>1077</v>
      </c>
      <c r="Y57" s="471">
        <v>-4.3237399000000003E-2</v>
      </c>
      <c r="Z57" s="471">
        <v>50.035998999999997</v>
      </c>
    </row>
    <row r="58" spans="1:27">
      <c r="A58" s="154" t="s">
        <v>567</v>
      </c>
      <c r="B58" s="154">
        <v>0.34</v>
      </c>
      <c r="E58" s="472">
        <v>19</v>
      </c>
      <c r="F58" s="471" t="s">
        <v>1077</v>
      </c>
      <c r="G58" s="471">
        <v>4.3237399000000003E-2</v>
      </c>
      <c r="H58" s="471">
        <v>23.366301</v>
      </c>
      <c r="K58" s="472">
        <v>19</v>
      </c>
      <c r="L58" s="471" t="s">
        <v>1077</v>
      </c>
      <c r="M58" s="471">
        <v>4.3237399000000003E-2</v>
      </c>
      <c r="N58" s="471">
        <v>23.366301</v>
      </c>
      <c r="Q58" s="472">
        <v>19</v>
      </c>
      <c r="R58" s="471" t="s">
        <v>1077</v>
      </c>
      <c r="S58" s="471">
        <v>4.3237399000000003E-2</v>
      </c>
      <c r="T58" s="471">
        <v>23.366301</v>
      </c>
      <c r="W58" s="472">
        <v>19</v>
      </c>
      <c r="X58" s="471" t="s">
        <v>1077</v>
      </c>
      <c r="Y58" s="471">
        <v>4.3237399000000003E-2</v>
      </c>
      <c r="Z58" s="471">
        <v>23.366301</v>
      </c>
    </row>
    <row r="59" spans="1:27">
      <c r="A59" s="154" t="s">
        <v>567</v>
      </c>
      <c r="B59" s="154">
        <v>0.15</v>
      </c>
      <c r="E59" s="472">
        <v>20</v>
      </c>
      <c r="F59" s="471" t="s">
        <v>1132</v>
      </c>
      <c r="G59" s="471">
        <v>9.2324800999999998E-2</v>
      </c>
      <c r="H59" s="471">
        <v>23.366301</v>
      </c>
      <c r="I59" s="471">
        <v>0</v>
      </c>
      <c r="K59" s="472">
        <v>20</v>
      </c>
      <c r="L59" s="471" t="s">
        <v>1132</v>
      </c>
      <c r="M59" s="471">
        <v>9.2324800999999998E-2</v>
      </c>
      <c r="N59" s="471">
        <v>23.366301</v>
      </c>
      <c r="O59" s="471">
        <v>0</v>
      </c>
      <c r="Q59" s="472">
        <v>20</v>
      </c>
      <c r="R59" s="471" t="s">
        <v>1132</v>
      </c>
      <c r="S59" s="471">
        <v>9.2324800999999998E-2</v>
      </c>
      <c r="T59" s="471">
        <v>23.366301</v>
      </c>
      <c r="U59" s="471">
        <v>0</v>
      </c>
      <c r="W59" s="472">
        <v>20</v>
      </c>
      <c r="X59" s="471" t="s">
        <v>1132</v>
      </c>
      <c r="Y59" s="471">
        <v>9.2324800999999998E-2</v>
      </c>
      <c r="Z59" s="471">
        <v>23.366301</v>
      </c>
      <c r="AA59" s="471">
        <v>0</v>
      </c>
    </row>
    <row r="60" spans="1:27">
      <c r="A60" s="154" t="s">
        <v>1125</v>
      </c>
      <c r="B60" s="154">
        <v>-1.3294058</v>
      </c>
      <c r="E60" s="472">
        <v>21</v>
      </c>
      <c r="F60" s="471" t="s">
        <v>1077</v>
      </c>
      <c r="G60" s="471">
        <v>4.9087401000000003E-2</v>
      </c>
      <c r="H60" s="471">
        <v>23.366301</v>
      </c>
      <c r="K60" s="472">
        <v>21</v>
      </c>
      <c r="L60" s="471" t="s">
        <v>1077</v>
      </c>
      <c r="M60" s="471">
        <v>4.9087401000000003E-2</v>
      </c>
      <c r="N60" s="471">
        <v>23.366301</v>
      </c>
      <c r="Q60" s="472">
        <v>21</v>
      </c>
      <c r="R60" s="471" t="s">
        <v>1077</v>
      </c>
      <c r="S60" s="471">
        <v>4.9087401000000003E-2</v>
      </c>
      <c r="T60" s="471">
        <v>23.366301</v>
      </c>
      <c r="W60" s="472">
        <v>21</v>
      </c>
      <c r="X60" s="471" t="s">
        <v>1077</v>
      </c>
      <c r="Y60" s="471">
        <v>4.9087401000000003E-2</v>
      </c>
      <c r="Z60" s="471">
        <v>23.366301</v>
      </c>
    </row>
    <row r="61" spans="1:27">
      <c r="A61" s="154" t="s">
        <v>567</v>
      </c>
      <c r="B61" s="154">
        <v>0.15</v>
      </c>
      <c r="E61" s="162"/>
      <c r="F61" s="471" t="s">
        <v>567</v>
      </c>
      <c r="G61" s="471">
        <v>1.0627500000000001</v>
      </c>
      <c r="K61" s="472" t="s">
        <v>15</v>
      </c>
      <c r="L61" s="471" t="s">
        <v>567</v>
      </c>
      <c r="M61" s="471">
        <v>1.0627500000000001</v>
      </c>
      <c r="Q61" s="472" t="s">
        <v>15</v>
      </c>
      <c r="R61" s="471" t="s">
        <v>567</v>
      </c>
      <c r="S61" s="471">
        <v>1.0627500000000001</v>
      </c>
      <c r="W61" s="472" t="s">
        <v>15</v>
      </c>
      <c r="X61" s="471" t="s">
        <v>567</v>
      </c>
      <c r="Y61" s="471">
        <v>1.0627500000000001</v>
      </c>
    </row>
    <row r="62" spans="1:27">
      <c r="A62" s="154" t="s">
        <v>567</v>
      </c>
      <c r="B62" s="154">
        <v>0.34</v>
      </c>
      <c r="E62" s="162" t="s">
        <v>222</v>
      </c>
      <c r="F62" s="471" t="s">
        <v>670</v>
      </c>
      <c r="G62" s="471">
        <v>0.51900999999999997</v>
      </c>
      <c r="H62" s="471">
        <v>-0.75890800000000003</v>
      </c>
      <c r="K62" s="472" t="s">
        <v>222</v>
      </c>
      <c r="L62" s="471" t="s">
        <v>670</v>
      </c>
      <c r="M62" s="471">
        <v>0.51900999999999997</v>
      </c>
      <c r="N62" s="471">
        <v>-0.74477570999999998</v>
      </c>
      <c r="Q62" s="472" t="s">
        <v>222</v>
      </c>
      <c r="R62" s="471" t="s">
        <v>670</v>
      </c>
      <c r="S62" s="471">
        <v>0.51900999999999997</v>
      </c>
      <c r="T62" s="471">
        <v>-0.82095843999999996</v>
      </c>
      <c r="W62" s="472" t="s">
        <v>222</v>
      </c>
      <c r="X62" s="471" t="s">
        <v>670</v>
      </c>
      <c r="Y62" s="471">
        <v>0.51900999999999997</v>
      </c>
      <c r="Z62" s="471">
        <v>-0.81881197697731301</v>
      </c>
    </row>
    <row r="63" spans="1:27">
      <c r="A63" s="154" t="s">
        <v>670</v>
      </c>
      <c r="B63" s="154">
        <v>0.97</v>
      </c>
      <c r="C63" s="154">
        <v>0.65672549999999996</v>
      </c>
      <c r="E63" s="162"/>
      <c r="F63" s="471" t="s">
        <v>567</v>
      </c>
      <c r="G63" s="471">
        <v>0.34049499999999999</v>
      </c>
      <c r="K63" s="472" t="s">
        <v>16</v>
      </c>
      <c r="L63" s="471" t="s">
        <v>567</v>
      </c>
      <c r="M63" s="471">
        <v>0.34049499</v>
      </c>
      <c r="Q63" s="472" t="s">
        <v>16</v>
      </c>
      <c r="R63" s="471" t="s">
        <v>567</v>
      </c>
      <c r="S63" s="471">
        <v>0.34049499</v>
      </c>
      <c r="W63" s="472" t="s">
        <v>16</v>
      </c>
      <c r="X63" s="471" t="s">
        <v>567</v>
      </c>
      <c r="Y63" s="471">
        <v>0.34049499</v>
      </c>
    </row>
    <row r="64" spans="1:27">
      <c r="A64" s="154" t="s">
        <v>567</v>
      </c>
      <c r="B64" s="154">
        <v>0.35499999999999998</v>
      </c>
      <c r="E64" s="472" t="s">
        <v>1194</v>
      </c>
      <c r="F64" s="471" t="s">
        <v>770</v>
      </c>
      <c r="G64" s="471">
        <v>0</v>
      </c>
      <c r="H64" s="471">
        <v>-1.3998999999999999</v>
      </c>
      <c r="K64" s="472" t="s">
        <v>1194</v>
      </c>
      <c r="L64" s="471" t="s">
        <v>770</v>
      </c>
      <c r="M64" s="471">
        <v>0</v>
      </c>
      <c r="N64" s="471">
        <v>-0.55666599999999999</v>
      </c>
      <c r="Q64" s="472" t="s">
        <v>1194</v>
      </c>
      <c r="R64" s="471" t="s">
        <v>770</v>
      </c>
      <c r="S64" s="471">
        <v>0</v>
      </c>
      <c r="T64" s="471">
        <v>-0.81436699999999984</v>
      </c>
      <c r="W64" s="472" t="s">
        <v>1194</v>
      </c>
      <c r="X64" s="471" t="s">
        <v>770</v>
      </c>
      <c r="Y64" s="471">
        <v>0</v>
      </c>
      <c r="Z64" s="471">
        <v>-0.81436699999999984</v>
      </c>
    </row>
    <row r="65" spans="1:26">
      <c r="A65" s="154" t="s">
        <v>567</v>
      </c>
      <c r="B65" s="154">
        <v>0.15</v>
      </c>
      <c r="E65" s="162"/>
      <c r="F65" s="471" t="s">
        <v>567</v>
      </c>
      <c r="G65" s="471">
        <v>0.28299999999999997</v>
      </c>
      <c r="K65" s="472">
        <v>47</v>
      </c>
      <c r="L65" s="471" t="s">
        <v>567</v>
      </c>
      <c r="M65" s="471">
        <v>0.28299998999999998</v>
      </c>
      <c r="Q65" s="472">
        <v>47</v>
      </c>
      <c r="R65" s="471" t="s">
        <v>567</v>
      </c>
      <c r="S65" s="471">
        <v>0.28299998999999998</v>
      </c>
      <c r="W65" s="472">
        <v>47</v>
      </c>
      <c r="X65" s="471" t="s">
        <v>567</v>
      </c>
      <c r="Y65" s="471">
        <v>0.28299998999999998</v>
      </c>
    </row>
    <row r="66" spans="1:26">
      <c r="A66" s="154" t="s">
        <v>1125</v>
      </c>
      <c r="B66" s="154">
        <v>2.2733932499999998</v>
      </c>
      <c r="E66" s="162"/>
      <c r="F66" s="471" t="s">
        <v>729</v>
      </c>
      <c r="K66" s="472" t="s">
        <v>101</v>
      </c>
      <c r="L66" s="471" t="s">
        <v>729</v>
      </c>
      <c r="Q66" s="472" t="s">
        <v>101</v>
      </c>
      <c r="R66" s="471" t="s">
        <v>729</v>
      </c>
      <c r="W66" s="472" t="s">
        <v>101</v>
      </c>
      <c r="X66" s="471" t="s">
        <v>729</v>
      </c>
    </row>
    <row r="67" spans="1:26">
      <c r="A67" s="154" t="s">
        <v>567</v>
      </c>
      <c r="B67" s="154">
        <v>0.15</v>
      </c>
      <c r="E67" s="162"/>
      <c r="F67" s="471" t="s">
        <v>567</v>
      </c>
      <c r="G67" s="471">
        <v>0.10484</v>
      </c>
      <c r="K67" s="472" t="s">
        <v>17</v>
      </c>
      <c r="L67" s="471" t="s">
        <v>567</v>
      </c>
      <c r="M67" s="471">
        <v>0.10484</v>
      </c>
      <c r="Q67" s="472" t="s">
        <v>17</v>
      </c>
      <c r="R67" s="471" t="s">
        <v>567</v>
      </c>
      <c r="S67" s="471">
        <v>0.10484</v>
      </c>
      <c r="W67" s="472" t="s">
        <v>17</v>
      </c>
      <c r="X67" s="471" t="s">
        <v>567</v>
      </c>
      <c r="Y67" s="471">
        <v>0.10484</v>
      </c>
    </row>
    <row r="68" spans="1:26">
      <c r="A68" s="154" t="s">
        <v>567</v>
      </c>
      <c r="B68" s="154">
        <v>0.35499999999999998</v>
      </c>
      <c r="E68" s="162" t="s">
        <v>765</v>
      </c>
      <c r="F68" s="471" t="s">
        <v>670</v>
      </c>
      <c r="G68" s="471">
        <v>0.92432000000000003</v>
      </c>
      <c r="H68" s="471">
        <v>0.77604600000000001</v>
      </c>
      <c r="K68" s="472" t="s">
        <v>765</v>
      </c>
      <c r="L68" s="471" t="s">
        <v>670</v>
      </c>
      <c r="M68" s="471">
        <v>0.92432000000000003</v>
      </c>
      <c r="N68" s="471">
        <v>0.66564166999999996</v>
      </c>
      <c r="Q68" s="472" t="s">
        <v>765</v>
      </c>
      <c r="R68" s="471" t="s">
        <v>670</v>
      </c>
      <c r="S68" s="471">
        <v>0.92432000000000003</v>
      </c>
      <c r="T68" s="471">
        <v>0.68125343000000005</v>
      </c>
      <c r="W68" s="472" t="s">
        <v>765</v>
      </c>
      <c r="X68" s="471" t="s">
        <v>670</v>
      </c>
      <c r="Y68" s="471">
        <v>0.92432000000000003</v>
      </c>
      <c r="Z68" s="471">
        <v>0.68156638228587196</v>
      </c>
    </row>
    <row r="69" spans="1:26">
      <c r="A69" s="154" t="s">
        <v>670</v>
      </c>
      <c r="B69" s="154">
        <v>0.35</v>
      </c>
      <c r="C69" s="154">
        <v>-0.62620880000000001</v>
      </c>
      <c r="E69" s="162"/>
      <c r="F69" s="471" t="s">
        <v>567</v>
      </c>
      <c r="G69" s="471">
        <v>0.33783999999999997</v>
      </c>
      <c r="K69" s="472" t="s">
        <v>18</v>
      </c>
      <c r="L69" s="471" t="s">
        <v>567</v>
      </c>
      <c r="M69" s="471">
        <v>0.33783998999999998</v>
      </c>
      <c r="Q69" s="472" t="s">
        <v>18</v>
      </c>
      <c r="R69" s="471" t="s">
        <v>567</v>
      </c>
      <c r="S69" s="471">
        <v>0.33783998999999998</v>
      </c>
      <c r="W69" s="472" t="s">
        <v>18</v>
      </c>
      <c r="X69" s="471" t="s">
        <v>567</v>
      </c>
      <c r="Y69" s="471">
        <v>0.33783998999999998</v>
      </c>
    </row>
    <row r="70" spans="1:26">
      <c r="A70" s="154" t="s">
        <v>567</v>
      </c>
      <c r="B70" s="154">
        <v>3.3250000000000002</v>
      </c>
      <c r="E70" s="472" t="s">
        <v>1012</v>
      </c>
      <c r="F70" s="471" t="s">
        <v>770</v>
      </c>
      <c r="G70" s="471">
        <v>0</v>
      </c>
      <c r="H70" s="471">
        <v>2.20851</v>
      </c>
      <c r="K70" s="472" t="s">
        <v>1012</v>
      </c>
      <c r="L70" s="471" t="s">
        <v>770</v>
      </c>
      <c r="M70" s="471">
        <v>0</v>
      </c>
      <c r="N70" s="471">
        <v>1.19574</v>
      </c>
      <c r="Q70" s="472" t="s">
        <v>1012</v>
      </c>
      <c r="R70" s="471" t="s">
        <v>770</v>
      </c>
      <c r="S70" s="471">
        <v>0</v>
      </c>
      <c r="T70" s="471">
        <v>1.3711439999999999</v>
      </c>
      <c r="W70" s="472" t="s">
        <v>1012</v>
      </c>
      <c r="X70" s="471" t="s">
        <v>770</v>
      </c>
      <c r="Y70" s="471">
        <v>0</v>
      </c>
      <c r="Z70" s="471">
        <v>1.3711439999999999</v>
      </c>
    </row>
    <row r="71" spans="1:26">
      <c r="A71" s="154" t="s">
        <v>514</v>
      </c>
      <c r="E71" s="162"/>
      <c r="F71" s="471" t="s">
        <v>567</v>
      </c>
      <c r="G71" s="471">
        <v>0.332895</v>
      </c>
      <c r="K71" s="472" t="s">
        <v>19</v>
      </c>
      <c r="L71" s="471" t="s">
        <v>567</v>
      </c>
      <c r="M71" s="471">
        <v>0.33289500999999999</v>
      </c>
      <c r="Q71" s="472" t="s">
        <v>19</v>
      </c>
      <c r="R71" s="471" t="s">
        <v>567</v>
      </c>
      <c r="S71" s="471">
        <v>0.33289500999999999</v>
      </c>
      <c r="W71" s="472" t="s">
        <v>19</v>
      </c>
      <c r="X71" s="471" t="s">
        <v>567</v>
      </c>
      <c r="Y71" s="471">
        <v>0.33289500999999999</v>
      </c>
    </row>
    <row r="72" spans="1:26">
      <c r="E72" s="162" t="s">
        <v>513</v>
      </c>
      <c r="F72" s="471" t="s">
        <v>670</v>
      </c>
      <c r="G72" s="471">
        <v>0.43420999999999998</v>
      </c>
      <c r="H72" s="471">
        <v>-0.41251799</v>
      </c>
      <c r="K72" s="472" t="s">
        <v>513</v>
      </c>
      <c r="L72" s="471" t="s">
        <v>670</v>
      </c>
      <c r="M72" s="471">
        <v>0.43420999999999998</v>
      </c>
      <c r="N72" s="471">
        <v>0</v>
      </c>
      <c r="Q72" s="472" t="s">
        <v>513</v>
      </c>
      <c r="R72" s="471" t="s">
        <v>670</v>
      </c>
      <c r="S72" s="471">
        <v>0.43420999999999998</v>
      </c>
      <c r="T72" s="471">
        <v>0</v>
      </c>
      <c r="W72" s="472" t="s">
        <v>513</v>
      </c>
      <c r="X72" s="471" t="s">
        <v>670</v>
      </c>
      <c r="Y72" s="471">
        <v>0.43420999999999998</v>
      </c>
      <c r="Z72" s="471">
        <v>0</v>
      </c>
    </row>
    <row r="73" spans="1:26">
      <c r="E73" s="162"/>
      <c r="F73" s="471" t="s">
        <v>567</v>
      </c>
      <c r="G73" s="471">
        <v>9.9894999999999998E-2</v>
      </c>
      <c r="K73" s="472" t="s">
        <v>20</v>
      </c>
      <c r="L73" s="471" t="s">
        <v>567</v>
      </c>
      <c r="M73" s="471">
        <v>9.9894999999999998E-2</v>
      </c>
      <c r="Q73" s="472" t="s">
        <v>20</v>
      </c>
      <c r="R73" s="471" t="s">
        <v>567</v>
      </c>
      <c r="S73" s="471">
        <v>9.9894999999999998E-2</v>
      </c>
      <c r="W73" s="472" t="s">
        <v>20</v>
      </c>
      <c r="X73" s="471" t="s">
        <v>567</v>
      </c>
      <c r="Y73" s="471">
        <v>9.9894999999999998E-2</v>
      </c>
    </row>
    <row r="74" spans="1:26">
      <c r="E74" s="162"/>
      <c r="F74" s="471" t="s">
        <v>729</v>
      </c>
      <c r="K74" s="472" t="s">
        <v>101</v>
      </c>
      <c r="L74" s="471" t="s">
        <v>729</v>
      </c>
      <c r="Q74" s="472" t="s">
        <v>101</v>
      </c>
      <c r="R74" s="471" t="s">
        <v>729</v>
      </c>
      <c r="W74" s="472" t="s">
        <v>101</v>
      </c>
      <c r="X74" s="471" t="s">
        <v>729</v>
      </c>
    </row>
    <row r="75" spans="1:26">
      <c r="E75" s="162" t="s">
        <v>567</v>
      </c>
      <c r="F75" s="471" t="s">
        <v>567</v>
      </c>
      <c r="G75" s="471">
        <v>3.0525600000000002</v>
      </c>
      <c r="K75" s="472">
        <v>45</v>
      </c>
      <c r="L75" s="471" t="s">
        <v>567</v>
      </c>
      <c r="M75" s="471">
        <v>3.0525999000000001</v>
      </c>
      <c r="Q75" s="472">
        <v>45</v>
      </c>
      <c r="R75" s="471" t="s">
        <v>567</v>
      </c>
      <c r="S75" s="471">
        <v>3.0525999000000001</v>
      </c>
      <c r="W75" s="472">
        <v>45</v>
      </c>
      <c r="X75" s="471" t="s">
        <v>567</v>
      </c>
      <c r="Y75" s="471">
        <v>3.0525999000000001</v>
      </c>
    </row>
    <row r="76" spans="1:26">
      <c r="E76" s="162"/>
      <c r="F76" s="471" t="s">
        <v>254</v>
      </c>
      <c r="L76" s="471" t="s">
        <v>254</v>
      </c>
      <c r="R76" s="471" t="s">
        <v>254</v>
      </c>
      <c r="X76" s="471" t="s">
        <v>254</v>
      </c>
    </row>
  </sheetData>
  <sheetProtection formatCells="0" formatColumns="0" formatRows="0" insertColumns="0" insertRows="0" insertHyperlinks="0" deleteColumns="0" deleteRows="0"/>
  <phoneticPr fontId="0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11">
    <outlinePr summaryBelow="0" summaryRight="0"/>
  </sheetPr>
  <dimension ref="A1:EO76"/>
  <sheetViews>
    <sheetView topLeftCell="E1" workbookViewId="0">
      <selection activeCell="E1" sqref="E1:E65536"/>
    </sheetView>
  </sheetViews>
  <sheetFormatPr defaultColWidth="6.42578125" defaultRowHeight="15" outlineLevelRow="1" outlineLevelCol="1"/>
  <cols>
    <col min="1" max="4" width="6.42578125" style="154" hidden="1" customWidth="1" outlineLevel="1"/>
    <col min="5" max="5" width="11.28515625" style="154" customWidth="1" collapsed="1"/>
    <col min="6" max="10" width="11.28515625" style="471" hidden="1" customWidth="1" outlineLevel="1"/>
    <col min="11" max="11" width="11.28515625" style="472" customWidth="1" collapsed="1"/>
    <col min="12" max="16" width="11.28515625" style="471" hidden="1" customWidth="1" outlineLevel="1"/>
    <col min="17" max="17" width="11.28515625" style="472" customWidth="1" collapsed="1"/>
    <col min="18" max="22" width="11.28515625" style="471" hidden="1" customWidth="1" outlineLevel="1"/>
    <col min="23" max="23" width="11.28515625" style="472" customWidth="1" collapsed="1"/>
    <col min="24" max="28" width="11.28515625" style="471" hidden="1" customWidth="1" outlineLevel="1"/>
    <col min="29" max="30" width="6.42578125" style="154" customWidth="1"/>
    <col min="31" max="31" width="6.42578125" style="154" customWidth="1" collapsed="1"/>
    <col min="32" max="35" width="6.42578125" style="154" customWidth="1"/>
    <col min="36" max="36" width="6.42578125" style="154" customWidth="1" collapsed="1"/>
    <col min="37" max="42" width="6.42578125" style="154" customWidth="1"/>
    <col min="43" max="43" width="6.42578125" style="154" customWidth="1" collapsed="1"/>
    <col min="44" max="48" width="6.42578125" style="154" customWidth="1"/>
    <col min="49" max="49" width="6.42578125" style="154" customWidth="1" collapsed="1"/>
    <col min="50" max="54" width="6.42578125" style="154" customWidth="1"/>
    <col min="55" max="55" width="6.42578125" style="154" customWidth="1" collapsed="1"/>
    <col min="56" max="61" width="6.42578125" style="154" customWidth="1"/>
    <col min="62" max="62" width="6.42578125" style="154" customWidth="1" collapsed="1"/>
    <col min="63" max="68" width="6.42578125" style="154" customWidth="1"/>
    <col min="69" max="69" width="6.42578125" style="154" customWidth="1" collapsed="1"/>
    <col min="70" max="75" width="6.42578125" style="154" customWidth="1"/>
    <col min="76" max="76" width="6.42578125" style="154" customWidth="1" collapsed="1"/>
    <col min="77" max="82" width="6.42578125" style="154" customWidth="1"/>
    <col min="83" max="83" width="6.42578125" style="154" customWidth="1" collapsed="1"/>
    <col min="84" max="89" width="6.42578125" style="154" customWidth="1"/>
    <col min="90" max="90" width="6.42578125" style="154" customWidth="1" collapsed="1"/>
    <col min="91" max="95" width="6.42578125" style="154" customWidth="1"/>
    <col min="96" max="96" width="6.42578125" style="154" customWidth="1" collapsed="1"/>
    <col min="97" max="101" width="6.42578125" style="154" customWidth="1"/>
    <col min="102" max="102" width="6.42578125" style="154" customWidth="1" collapsed="1"/>
    <col min="103" max="108" width="6.42578125" style="154" customWidth="1"/>
    <col min="109" max="109" width="6.42578125" style="154" customWidth="1" collapsed="1"/>
    <col min="110" max="115" width="6.42578125" style="154" customWidth="1"/>
    <col min="116" max="116" width="6.42578125" style="154" customWidth="1" collapsed="1"/>
    <col min="117" max="122" width="6.42578125" style="154" customWidth="1"/>
    <col min="123" max="123" width="6.42578125" style="154" customWidth="1" collapsed="1"/>
    <col min="124" max="128" width="6.42578125" style="154" customWidth="1"/>
    <col min="129" max="129" width="6.42578125" style="154" customWidth="1" collapsed="1"/>
    <col min="130" max="134" width="6.42578125" style="154" customWidth="1"/>
    <col min="135" max="135" width="6.42578125" style="154" customWidth="1" collapsed="1"/>
    <col min="136" max="138" width="6.42578125" style="154" customWidth="1"/>
    <col min="139" max="139" width="6.42578125" style="154" customWidth="1" collapsed="1"/>
    <col min="140" max="140" width="6.42578125" style="154" customWidth="1"/>
    <col min="141" max="141" width="6.42578125" style="154" customWidth="1" collapsed="1"/>
    <col min="142" max="144" width="6.42578125" style="154" customWidth="1"/>
    <col min="145" max="145" width="6.42578125" style="154" customWidth="1" collapsed="1"/>
    <col min="146" max="16384" width="6.42578125" style="154"/>
  </cols>
  <sheetData>
    <row r="1" spans="1:28">
      <c r="A1" s="154" t="s">
        <v>280</v>
      </c>
      <c r="E1" s="156" t="s">
        <v>430</v>
      </c>
      <c r="F1" s="471" t="s">
        <v>280</v>
      </c>
      <c r="K1" s="472" t="s">
        <v>431</v>
      </c>
      <c r="L1" s="471" t="s">
        <v>280</v>
      </c>
      <c r="Q1" s="472" t="s">
        <v>466</v>
      </c>
      <c r="R1" s="471" t="s">
        <v>280</v>
      </c>
      <c r="W1" s="472" t="s">
        <v>1044</v>
      </c>
      <c r="X1" s="471" t="s">
        <v>280</v>
      </c>
    </row>
    <row r="2" spans="1:28">
      <c r="E2" s="162"/>
    </row>
    <row r="3" spans="1:28" outlineLevel="1">
      <c r="A3" s="154" t="s">
        <v>278</v>
      </c>
      <c r="B3" s="154">
        <v>8</v>
      </c>
      <c r="C3" s="158"/>
      <c r="E3" s="162"/>
      <c r="F3" s="471" t="s">
        <v>278</v>
      </c>
      <c r="G3" s="471">
        <v>6.04</v>
      </c>
      <c r="L3" s="471" t="s">
        <v>278</v>
      </c>
      <c r="M3" s="471">
        <v>6.04</v>
      </c>
      <c r="R3" s="471" t="s">
        <v>278</v>
      </c>
      <c r="S3" s="471">
        <v>6.04</v>
      </c>
      <c r="X3" s="471" t="s">
        <v>278</v>
      </c>
      <c r="Y3" s="471">
        <v>6.04</v>
      </c>
    </row>
    <row r="4" spans="1:28" outlineLevel="1">
      <c r="A4" s="154" t="s">
        <v>122</v>
      </c>
      <c r="B4" s="154">
        <v>22</v>
      </c>
      <c r="C4" s="158"/>
      <c r="E4" s="162"/>
      <c r="F4" s="471" t="s">
        <v>122</v>
      </c>
      <c r="G4" s="471">
        <v>16</v>
      </c>
      <c r="L4" s="471" t="s">
        <v>379</v>
      </c>
      <c r="M4" s="471">
        <v>16</v>
      </c>
      <c r="R4" s="471" t="s">
        <v>379</v>
      </c>
      <c r="S4" s="471">
        <v>16</v>
      </c>
      <c r="X4" s="471" t="s">
        <v>379</v>
      </c>
      <c r="Y4" s="471">
        <v>16</v>
      </c>
    </row>
    <row r="5" spans="1:28" outlineLevel="1">
      <c r="A5" s="154" t="s">
        <v>398</v>
      </c>
      <c r="B5" s="154" t="s">
        <v>557</v>
      </c>
      <c r="C5" s="158"/>
      <c r="E5" s="162"/>
      <c r="F5" s="471" t="s">
        <v>398</v>
      </c>
      <c r="G5" s="471" t="s">
        <v>557</v>
      </c>
      <c r="L5" s="471" t="s">
        <v>398</v>
      </c>
      <c r="M5" s="471" t="s">
        <v>557</v>
      </c>
      <c r="R5" s="471" t="s">
        <v>398</v>
      </c>
      <c r="S5" s="471" t="s">
        <v>557</v>
      </c>
      <c r="X5" s="471" t="s">
        <v>398</v>
      </c>
      <c r="Y5" s="471" t="s">
        <v>557</v>
      </c>
    </row>
    <row r="6" spans="1:28" outlineLevel="1">
      <c r="A6" s="154" t="s">
        <v>1047</v>
      </c>
      <c r="B6" s="154">
        <v>0.01</v>
      </c>
      <c r="C6" s="158"/>
      <c r="E6" s="162"/>
      <c r="F6" s="471" t="s">
        <v>1047</v>
      </c>
      <c r="G6" s="471">
        <v>0.01</v>
      </c>
      <c r="L6" s="471" t="s">
        <v>1047</v>
      </c>
      <c r="M6" s="471">
        <v>0.01</v>
      </c>
      <c r="R6" s="471" t="s">
        <v>1047</v>
      </c>
      <c r="S6" s="471">
        <v>0.01</v>
      </c>
      <c r="X6" s="471" t="s">
        <v>1047</v>
      </c>
      <c r="Y6" s="471">
        <v>0.01</v>
      </c>
    </row>
    <row r="7" spans="1:28" outlineLevel="1">
      <c r="A7" s="154" t="s">
        <v>279</v>
      </c>
      <c r="B7" s="154">
        <v>12</v>
      </c>
      <c r="C7" s="158"/>
      <c r="E7" s="162"/>
      <c r="F7" s="471" t="s">
        <v>279</v>
      </c>
      <c r="G7" s="471">
        <v>9</v>
      </c>
      <c r="L7" s="471" t="s">
        <v>279</v>
      </c>
      <c r="M7" s="471">
        <v>9</v>
      </c>
      <c r="R7" s="471" t="s">
        <v>279</v>
      </c>
      <c r="S7" s="471">
        <v>9</v>
      </c>
      <c r="X7" s="471" t="s">
        <v>279</v>
      </c>
      <c r="Y7" s="471">
        <v>9</v>
      </c>
    </row>
    <row r="8" spans="1:28" outlineLevel="1">
      <c r="A8" s="154" t="s">
        <v>580</v>
      </c>
      <c r="B8" s="154">
        <v>2200</v>
      </c>
      <c r="C8" s="158"/>
      <c r="E8" s="162"/>
      <c r="F8" s="471" t="s">
        <v>580</v>
      </c>
      <c r="G8" s="471">
        <v>992</v>
      </c>
      <c r="L8" s="471" t="s">
        <v>580</v>
      </c>
      <c r="M8" s="471">
        <v>992</v>
      </c>
      <c r="R8" s="471" t="s">
        <v>580</v>
      </c>
      <c r="S8" s="471">
        <v>992</v>
      </c>
      <c r="X8" s="471" t="s">
        <v>580</v>
      </c>
      <c r="Y8" s="471">
        <v>992</v>
      </c>
    </row>
    <row r="9" spans="1:28" outlineLevel="1">
      <c r="B9" s="166"/>
      <c r="C9" s="158"/>
      <c r="E9" s="162"/>
      <c r="F9" s="471" t="s">
        <v>1026</v>
      </c>
      <c r="G9" s="471">
        <v>4</v>
      </c>
      <c r="L9" s="471" t="s">
        <v>1026</v>
      </c>
      <c r="M9" s="471">
        <v>4</v>
      </c>
      <c r="R9" s="471" t="s">
        <v>1026</v>
      </c>
      <c r="S9" s="471">
        <v>4</v>
      </c>
      <c r="X9" s="471" t="s">
        <v>1026</v>
      </c>
      <c r="Y9" s="471">
        <v>4</v>
      </c>
    </row>
    <row r="10" spans="1:28">
      <c r="E10" s="162"/>
    </row>
    <row r="11" spans="1:28">
      <c r="E11" s="162"/>
    </row>
    <row r="12" spans="1:28">
      <c r="A12" s="154" t="s">
        <v>567</v>
      </c>
      <c r="B12" s="154">
        <v>3.3250000000000002</v>
      </c>
      <c r="E12" s="162"/>
      <c r="F12" s="471" t="s">
        <v>240</v>
      </c>
      <c r="G12" s="471">
        <v>-0.2</v>
      </c>
      <c r="H12" s="471">
        <v>0.2</v>
      </c>
      <c r="I12" s="471">
        <v>-0.05</v>
      </c>
      <c r="J12" s="471">
        <v>0.05</v>
      </c>
      <c r="L12" s="471" t="s">
        <v>240</v>
      </c>
      <c r="M12" s="471">
        <v>-0.2</v>
      </c>
      <c r="N12" s="471">
        <v>0.2</v>
      </c>
      <c r="O12" s="471">
        <v>-0.05</v>
      </c>
      <c r="P12" s="471">
        <v>0.05</v>
      </c>
      <c r="R12" s="471" t="s">
        <v>240</v>
      </c>
      <c r="S12" s="471">
        <v>-0.2</v>
      </c>
      <c r="T12" s="471">
        <v>0.2</v>
      </c>
      <c r="U12" s="471">
        <v>-0.05</v>
      </c>
      <c r="V12" s="471">
        <v>0.05</v>
      </c>
      <c r="X12" s="471" t="s">
        <v>240</v>
      </c>
      <c r="Y12" s="471">
        <v>-0.2</v>
      </c>
      <c r="Z12" s="471">
        <v>0.2</v>
      </c>
      <c r="AA12" s="471">
        <v>-0.05</v>
      </c>
      <c r="AB12" s="471">
        <v>0.05</v>
      </c>
    </row>
    <row r="13" spans="1:28">
      <c r="A13" s="154" t="s">
        <v>670</v>
      </c>
      <c r="B13" s="154">
        <v>0.35</v>
      </c>
      <c r="C13" s="154">
        <v>-0.42930079999999998</v>
      </c>
      <c r="E13" s="162" t="s">
        <v>567</v>
      </c>
      <c r="F13" s="471" t="s">
        <v>567</v>
      </c>
      <c r="G13" s="471">
        <v>3.0525600000000002</v>
      </c>
      <c r="K13" s="472">
        <v>45</v>
      </c>
      <c r="L13" s="471" t="s">
        <v>567</v>
      </c>
      <c r="M13" s="471">
        <v>3.0526</v>
      </c>
      <c r="Q13" s="472">
        <v>45</v>
      </c>
      <c r="R13" s="471" t="s">
        <v>567</v>
      </c>
      <c r="S13" s="471">
        <v>3.0526</v>
      </c>
      <c r="W13" s="472">
        <v>45</v>
      </c>
      <c r="X13" s="471" t="s">
        <v>567</v>
      </c>
      <c r="Y13" s="471">
        <v>3.0526</v>
      </c>
    </row>
    <row r="14" spans="1:28">
      <c r="A14" s="154" t="s">
        <v>567</v>
      </c>
      <c r="B14" s="154">
        <v>0.35499999999999998</v>
      </c>
      <c r="E14" s="162"/>
      <c r="F14" s="471" t="s">
        <v>729</v>
      </c>
      <c r="K14" s="472" t="s">
        <v>101</v>
      </c>
      <c r="L14" s="471" t="s">
        <v>729</v>
      </c>
      <c r="Q14" s="472" t="s">
        <v>101</v>
      </c>
      <c r="R14" s="471" t="s">
        <v>729</v>
      </c>
      <c r="W14" s="472" t="s">
        <v>101</v>
      </c>
      <c r="X14" s="471" t="s">
        <v>729</v>
      </c>
    </row>
    <row r="15" spans="1:28">
      <c r="A15" s="154" t="s">
        <v>567</v>
      </c>
      <c r="B15" s="154">
        <v>0.15</v>
      </c>
      <c r="E15" s="162"/>
      <c r="F15" s="471" t="s">
        <v>567</v>
      </c>
      <c r="G15" s="471">
        <v>9.7975000000000007E-2</v>
      </c>
      <c r="K15" s="472" t="s">
        <v>102</v>
      </c>
      <c r="L15" s="471" t="s">
        <v>567</v>
      </c>
      <c r="M15" s="471">
        <v>9.7975000000000007E-2</v>
      </c>
      <c r="Q15" s="472" t="s">
        <v>102</v>
      </c>
      <c r="R15" s="471" t="s">
        <v>567</v>
      </c>
      <c r="S15" s="471">
        <v>9.7975000000000007E-2</v>
      </c>
      <c r="W15" s="472" t="s">
        <v>102</v>
      </c>
      <c r="X15" s="471" t="s">
        <v>567</v>
      </c>
      <c r="Y15" s="471">
        <v>9.7975000000000007E-2</v>
      </c>
    </row>
    <row r="16" spans="1:28">
      <c r="A16" s="154" t="s">
        <v>1125</v>
      </c>
      <c r="B16" s="154">
        <v>1.9460625</v>
      </c>
      <c r="E16" s="162" t="s">
        <v>568</v>
      </c>
      <c r="F16" s="471" t="s">
        <v>670</v>
      </c>
      <c r="G16" s="471">
        <v>0.43804999999999999</v>
      </c>
      <c r="H16" s="471">
        <v>-0.114872</v>
      </c>
      <c r="K16" s="472" t="s">
        <v>568</v>
      </c>
      <c r="L16" s="471" t="s">
        <v>670</v>
      </c>
      <c r="M16" s="471">
        <v>0.43804999999999999</v>
      </c>
      <c r="N16" s="471">
        <v>0</v>
      </c>
      <c r="Q16" s="472" t="s">
        <v>568</v>
      </c>
      <c r="R16" s="471" t="s">
        <v>670</v>
      </c>
      <c r="S16" s="471">
        <v>0.43804999999999999</v>
      </c>
      <c r="T16" s="471">
        <v>0</v>
      </c>
      <c r="W16" s="472" t="s">
        <v>568</v>
      </c>
      <c r="X16" s="471" t="s">
        <v>670</v>
      </c>
      <c r="Y16" s="471">
        <v>0.43804999999999999</v>
      </c>
      <c r="Z16" s="471">
        <v>0</v>
      </c>
    </row>
    <row r="17" spans="1:27">
      <c r="A17" s="154" t="s">
        <v>567</v>
      </c>
      <c r="B17" s="154">
        <v>0.15</v>
      </c>
      <c r="E17" s="162"/>
      <c r="F17" s="471" t="s">
        <v>567</v>
      </c>
      <c r="G17" s="471">
        <v>0.13097500000000001</v>
      </c>
      <c r="K17" s="472" t="s">
        <v>103</v>
      </c>
      <c r="L17" s="471" t="s">
        <v>567</v>
      </c>
      <c r="M17" s="471">
        <v>0.13097500000000001</v>
      </c>
      <c r="Q17" s="472" t="s">
        <v>103</v>
      </c>
      <c r="R17" s="471" t="s">
        <v>567</v>
      </c>
      <c r="S17" s="471">
        <v>0.13097500000000001</v>
      </c>
      <c r="W17" s="472" t="s">
        <v>103</v>
      </c>
      <c r="X17" s="471" t="s">
        <v>567</v>
      </c>
      <c r="Y17" s="471">
        <v>0.13097500000000001</v>
      </c>
    </row>
    <row r="18" spans="1:27">
      <c r="A18" s="154" t="s">
        <v>567</v>
      </c>
      <c r="B18" s="154">
        <v>0.35499999999999998</v>
      </c>
      <c r="E18" s="162" t="s">
        <v>367</v>
      </c>
      <c r="F18" s="471" t="s">
        <v>79</v>
      </c>
      <c r="G18" s="471">
        <v>0.4</v>
      </c>
      <c r="H18" s="471">
        <v>0</v>
      </c>
      <c r="I18" s="471">
        <v>2.5816249999999998</v>
      </c>
      <c r="K18" s="472" t="s">
        <v>367</v>
      </c>
      <c r="L18" s="471" t="s">
        <v>79</v>
      </c>
      <c r="M18" s="471">
        <v>0.4</v>
      </c>
      <c r="N18" s="471">
        <v>0</v>
      </c>
      <c r="O18" s="471">
        <v>2.9814999999999996</v>
      </c>
      <c r="Q18" s="472" t="s">
        <v>367</v>
      </c>
      <c r="R18" s="471" t="s">
        <v>79</v>
      </c>
      <c r="S18" s="471">
        <v>0.4</v>
      </c>
      <c r="T18" s="471">
        <v>0</v>
      </c>
      <c r="U18" s="471">
        <v>3.1435474999999995</v>
      </c>
      <c r="W18" s="472" t="s">
        <v>367</v>
      </c>
      <c r="X18" s="471" t="s">
        <v>79</v>
      </c>
      <c r="Y18" s="471">
        <v>0.4</v>
      </c>
      <c r="Z18" s="471">
        <v>0</v>
      </c>
      <c r="AA18" s="471">
        <v>3.1435474999999995</v>
      </c>
    </row>
    <row r="19" spans="1:27">
      <c r="A19" s="154" t="s">
        <v>670</v>
      </c>
      <c r="B19" s="154">
        <v>0.97</v>
      </c>
      <c r="C19" s="154">
        <v>0.45358700000000002</v>
      </c>
      <c r="E19" s="162"/>
      <c r="F19" s="471" t="s">
        <v>567</v>
      </c>
      <c r="G19" s="471">
        <v>0.1283</v>
      </c>
      <c r="K19" s="472" t="s">
        <v>104</v>
      </c>
      <c r="L19" s="471" t="s">
        <v>567</v>
      </c>
      <c r="M19" s="471">
        <v>0.1283</v>
      </c>
      <c r="Q19" s="472" t="s">
        <v>104</v>
      </c>
      <c r="R19" s="471" t="s">
        <v>567</v>
      </c>
      <c r="S19" s="471">
        <v>0.1283</v>
      </c>
      <c r="W19" s="472" t="s">
        <v>104</v>
      </c>
      <c r="X19" s="471" t="s">
        <v>567</v>
      </c>
      <c r="Y19" s="471">
        <v>0.1283</v>
      </c>
    </row>
    <row r="20" spans="1:27">
      <c r="A20" s="154" t="s">
        <v>567</v>
      </c>
      <c r="B20" s="154">
        <v>0.34</v>
      </c>
      <c r="E20" s="162" t="s">
        <v>191</v>
      </c>
      <c r="F20" s="471" t="s">
        <v>670</v>
      </c>
      <c r="G20" s="471">
        <v>0.94340999999999997</v>
      </c>
      <c r="H20" s="471">
        <v>0.450488</v>
      </c>
      <c r="K20" s="472" t="s">
        <v>191</v>
      </c>
      <c r="L20" s="471" t="s">
        <v>670</v>
      </c>
      <c r="M20" s="471">
        <v>0.94340999999999997</v>
      </c>
      <c r="N20" s="471">
        <v>0.37798867000000003</v>
      </c>
      <c r="Q20" s="472" t="s">
        <v>191</v>
      </c>
      <c r="R20" s="471" t="s">
        <v>670</v>
      </c>
      <c r="S20" s="471">
        <v>0.94340999999999997</v>
      </c>
      <c r="T20" s="471">
        <v>0.39104849000000003</v>
      </c>
      <c r="W20" s="472" t="s">
        <v>191</v>
      </c>
      <c r="X20" s="471" t="s">
        <v>670</v>
      </c>
      <c r="Y20" s="471">
        <v>0.94340999999999997</v>
      </c>
      <c r="Z20" s="471">
        <v>0.39100748841534999</v>
      </c>
    </row>
    <row r="21" spans="1:27">
      <c r="A21" s="154" t="s">
        <v>567</v>
      </c>
      <c r="B21" s="154">
        <v>0.15</v>
      </c>
      <c r="E21" s="162"/>
      <c r="F21" s="471" t="s">
        <v>567</v>
      </c>
      <c r="G21" s="471">
        <v>9.5295000000000005E-2</v>
      </c>
      <c r="K21" s="472" t="s">
        <v>391</v>
      </c>
      <c r="L21" s="471" t="s">
        <v>567</v>
      </c>
      <c r="M21" s="471">
        <v>9.5294997000000006E-2</v>
      </c>
      <c r="Q21" s="472" t="s">
        <v>391</v>
      </c>
      <c r="R21" s="471" t="s">
        <v>567</v>
      </c>
      <c r="S21" s="471">
        <v>9.5295000000000005E-2</v>
      </c>
      <c r="W21" s="472" t="s">
        <v>391</v>
      </c>
      <c r="X21" s="471" t="s">
        <v>567</v>
      </c>
      <c r="Y21" s="471">
        <v>9.5295000000000005E-2</v>
      </c>
    </row>
    <row r="22" spans="1:27">
      <c r="A22" s="154" t="s">
        <v>1125</v>
      </c>
      <c r="B22" s="154">
        <v>-1.6517110500000001</v>
      </c>
      <c r="E22" s="162"/>
      <c r="F22" s="471" t="s">
        <v>729</v>
      </c>
      <c r="K22" s="472" t="s">
        <v>101</v>
      </c>
      <c r="L22" s="471" t="s">
        <v>729</v>
      </c>
      <c r="Q22" s="472" t="s">
        <v>101</v>
      </c>
      <c r="R22" s="471" t="s">
        <v>729</v>
      </c>
      <c r="W22" s="472" t="s">
        <v>101</v>
      </c>
      <c r="X22" s="471" t="s">
        <v>729</v>
      </c>
    </row>
    <row r="23" spans="1:27">
      <c r="A23" s="154" t="s">
        <v>567</v>
      </c>
      <c r="B23" s="154">
        <v>0.15</v>
      </c>
      <c r="E23" s="162"/>
      <c r="F23" s="471" t="s">
        <v>567</v>
      </c>
      <c r="G23" s="471">
        <v>8.3000000000000004E-2</v>
      </c>
      <c r="K23" s="472">
        <v>47</v>
      </c>
      <c r="L23" s="471" t="s">
        <v>567</v>
      </c>
      <c r="M23" s="471">
        <v>8.3000000000000004E-2</v>
      </c>
      <c r="Q23" s="472">
        <v>47</v>
      </c>
      <c r="R23" s="471" t="s">
        <v>567</v>
      </c>
      <c r="S23" s="471">
        <v>8.3000000000000004E-2</v>
      </c>
      <c r="W23" s="472">
        <v>47</v>
      </c>
      <c r="X23" s="471" t="s">
        <v>567</v>
      </c>
      <c r="Y23" s="471">
        <v>8.3000000000000004E-2</v>
      </c>
    </row>
    <row r="24" spans="1:27">
      <c r="A24" s="154" t="s">
        <v>567</v>
      </c>
      <c r="B24" s="154">
        <v>0.34</v>
      </c>
      <c r="E24" s="162" t="s">
        <v>493</v>
      </c>
      <c r="F24" s="471" t="s">
        <v>79</v>
      </c>
      <c r="G24" s="471">
        <v>0.4</v>
      </c>
      <c r="H24" s="471">
        <v>0</v>
      </c>
      <c r="I24" s="471">
        <v>-2.9165749999999999</v>
      </c>
      <c r="K24" s="472" t="s">
        <v>493</v>
      </c>
      <c r="L24" s="471" t="s">
        <v>79</v>
      </c>
      <c r="M24" s="471">
        <v>0.4</v>
      </c>
      <c r="N24" s="471">
        <v>0</v>
      </c>
      <c r="O24" s="471">
        <v>-3.7782249999999999</v>
      </c>
      <c r="Q24" s="472" t="s">
        <v>493</v>
      </c>
      <c r="R24" s="471" t="s">
        <v>79</v>
      </c>
      <c r="S24" s="471">
        <v>0.4</v>
      </c>
      <c r="T24" s="471">
        <v>0</v>
      </c>
      <c r="U24" s="471">
        <v>-3.9457974999999998</v>
      </c>
      <c r="W24" s="472" t="s">
        <v>493</v>
      </c>
      <c r="X24" s="471" t="s">
        <v>79</v>
      </c>
      <c r="Y24" s="471">
        <v>0.4</v>
      </c>
      <c r="Z24" s="471">
        <v>0</v>
      </c>
      <c r="AA24" s="471">
        <v>-3.9457974999999998</v>
      </c>
    </row>
    <row r="25" spans="1:27">
      <c r="A25" s="154" t="s">
        <v>670</v>
      </c>
      <c r="B25" s="154">
        <v>0.51</v>
      </c>
      <c r="C25" s="154">
        <v>-0.473576</v>
      </c>
      <c r="E25" s="162"/>
      <c r="F25" s="471" t="s">
        <v>567</v>
      </c>
      <c r="G25" s="471">
        <v>0.13316500000000001</v>
      </c>
      <c r="K25" s="472" t="s">
        <v>798</v>
      </c>
      <c r="L25" s="471" t="s">
        <v>567</v>
      </c>
      <c r="M25" s="471">
        <v>0.13316500000000001</v>
      </c>
      <c r="Q25" s="472" t="s">
        <v>798</v>
      </c>
      <c r="R25" s="471" t="s">
        <v>567</v>
      </c>
      <c r="S25" s="471">
        <v>0.13316500000000001</v>
      </c>
      <c r="W25" s="472" t="s">
        <v>798</v>
      </c>
      <c r="X25" s="471" t="s">
        <v>567</v>
      </c>
      <c r="Y25" s="471">
        <v>0.13316500000000001</v>
      </c>
    </row>
    <row r="26" spans="1:27">
      <c r="A26" s="154" t="s">
        <v>567</v>
      </c>
      <c r="B26" s="154">
        <v>1.1245000000000001</v>
      </c>
      <c r="E26" s="162" t="s">
        <v>157</v>
      </c>
      <c r="F26" s="471" t="s">
        <v>670</v>
      </c>
      <c r="G26" s="471">
        <v>0.53366999999999998</v>
      </c>
      <c r="H26" s="471">
        <v>-0.61749799999999999</v>
      </c>
      <c r="K26" s="472" t="s">
        <v>157</v>
      </c>
      <c r="L26" s="471" t="s">
        <v>670</v>
      </c>
      <c r="M26" s="471">
        <v>0.53366999999999998</v>
      </c>
      <c r="N26" s="471">
        <v>-0.51637732999999997</v>
      </c>
      <c r="Q26" s="472" t="s">
        <v>157</v>
      </c>
      <c r="R26" s="471" t="s">
        <v>670</v>
      </c>
      <c r="S26" s="471">
        <v>0.53366999999999998</v>
      </c>
      <c r="T26" s="471">
        <v>-0.60540360000000004</v>
      </c>
      <c r="W26" s="472" t="s">
        <v>157</v>
      </c>
      <c r="X26" s="471" t="s">
        <v>670</v>
      </c>
      <c r="Y26" s="471">
        <v>0.53366999999999998</v>
      </c>
      <c r="Z26" s="471">
        <v>-0.603553432914813</v>
      </c>
    </row>
    <row r="27" spans="1:27">
      <c r="A27" s="154" t="s">
        <v>1077</v>
      </c>
      <c r="B27" s="154">
        <v>3.5699916518065831E-2</v>
      </c>
      <c r="C27" s="154">
        <v>39.271800517811357</v>
      </c>
      <c r="E27" s="162"/>
      <c r="F27" s="471" t="s">
        <v>567</v>
      </c>
      <c r="G27" s="471">
        <v>1.05542</v>
      </c>
      <c r="K27" s="472" t="s">
        <v>309</v>
      </c>
      <c r="L27" s="471" t="s">
        <v>567</v>
      </c>
      <c r="M27" s="471">
        <v>1.05542</v>
      </c>
      <c r="Q27" s="472" t="s">
        <v>309</v>
      </c>
      <c r="R27" s="471" t="s">
        <v>567</v>
      </c>
      <c r="S27" s="471">
        <v>1.05542</v>
      </c>
      <c r="W27" s="472" t="s">
        <v>309</v>
      </c>
      <c r="X27" s="471" t="s">
        <v>567</v>
      </c>
      <c r="Y27" s="471">
        <v>1.05542</v>
      </c>
    </row>
    <row r="28" spans="1:27">
      <c r="A28" s="154" t="s">
        <v>760</v>
      </c>
      <c r="B28" s="154">
        <v>3.5699916518065831E-2</v>
      </c>
      <c r="C28" s="154">
        <v>39.271800517811357</v>
      </c>
      <c r="E28" s="162"/>
      <c r="F28" s="471" t="s">
        <v>1077</v>
      </c>
      <c r="G28" s="471">
        <v>4.9087401000000003E-2</v>
      </c>
      <c r="H28" s="471">
        <v>23.366301</v>
      </c>
      <c r="K28" s="472">
        <v>10</v>
      </c>
      <c r="L28" s="471" t="s">
        <v>1077</v>
      </c>
      <c r="M28" s="471">
        <v>4.9087401000000003E-2</v>
      </c>
      <c r="N28" s="471">
        <v>23.366301</v>
      </c>
      <c r="Q28" s="472">
        <v>10</v>
      </c>
      <c r="R28" s="471" t="s">
        <v>1077</v>
      </c>
      <c r="S28" s="471">
        <v>4.9087401000000003E-2</v>
      </c>
      <c r="T28" s="471">
        <v>23.366301</v>
      </c>
      <c r="W28" s="472">
        <v>10</v>
      </c>
      <c r="X28" s="471" t="s">
        <v>1077</v>
      </c>
      <c r="Y28" s="471">
        <v>4.9087401000000003E-2</v>
      </c>
      <c r="Z28" s="471">
        <v>23.366301</v>
      </c>
    </row>
    <row r="29" spans="1:27">
      <c r="A29" s="154" t="s">
        <v>760</v>
      </c>
      <c r="B29" s="154">
        <v>3.5699916518065831E-2</v>
      </c>
      <c r="C29" s="154">
        <v>39.271800517811357</v>
      </c>
      <c r="E29" s="162" t="s">
        <v>175</v>
      </c>
      <c r="F29" s="471" t="s">
        <v>1132</v>
      </c>
      <c r="G29" s="471">
        <v>9.2324800999999998E-2</v>
      </c>
      <c r="H29" s="471">
        <v>23.366301</v>
      </c>
      <c r="K29" s="472">
        <v>11</v>
      </c>
      <c r="L29" s="471" t="s">
        <v>1132</v>
      </c>
      <c r="M29" s="471">
        <v>9.2324800999999998E-2</v>
      </c>
      <c r="N29" s="471">
        <v>23.366301</v>
      </c>
      <c r="O29" s="471">
        <v>0</v>
      </c>
      <c r="Q29" s="472">
        <v>11</v>
      </c>
      <c r="R29" s="471" t="s">
        <v>1132</v>
      </c>
      <c r="S29" s="471">
        <v>9.2324800999999998E-2</v>
      </c>
      <c r="T29" s="471">
        <v>23.366301</v>
      </c>
      <c r="U29" s="471">
        <v>0</v>
      </c>
      <c r="W29" s="472">
        <v>11</v>
      </c>
      <c r="X29" s="471" t="s">
        <v>1132</v>
      </c>
      <c r="Y29" s="471">
        <v>9.2324800999999998E-2</v>
      </c>
      <c r="Z29" s="471">
        <v>23.366301</v>
      </c>
      <c r="AA29" s="471">
        <v>0</v>
      </c>
    </row>
    <row r="30" spans="1:27">
      <c r="A30" s="154" t="s">
        <v>1077</v>
      </c>
      <c r="B30" s="154">
        <v>3.5699916518065831E-2</v>
      </c>
      <c r="C30" s="154">
        <v>39.271800517811357</v>
      </c>
      <c r="E30" s="162"/>
      <c r="F30" s="471" t="s">
        <v>1077</v>
      </c>
      <c r="G30" s="471">
        <v>4.3237399000000003E-2</v>
      </c>
      <c r="H30" s="471">
        <v>23.366301</v>
      </c>
      <c r="K30" s="472">
        <v>12</v>
      </c>
      <c r="L30" s="471" t="s">
        <v>1077</v>
      </c>
      <c r="M30" s="471">
        <v>4.3237399000000003E-2</v>
      </c>
      <c r="N30" s="471">
        <v>23.366301</v>
      </c>
      <c r="Q30" s="472">
        <v>12</v>
      </c>
      <c r="R30" s="471" t="s">
        <v>1077</v>
      </c>
      <c r="S30" s="471">
        <v>4.3237399000000003E-2</v>
      </c>
      <c r="T30" s="471">
        <v>23.366301</v>
      </c>
      <c r="W30" s="472">
        <v>12</v>
      </c>
      <c r="X30" s="471" t="s">
        <v>1077</v>
      </c>
      <c r="Y30" s="471">
        <v>4.3237399000000003E-2</v>
      </c>
      <c r="Z30" s="471">
        <v>23.366301</v>
      </c>
    </row>
    <row r="31" spans="1:27">
      <c r="A31" s="154" t="s">
        <v>567</v>
      </c>
      <c r="B31" s="154">
        <v>1.4145000000000001</v>
      </c>
      <c r="E31" s="162"/>
      <c r="F31" s="471" t="s">
        <v>1077</v>
      </c>
      <c r="G31" s="471">
        <v>-4.3237399000000003E-2</v>
      </c>
      <c r="H31" s="471">
        <v>50.035998999999997</v>
      </c>
      <c r="K31" s="472">
        <v>13</v>
      </c>
      <c r="L31" s="471" t="s">
        <v>1077</v>
      </c>
      <c r="M31" s="471">
        <v>-4.3237399000000003E-2</v>
      </c>
      <c r="N31" s="471">
        <v>50.035998999999997</v>
      </c>
      <c r="Q31" s="472">
        <v>13</v>
      </c>
      <c r="R31" s="471" t="s">
        <v>1077</v>
      </c>
      <c r="S31" s="471">
        <v>-4.3237399000000003E-2</v>
      </c>
      <c r="T31" s="471">
        <v>50.035998999999997</v>
      </c>
      <c r="W31" s="472">
        <v>13</v>
      </c>
      <c r="X31" s="471" t="s">
        <v>1077</v>
      </c>
      <c r="Y31" s="471">
        <v>-4.3237399000000003E-2</v>
      </c>
      <c r="Z31" s="471">
        <v>50.035998999999997</v>
      </c>
    </row>
    <row r="32" spans="1:27">
      <c r="A32" s="154" t="s">
        <v>670</v>
      </c>
      <c r="B32" s="154">
        <v>0.41</v>
      </c>
      <c r="C32" s="154">
        <v>-0.56893269999999996</v>
      </c>
      <c r="E32" s="162" t="s">
        <v>175</v>
      </c>
      <c r="F32" s="471" t="s">
        <v>1132</v>
      </c>
      <c r="G32" s="471">
        <v>5.8499998000000001E-3</v>
      </c>
      <c r="H32" s="471">
        <v>50.035998999999997</v>
      </c>
      <c r="K32" s="472">
        <v>14</v>
      </c>
      <c r="L32" s="471" t="s">
        <v>1132</v>
      </c>
      <c r="M32" s="471">
        <v>5.8499998000000001E-3</v>
      </c>
      <c r="N32" s="471">
        <v>50.035998999999997</v>
      </c>
      <c r="O32" s="471">
        <v>0</v>
      </c>
      <c r="Q32" s="472">
        <v>14</v>
      </c>
      <c r="R32" s="471" t="s">
        <v>1132</v>
      </c>
      <c r="S32" s="471">
        <v>5.8499998000000001E-3</v>
      </c>
      <c r="T32" s="471">
        <v>50.035998999999997</v>
      </c>
      <c r="U32" s="471">
        <v>0</v>
      </c>
      <c r="W32" s="472">
        <v>14</v>
      </c>
      <c r="X32" s="471" t="s">
        <v>1132</v>
      </c>
      <c r="Y32" s="471">
        <v>5.8499998000000001E-3</v>
      </c>
      <c r="Z32" s="471">
        <v>50.035998999999997</v>
      </c>
      <c r="AA32" s="471">
        <v>0</v>
      </c>
    </row>
    <row r="33" spans="1:27">
      <c r="A33" s="154" t="s">
        <v>567</v>
      </c>
      <c r="B33" s="154">
        <v>0.34689999999999999</v>
      </c>
      <c r="E33" s="162"/>
      <c r="F33" s="471" t="s">
        <v>1077</v>
      </c>
      <c r="G33" s="471">
        <v>4.9087401000000003E-2</v>
      </c>
      <c r="H33" s="471">
        <v>50.035998999999997</v>
      </c>
      <c r="K33" s="472">
        <v>15</v>
      </c>
      <c r="L33" s="471" t="s">
        <v>1077</v>
      </c>
      <c r="M33" s="471">
        <v>4.9087401000000003E-2</v>
      </c>
      <c r="N33" s="471">
        <v>50.035998999999997</v>
      </c>
      <c r="Q33" s="472">
        <v>15</v>
      </c>
      <c r="R33" s="471" t="s">
        <v>1077</v>
      </c>
      <c r="S33" s="471">
        <v>4.9087401000000003E-2</v>
      </c>
      <c r="T33" s="471">
        <v>50.035998999999997</v>
      </c>
      <c r="W33" s="472">
        <v>15</v>
      </c>
      <c r="X33" s="471" t="s">
        <v>1077</v>
      </c>
      <c r="Y33" s="471">
        <v>4.9087401000000003E-2</v>
      </c>
      <c r="Z33" s="471">
        <v>50.035998999999997</v>
      </c>
    </row>
    <row r="34" spans="1:27">
      <c r="A34" s="154" t="s">
        <v>567</v>
      </c>
      <c r="B34" s="154">
        <v>0.15</v>
      </c>
      <c r="E34" s="162"/>
      <c r="F34" s="471" t="s">
        <v>567</v>
      </c>
      <c r="G34" s="471">
        <v>0.95474999999999999</v>
      </c>
      <c r="K34" s="472">
        <v>23</v>
      </c>
      <c r="L34" s="471" t="s">
        <v>567</v>
      </c>
      <c r="M34" s="471">
        <v>0.95474999999999999</v>
      </c>
      <c r="Q34" s="472">
        <v>23</v>
      </c>
      <c r="R34" s="471" t="s">
        <v>567</v>
      </c>
      <c r="S34" s="471">
        <v>0.95474999999999999</v>
      </c>
      <c r="W34" s="472">
        <v>23</v>
      </c>
      <c r="X34" s="471" t="s">
        <v>567</v>
      </c>
      <c r="Y34" s="471">
        <v>0.95474999999999999</v>
      </c>
    </row>
    <row r="35" spans="1:27">
      <c r="A35" s="154" t="s">
        <v>1125</v>
      </c>
      <c r="B35" s="154">
        <v>-2.2690169</v>
      </c>
      <c r="E35" s="162"/>
      <c r="F35" s="471" t="s">
        <v>729</v>
      </c>
      <c r="K35" s="472" t="s">
        <v>101</v>
      </c>
      <c r="L35" s="471" t="s">
        <v>729</v>
      </c>
      <c r="Q35" s="472" t="s">
        <v>101</v>
      </c>
      <c r="R35" s="471" t="s">
        <v>729</v>
      </c>
      <c r="W35" s="472" t="s">
        <v>101</v>
      </c>
      <c r="X35" s="471" t="s">
        <v>729</v>
      </c>
    </row>
    <row r="36" spans="1:27">
      <c r="A36" s="154" t="s">
        <v>567</v>
      </c>
      <c r="B36" s="154">
        <v>0.15</v>
      </c>
      <c r="E36" s="162"/>
      <c r="F36" s="471" t="s">
        <v>567</v>
      </c>
      <c r="G36" s="471">
        <v>0.105945</v>
      </c>
      <c r="K36" s="472" t="s">
        <v>310</v>
      </c>
      <c r="L36" s="471" t="s">
        <v>567</v>
      </c>
      <c r="M36" s="471">
        <v>0.105945</v>
      </c>
      <c r="Q36" s="472" t="s">
        <v>310</v>
      </c>
      <c r="R36" s="471" t="s">
        <v>567</v>
      </c>
      <c r="S36" s="471">
        <v>0.105945</v>
      </c>
      <c r="W36" s="472" t="s">
        <v>310</v>
      </c>
      <c r="X36" s="471" t="s">
        <v>567</v>
      </c>
      <c r="Y36" s="471">
        <v>0.105945</v>
      </c>
    </row>
    <row r="37" spans="1:27">
      <c r="A37" s="154" t="s">
        <v>567</v>
      </c>
      <c r="B37" s="154">
        <v>0.3468</v>
      </c>
      <c r="E37" s="162" t="s">
        <v>507</v>
      </c>
      <c r="F37" s="471" t="s">
        <v>670</v>
      </c>
      <c r="G37" s="471">
        <v>0.42210999999999999</v>
      </c>
      <c r="H37" s="471">
        <v>-0.66051000000000004</v>
      </c>
      <c r="K37" s="472" t="s">
        <v>507</v>
      </c>
      <c r="L37" s="471" t="s">
        <v>670</v>
      </c>
      <c r="M37" s="471">
        <v>0.42210999999999999</v>
      </c>
      <c r="N37" s="471">
        <v>-0.69608504000000004</v>
      </c>
      <c r="Q37" s="472" t="s">
        <v>507</v>
      </c>
      <c r="R37" s="471" t="s">
        <v>670</v>
      </c>
      <c r="S37" s="471">
        <v>0.42210999999999999</v>
      </c>
      <c r="T37" s="471">
        <v>-0.59900147000000004</v>
      </c>
      <c r="W37" s="472" t="s">
        <v>507</v>
      </c>
      <c r="X37" s="471" t="s">
        <v>670</v>
      </c>
      <c r="Y37" s="471">
        <v>0.42210999999999999</v>
      </c>
      <c r="Z37" s="471">
        <v>-0.60152556163972903</v>
      </c>
    </row>
    <row r="38" spans="1:27">
      <c r="A38" s="154" t="s">
        <v>670</v>
      </c>
      <c r="B38" s="154">
        <v>0.51</v>
      </c>
      <c r="C38" s="154">
        <v>0.62670983000000002</v>
      </c>
      <c r="E38" s="162"/>
      <c r="F38" s="471" t="s">
        <v>567</v>
      </c>
      <c r="G38" s="471">
        <v>0.13894500000000001</v>
      </c>
      <c r="K38" s="472" t="s">
        <v>311</v>
      </c>
      <c r="L38" s="471" t="s">
        <v>567</v>
      </c>
      <c r="M38" s="471">
        <v>0.13894500000000001</v>
      </c>
      <c r="Q38" s="472" t="s">
        <v>311</v>
      </c>
      <c r="R38" s="471" t="s">
        <v>567</v>
      </c>
      <c r="S38" s="471">
        <v>0.13894500000000001</v>
      </c>
      <c r="W38" s="472" t="s">
        <v>311</v>
      </c>
      <c r="X38" s="471" t="s">
        <v>567</v>
      </c>
      <c r="Y38" s="471">
        <v>0.13894500000000001</v>
      </c>
    </row>
    <row r="39" spans="1:27">
      <c r="A39" s="154" t="s">
        <v>567</v>
      </c>
      <c r="B39" s="154">
        <v>0.30609999999999998</v>
      </c>
      <c r="E39" s="162" t="s">
        <v>264</v>
      </c>
      <c r="F39" s="471" t="s">
        <v>79</v>
      </c>
      <c r="G39" s="471">
        <v>0.4</v>
      </c>
      <c r="H39" s="471">
        <v>0</v>
      </c>
      <c r="I39" s="471">
        <v>-6.274775</v>
      </c>
      <c r="K39" s="472" t="s">
        <v>264</v>
      </c>
      <c r="L39" s="471" t="s">
        <v>79</v>
      </c>
      <c r="M39" s="471">
        <v>0.4</v>
      </c>
      <c r="N39" s="471">
        <v>0</v>
      </c>
      <c r="O39" s="471">
        <v>-6.2556499999999993</v>
      </c>
      <c r="Q39" s="472" t="s">
        <v>264</v>
      </c>
      <c r="R39" s="471" t="s">
        <v>79</v>
      </c>
      <c r="S39" s="471">
        <v>0.4</v>
      </c>
      <c r="T39" s="471">
        <v>0</v>
      </c>
      <c r="U39" s="471">
        <v>-7.1366798618340574</v>
      </c>
      <c r="W39" s="472" t="s">
        <v>264</v>
      </c>
      <c r="X39" s="471" t="s">
        <v>79</v>
      </c>
      <c r="Y39" s="471">
        <v>0.4</v>
      </c>
      <c r="Z39" s="471">
        <v>0</v>
      </c>
      <c r="AA39" s="471">
        <v>-7.1366798618340574</v>
      </c>
    </row>
    <row r="40" spans="1:27">
      <c r="A40" s="154" t="s">
        <v>567</v>
      </c>
      <c r="B40" s="154">
        <v>0.25</v>
      </c>
      <c r="E40" s="162"/>
      <c r="F40" s="471" t="s">
        <v>567</v>
      </c>
      <c r="G40" s="471">
        <v>0.22019</v>
      </c>
      <c r="K40" s="472" t="s">
        <v>312</v>
      </c>
      <c r="L40" s="471" t="s">
        <v>567</v>
      </c>
      <c r="M40" s="471">
        <v>0.22019</v>
      </c>
      <c r="Q40" s="472" t="s">
        <v>312</v>
      </c>
      <c r="R40" s="471" t="s">
        <v>567</v>
      </c>
      <c r="S40" s="471">
        <v>0.22019</v>
      </c>
      <c r="W40" s="472" t="s">
        <v>312</v>
      </c>
      <c r="X40" s="471" t="s">
        <v>567</v>
      </c>
      <c r="Y40" s="471">
        <v>0.22019</v>
      </c>
    </row>
    <row r="41" spans="1:27">
      <c r="A41" s="154" t="s">
        <v>1125</v>
      </c>
      <c r="B41" s="154">
        <v>3.8650592000000001</v>
      </c>
      <c r="E41" s="162" t="s">
        <v>578</v>
      </c>
      <c r="F41" s="471" t="s">
        <v>670</v>
      </c>
      <c r="G41" s="471">
        <v>0.51961999999999997</v>
      </c>
      <c r="H41" s="471">
        <v>0.74956100000000003</v>
      </c>
      <c r="K41" s="472" t="s">
        <v>578</v>
      </c>
      <c r="L41" s="471" t="s">
        <v>670</v>
      </c>
      <c r="M41" s="471">
        <v>0.51961999999999997</v>
      </c>
      <c r="N41" s="471">
        <v>0.76387066000000003</v>
      </c>
      <c r="Q41" s="472" t="s">
        <v>578</v>
      </c>
      <c r="R41" s="471" t="s">
        <v>670</v>
      </c>
      <c r="S41" s="471">
        <v>0.51961999999999997</v>
      </c>
      <c r="T41" s="471">
        <v>0.73552507</v>
      </c>
      <c r="W41" s="472" t="s">
        <v>578</v>
      </c>
      <c r="X41" s="471" t="s">
        <v>670</v>
      </c>
      <c r="Y41" s="471">
        <v>0.51961999999999997</v>
      </c>
      <c r="Z41" s="471">
        <v>0.73458675277149998</v>
      </c>
    </row>
    <row r="42" spans="1:27">
      <c r="A42" s="154" t="s">
        <v>567</v>
      </c>
      <c r="B42" s="154">
        <v>0.25</v>
      </c>
      <c r="E42" s="162"/>
      <c r="F42" s="471" t="s">
        <v>567</v>
      </c>
      <c r="G42" s="471">
        <v>0.10718999999999999</v>
      </c>
      <c r="K42" s="472" t="s">
        <v>313</v>
      </c>
      <c r="L42" s="471" t="s">
        <v>567</v>
      </c>
      <c r="M42" s="471">
        <v>0.10718999999999999</v>
      </c>
      <c r="Q42" s="472" t="s">
        <v>313</v>
      </c>
      <c r="R42" s="471" t="s">
        <v>567</v>
      </c>
      <c r="S42" s="471">
        <v>0.10718999999999999</v>
      </c>
      <c r="W42" s="472" t="s">
        <v>313</v>
      </c>
      <c r="X42" s="471" t="s">
        <v>567</v>
      </c>
      <c r="Y42" s="471">
        <v>0.10718999999999999</v>
      </c>
    </row>
    <row r="43" spans="1:27">
      <c r="A43" s="154" t="s">
        <v>567</v>
      </c>
      <c r="B43" s="154">
        <v>0.30609999999999998</v>
      </c>
      <c r="E43" s="162"/>
      <c r="F43" s="471" t="s">
        <v>729</v>
      </c>
      <c r="K43" s="472" t="s">
        <v>101</v>
      </c>
      <c r="L43" s="471" t="s">
        <v>729</v>
      </c>
      <c r="Q43" s="472" t="s">
        <v>101</v>
      </c>
      <c r="R43" s="471" t="s">
        <v>729</v>
      </c>
      <c r="W43" s="472" t="s">
        <v>101</v>
      </c>
      <c r="X43" s="471" t="s">
        <v>729</v>
      </c>
    </row>
    <row r="44" spans="1:27">
      <c r="A44" s="154" t="s">
        <v>670</v>
      </c>
      <c r="B44" s="154">
        <v>0.51</v>
      </c>
      <c r="C44" s="154">
        <v>0.62670983000000002</v>
      </c>
      <c r="E44" s="162"/>
      <c r="F44" s="471" t="s">
        <v>567</v>
      </c>
      <c r="G44" s="471">
        <v>0.183</v>
      </c>
      <c r="K44" s="472">
        <v>3</v>
      </c>
      <c r="L44" s="471" t="s">
        <v>567</v>
      </c>
      <c r="M44" s="471">
        <v>0.183</v>
      </c>
      <c r="Q44" s="472">
        <v>3</v>
      </c>
      <c r="R44" s="471" t="s">
        <v>567</v>
      </c>
      <c r="S44" s="471">
        <v>0.183</v>
      </c>
      <c r="W44" s="472">
        <v>3</v>
      </c>
      <c r="X44" s="471" t="s">
        <v>567</v>
      </c>
      <c r="Y44" s="471">
        <v>0.183</v>
      </c>
    </row>
    <row r="45" spans="1:27">
      <c r="A45" s="154" t="s">
        <v>567</v>
      </c>
      <c r="B45" s="154">
        <v>0.3468</v>
      </c>
      <c r="E45" s="162" t="s">
        <v>758</v>
      </c>
      <c r="F45" s="471" t="s">
        <v>79</v>
      </c>
      <c r="G45" s="471">
        <v>0.4</v>
      </c>
      <c r="H45" s="471">
        <v>0</v>
      </c>
      <c r="I45" s="471">
        <v>10.631675</v>
      </c>
      <c r="K45" s="472" t="s">
        <v>758</v>
      </c>
      <c r="L45" s="471" t="s">
        <v>79</v>
      </c>
      <c r="M45" s="471">
        <v>0.4</v>
      </c>
      <c r="N45" s="471">
        <v>0</v>
      </c>
      <c r="O45" s="471">
        <v>11.111825</v>
      </c>
      <c r="Q45" s="472" t="s">
        <v>758</v>
      </c>
      <c r="R45" s="471" t="s">
        <v>79</v>
      </c>
      <c r="S45" s="471">
        <v>0.4</v>
      </c>
      <c r="T45" s="471">
        <v>0</v>
      </c>
      <c r="U45" s="471">
        <v>12.128855874276224</v>
      </c>
      <c r="W45" s="472" t="s">
        <v>758</v>
      </c>
      <c r="X45" s="471" t="s">
        <v>79</v>
      </c>
      <c r="Y45" s="471">
        <v>0.4</v>
      </c>
      <c r="Z45" s="471">
        <v>0</v>
      </c>
      <c r="AA45" s="471">
        <v>12.128855874276224</v>
      </c>
    </row>
    <row r="46" spans="1:27">
      <c r="A46" s="154" t="s">
        <v>567</v>
      </c>
      <c r="B46" s="154">
        <v>0.15</v>
      </c>
      <c r="E46" s="162"/>
      <c r="F46" s="471" t="s">
        <v>567</v>
      </c>
      <c r="G46" s="471">
        <v>0.29019</v>
      </c>
      <c r="K46" s="472" t="s">
        <v>13</v>
      </c>
      <c r="L46" s="471" t="s">
        <v>567</v>
      </c>
      <c r="M46" s="471">
        <v>0.29019</v>
      </c>
      <c r="Q46" s="472" t="s">
        <v>13</v>
      </c>
      <c r="R46" s="471" t="s">
        <v>567</v>
      </c>
      <c r="S46" s="471">
        <v>0.29019</v>
      </c>
      <c r="W46" s="472" t="s">
        <v>13</v>
      </c>
      <c r="X46" s="471" t="s">
        <v>567</v>
      </c>
      <c r="Y46" s="471">
        <v>0.29019</v>
      </c>
    </row>
    <row r="47" spans="1:27">
      <c r="A47" s="154" t="s">
        <v>1125</v>
      </c>
      <c r="B47" s="154">
        <v>-2.2690169</v>
      </c>
      <c r="E47" s="162" t="s">
        <v>578</v>
      </c>
      <c r="F47" s="471" t="s">
        <v>670</v>
      </c>
      <c r="G47" s="471">
        <f>G41</f>
        <v>0.51961999999999997</v>
      </c>
      <c r="H47" s="471">
        <f>H41</f>
        <v>0.74956100000000003</v>
      </c>
      <c r="K47" s="472" t="s">
        <v>578</v>
      </c>
      <c r="L47" s="471" t="s">
        <v>670</v>
      </c>
      <c r="M47" s="471">
        <v>0.51961999999999997</v>
      </c>
      <c r="N47" s="471">
        <v>0.76387066000000003</v>
      </c>
      <c r="Q47" s="472" t="s">
        <v>578</v>
      </c>
      <c r="R47" s="471" t="s">
        <v>670</v>
      </c>
      <c r="S47" s="471">
        <v>0.51961999999999997</v>
      </c>
      <c r="T47" s="471">
        <v>0.73552507</v>
      </c>
      <c r="W47" s="472" t="s">
        <v>578</v>
      </c>
      <c r="X47" s="471" t="s">
        <v>670</v>
      </c>
      <c r="Y47" s="471">
        <v>0.51961999999999997</v>
      </c>
      <c r="Z47" s="471">
        <v>0.73458675277149998</v>
      </c>
    </row>
    <row r="48" spans="1:27">
      <c r="A48" s="154" t="s">
        <v>567</v>
      </c>
      <c r="B48" s="154">
        <v>0.15</v>
      </c>
      <c r="E48" s="162"/>
      <c r="F48" s="471" t="s">
        <v>567</v>
      </c>
      <c r="G48" s="471">
        <v>0.22019</v>
      </c>
      <c r="K48" s="472" t="s">
        <v>14</v>
      </c>
      <c r="L48" s="471" t="s">
        <v>567</v>
      </c>
      <c r="M48" s="471">
        <v>0.22019</v>
      </c>
      <c r="Q48" s="472" t="s">
        <v>14</v>
      </c>
      <c r="R48" s="471" t="s">
        <v>567</v>
      </c>
      <c r="S48" s="471">
        <v>0.22019</v>
      </c>
      <c r="W48" s="472" t="s">
        <v>14</v>
      </c>
      <c r="X48" s="471" t="s">
        <v>567</v>
      </c>
      <c r="Y48" s="471">
        <v>0.22019</v>
      </c>
    </row>
    <row r="49" spans="1:27">
      <c r="A49" s="154" t="s">
        <v>567</v>
      </c>
      <c r="B49" s="154">
        <v>0.34689999999999999</v>
      </c>
      <c r="E49" s="162" t="s">
        <v>264</v>
      </c>
      <c r="F49" s="471" t="s">
        <v>79</v>
      </c>
      <c r="G49" s="471">
        <v>0.4</v>
      </c>
      <c r="H49" s="471">
        <v>0</v>
      </c>
      <c r="I49" s="471">
        <v>-6.274775</v>
      </c>
      <c r="K49" s="472" t="s">
        <v>264</v>
      </c>
      <c r="L49" s="471" t="s">
        <v>79</v>
      </c>
      <c r="M49" s="471">
        <v>0.4</v>
      </c>
      <c r="N49" s="471">
        <v>0</v>
      </c>
      <c r="O49" s="471">
        <v>-6.2556499999999993</v>
      </c>
      <c r="Q49" s="472" t="s">
        <v>264</v>
      </c>
      <c r="R49" s="471" t="s">
        <v>79</v>
      </c>
      <c r="S49" s="471">
        <v>0.4</v>
      </c>
      <c r="T49" s="471">
        <v>0</v>
      </c>
      <c r="U49" s="471">
        <v>-7.1366798618340574</v>
      </c>
      <c r="W49" s="472" t="s">
        <v>264</v>
      </c>
      <c r="X49" s="471" t="s">
        <v>79</v>
      </c>
      <c r="Y49" s="471">
        <v>0.4</v>
      </c>
      <c r="Z49" s="471">
        <v>0</v>
      </c>
      <c r="AA49" s="471">
        <v>-7.1366798618340574</v>
      </c>
    </row>
    <row r="50" spans="1:27">
      <c r="A50" s="154" t="s">
        <v>670</v>
      </c>
      <c r="B50" s="154">
        <v>0.41</v>
      </c>
      <c r="C50" s="154">
        <v>-0.56893269999999996</v>
      </c>
      <c r="E50" s="162"/>
      <c r="F50" s="471" t="s">
        <v>567</v>
      </c>
      <c r="G50" s="471">
        <v>0.13894500000000001</v>
      </c>
      <c r="K50" s="472" t="s">
        <v>311</v>
      </c>
      <c r="L50" s="471" t="s">
        <v>567</v>
      </c>
      <c r="M50" s="471">
        <v>0.13894500000000001</v>
      </c>
      <c r="Q50" s="472" t="s">
        <v>311</v>
      </c>
      <c r="R50" s="471" t="s">
        <v>567</v>
      </c>
      <c r="S50" s="471">
        <v>0.13894500000000001</v>
      </c>
      <c r="W50" s="472" t="s">
        <v>311</v>
      </c>
      <c r="X50" s="471" t="s">
        <v>567</v>
      </c>
      <c r="Y50" s="471">
        <v>0.13894500000000001</v>
      </c>
    </row>
    <row r="51" spans="1:27">
      <c r="A51" s="154" t="s">
        <v>567</v>
      </c>
      <c r="B51" s="154">
        <v>1.4145000000000001</v>
      </c>
      <c r="E51" s="162" t="s">
        <v>507</v>
      </c>
      <c r="F51" s="471" t="s">
        <v>670</v>
      </c>
      <c r="G51" s="471">
        <f>G37</f>
        <v>0.42210999999999999</v>
      </c>
      <c r="H51" s="471">
        <f>H37</f>
        <v>-0.66051000000000004</v>
      </c>
      <c r="K51" s="472" t="s">
        <v>507</v>
      </c>
      <c r="L51" s="471" t="s">
        <v>670</v>
      </c>
      <c r="M51" s="471">
        <v>0.42210999999999999</v>
      </c>
      <c r="N51" s="471">
        <v>-0.69608504000000004</v>
      </c>
      <c r="Q51" s="472" t="s">
        <v>507</v>
      </c>
      <c r="R51" s="471" t="s">
        <v>670</v>
      </c>
      <c r="S51" s="471">
        <v>0.42210999999999999</v>
      </c>
      <c r="T51" s="471">
        <v>-0.59900147000000004</v>
      </c>
      <c r="W51" s="472" t="s">
        <v>507</v>
      </c>
      <c r="X51" s="471" t="s">
        <v>670</v>
      </c>
      <c r="Y51" s="471">
        <v>0.42210999999999999</v>
      </c>
      <c r="Z51" s="471">
        <v>-0.60152556163972903</v>
      </c>
    </row>
    <row r="52" spans="1:27">
      <c r="A52" s="154" t="s">
        <v>1077</v>
      </c>
      <c r="B52" s="154">
        <v>3.5699916518065831E-2</v>
      </c>
      <c r="C52" s="154">
        <v>39.271800517811357</v>
      </c>
      <c r="E52" s="162"/>
      <c r="F52" s="471" t="s">
        <v>567</v>
      </c>
      <c r="G52" s="471">
        <v>0.105945</v>
      </c>
      <c r="K52" s="472" t="s">
        <v>310</v>
      </c>
      <c r="L52" s="471" t="s">
        <v>567</v>
      </c>
      <c r="M52" s="471">
        <v>0.105945</v>
      </c>
      <c r="Q52" s="472" t="s">
        <v>310</v>
      </c>
      <c r="R52" s="471" t="s">
        <v>567</v>
      </c>
      <c r="S52" s="471">
        <v>0.105945</v>
      </c>
      <c r="W52" s="472" t="s">
        <v>310</v>
      </c>
      <c r="X52" s="471" t="s">
        <v>567</v>
      </c>
      <c r="Y52" s="471">
        <v>0.105945</v>
      </c>
    </row>
    <row r="53" spans="1:27">
      <c r="A53" s="154" t="s">
        <v>760</v>
      </c>
      <c r="B53" s="154">
        <v>3.5699916518065831E-2</v>
      </c>
      <c r="C53" s="154">
        <v>39.271800517811357</v>
      </c>
      <c r="E53" s="162"/>
      <c r="F53" s="471" t="s">
        <v>729</v>
      </c>
      <c r="K53" s="472" t="s">
        <v>101</v>
      </c>
      <c r="L53" s="471" t="s">
        <v>729</v>
      </c>
      <c r="Q53" s="472" t="s">
        <v>101</v>
      </c>
      <c r="R53" s="471" t="s">
        <v>729</v>
      </c>
      <c r="W53" s="472" t="s">
        <v>101</v>
      </c>
      <c r="X53" s="471" t="s">
        <v>729</v>
      </c>
    </row>
    <row r="54" spans="1:27">
      <c r="A54" s="154" t="s">
        <v>760</v>
      </c>
      <c r="B54" s="154">
        <v>3.5699916518065831E-2</v>
      </c>
      <c r="C54" s="154">
        <v>39.271800517811357</v>
      </c>
      <c r="E54" s="162"/>
      <c r="F54" s="471" t="s">
        <v>567</v>
      </c>
      <c r="G54" s="471">
        <v>0.95474999999999999</v>
      </c>
      <c r="K54" s="472">
        <v>23</v>
      </c>
      <c r="L54" s="471" t="s">
        <v>567</v>
      </c>
      <c r="M54" s="471">
        <v>0.95474999999999999</v>
      </c>
      <c r="Q54" s="472">
        <v>23</v>
      </c>
      <c r="R54" s="471" t="s">
        <v>567</v>
      </c>
      <c r="S54" s="471">
        <v>0.95474999999999999</v>
      </c>
      <c r="W54" s="472">
        <v>23</v>
      </c>
      <c r="X54" s="471" t="s">
        <v>567</v>
      </c>
      <c r="Y54" s="471">
        <v>0.95474999999999999</v>
      </c>
    </row>
    <row r="55" spans="1:27">
      <c r="A55" s="154" t="s">
        <v>1077</v>
      </c>
      <c r="B55" s="154">
        <v>3.5699916518065831E-2</v>
      </c>
      <c r="C55" s="154">
        <v>39.271800517811357</v>
      </c>
      <c r="E55" s="162"/>
      <c r="F55" s="471" t="s">
        <v>1077</v>
      </c>
      <c r="G55" s="471">
        <v>4.9087401000000003E-2</v>
      </c>
      <c r="H55" s="471">
        <v>50.035998999999997</v>
      </c>
      <c r="K55" s="472">
        <v>16</v>
      </c>
      <c r="L55" s="471" t="s">
        <v>1077</v>
      </c>
      <c r="M55" s="471">
        <v>4.9087401000000003E-2</v>
      </c>
      <c r="N55" s="471">
        <v>50.035998999999997</v>
      </c>
      <c r="Q55" s="472">
        <v>16</v>
      </c>
      <c r="R55" s="471" t="s">
        <v>1077</v>
      </c>
      <c r="S55" s="471">
        <v>4.9087401000000003E-2</v>
      </c>
      <c r="T55" s="471">
        <v>50.035998999999997</v>
      </c>
      <c r="W55" s="472">
        <v>16</v>
      </c>
      <c r="X55" s="471" t="s">
        <v>1077</v>
      </c>
      <c r="Y55" s="471">
        <v>4.9087401000000003E-2</v>
      </c>
      <c r="Z55" s="471">
        <v>50.035998999999997</v>
      </c>
    </row>
    <row r="56" spans="1:27">
      <c r="A56" s="154" t="s">
        <v>567</v>
      </c>
      <c r="B56" s="154">
        <v>1.1245000000000001</v>
      </c>
      <c r="E56" s="162" t="s">
        <v>175</v>
      </c>
      <c r="F56" s="471" t="s">
        <v>1132</v>
      </c>
      <c r="G56" s="471">
        <v>5.8499998000000001E-3</v>
      </c>
      <c r="H56" s="471">
        <v>50.035998999999997</v>
      </c>
      <c r="K56" s="472">
        <v>17</v>
      </c>
      <c r="L56" s="471" t="s">
        <v>1132</v>
      </c>
      <c r="M56" s="471">
        <v>5.8499998000000001E-3</v>
      </c>
      <c r="N56" s="471">
        <v>50.035998999999997</v>
      </c>
      <c r="O56" s="471">
        <v>0</v>
      </c>
      <c r="Q56" s="472">
        <v>17</v>
      </c>
      <c r="R56" s="471" t="s">
        <v>1132</v>
      </c>
      <c r="S56" s="471">
        <v>5.8499998000000001E-3</v>
      </c>
      <c r="T56" s="471">
        <v>50.035998999999997</v>
      </c>
      <c r="U56" s="471">
        <v>0</v>
      </c>
      <c r="W56" s="472">
        <v>17</v>
      </c>
      <c r="X56" s="471" t="s">
        <v>1132</v>
      </c>
      <c r="Y56" s="471">
        <v>5.8499998000000001E-3</v>
      </c>
      <c r="Z56" s="471">
        <v>50.035998999999997</v>
      </c>
      <c r="AA56" s="471">
        <v>0</v>
      </c>
    </row>
    <row r="57" spans="1:27">
      <c r="A57" s="154" t="s">
        <v>670</v>
      </c>
      <c r="B57" s="154">
        <v>0.51</v>
      </c>
      <c r="C57" s="154">
        <v>-0.64770879999999997</v>
      </c>
      <c r="E57" s="162"/>
      <c r="F57" s="471" t="s">
        <v>1077</v>
      </c>
      <c r="G57" s="471">
        <v>-4.3237399000000003E-2</v>
      </c>
      <c r="H57" s="471">
        <v>50.035998999999997</v>
      </c>
      <c r="K57" s="472">
        <v>18</v>
      </c>
      <c r="L57" s="471" t="s">
        <v>1077</v>
      </c>
      <c r="M57" s="471">
        <v>-4.3237399000000003E-2</v>
      </c>
      <c r="N57" s="471">
        <v>50.035998999999997</v>
      </c>
      <c r="Q57" s="472">
        <v>18</v>
      </c>
      <c r="R57" s="471" t="s">
        <v>1077</v>
      </c>
      <c r="S57" s="471">
        <v>-4.3237399000000003E-2</v>
      </c>
      <c r="T57" s="471">
        <v>50.035998999999997</v>
      </c>
      <c r="W57" s="472">
        <v>18</v>
      </c>
      <c r="X57" s="471" t="s">
        <v>1077</v>
      </c>
      <c r="Y57" s="471">
        <v>-4.3237399000000003E-2</v>
      </c>
      <c r="Z57" s="471">
        <v>50.035998999999997</v>
      </c>
    </row>
    <row r="58" spans="1:27">
      <c r="A58" s="154" t="s">
        <v>567</v>
      </c>
      <c r="B58" s="154">
        <v>0.34</v>
      </c>
      <c r="E58" s="162"/>
      <c r="F58" s="471" t="s">
        <v>1077</v>
      </c>
      <c r="G58" s="471">
        <v>4.3237399000000003E-2</v>
      </c>
      <c r="H58" s="471">
        <v>23.366301</v>
      </c>
      <c r="K58" s="472">
        <v>19</v>
      </c>
      <c r="L58" s="471" t="s">
        <v>1077</v>
      </c>
      <c r="M58" s="471">
        <v>4.3237399000000003E-2</v>
      </c>
      <c r="N58" s="471">
        <v>23.366301</v>
      </c>
      <c r="Q58" s="472">
        <v>19</v>
      </c>
      <c r="R58" s="471" t="s">
        <v>1077</v>
      </c>
      <c r="S58" s="471">
        <v>4.3237399000000003E-2</v>
      </c>
      <c r="T58" s="471">
        <v>23.366301</v>
      </c>
      <c r="W58" s="472">
        <v>19</v>
      </c>
      <c r="X58" s="471" t="s">
        <v>1077</v>
      </c>
      <c r="Y58" s="471">
        <v>4.3237399000000003E-2</v>
      </c>
      <c r="Z58" s="471">
        <v>23.366301</v>
      </c>
    </row>
    <row r="59" spans="1:27">
      <c r="A59" s="154" t="s">
        <v>567</v>
      </c>
      <c r="B59" s="154">
        <v>0.15</v>
      </c>
      <c r="E59" s="162" t="s">
        <v>175</v>
      </c>
      <c r="F59" s="471" t="s">
        <v>1132</v>
      </c>
      <c r="G59" s="471">
        <v>9.2324800999999998E-2</v>
      </c>
      <c r="H59" s="471">
        <v>23.366301</v>
      </c>
      <c r="K59" s="472">
        <v>20</v>
      </c>
      <c r="L59" s="471" t="s">
        <v>1132</v>
      </c>
      <c r="M59" s="471">
        <v>9.2324800999999998E-2</v>
      </c>
      <c r="N59" s="471">
        <v>23.366301</v>
      </c>
      <c r="O59" s="471">
        <v>0</v>
      </c>
      <c r="Q59" s="472">
        <v>20</v>
      </c>
      <c r="R59" s="471" t="s">
        <v>1132</v>
      </c>
      <c r="S59" s="471">
        <v>9.2324800999999998E-2</v>
      </c>
      <c r="T59" s="471">
        <v>23.366301</v>
      </c>
      <c r="U59" s="471">
        <v>0</v>
      </c>
      <c r="W59" s="472">
        <v>20</v>
      </c>
      <c r="X59" s="471" t="s">
        <v>1132</v>
      </c>
      <c r="Y59" s="471">
        <v>9.2324800999999998E-2</v>
      </c>
      <c r="Z59" s="471">
        <v>23.366301</v>
      </c>
      <c r="AA59" s="471">
        <v>0</v>
      </c>
    </row>
    <row r="60" spans="1:27">
      <c r="A60" s="154" t="s">
        <v>1125</v>
      </c>
      <c r="B60" s="154">
        <v>-1.3294058</v>
      </c>
      <c r="E60" s="162"/>
      <c r="F60" s="471" t="s">
        <v>1077</v>
      </c>
      <c r="G60" s="471">
        <v>4.9087401000000003E-2</v>
      </c>
      <c r="H60" s="471">
        <v>23.366301</v>
      </c>
      <c r="K60" s="472">
        <v>21</v>
      </c>
      <c r="L60" s="471" t="s">
        <v>1077</v>
      </c>
      <c r="M60" s="471">
        <v>4.9087401000000003E-2</v>
      </c>
      <c r="N60" s="471">
        <v>23.366301</v>
      </c>
      <c r="Q60" s="472">
        <v>21</v>
      </c>
      <c r="R60" s="471" t="s">
        <v>1077</v>
      </c>
      <c r="S60" s="471">
        <v>4.9087401000000003E-2</v>
      </c>
      <c r="T60" s="471">
        <v>23.366301</v>
      </c>
      <c r="W60" s="472">
        <v>21</v>
      </c>
      <c r="X60" s="471" t="s">
        <v>1077</v>
      </c>
      <c r="Y60" s="471">
        <v>4.9087401000000003E-2</v>
      </c>
      <c r="Z60" s="471">
        <v>23.366301</v>
      </c>
    </row>
    <row r="61" spans="1:27">
      <c r="A61" s="154" t="s">
        <v>567</v>
      </c>
      <c r="B61" s="154">
        <v>0.15</v>
      </c>
      <c r="E61" s="162"/>
      <c r="F61" s="471" t="s">
        <v>567</v>
      </c>
      <c r="G61" s="471">
        <v>1.0627500000000001</v>
      </c>
      <c r="K61" s="472" t="s">
        <v>15</v>
      </c>
      <c r="L61" s="471" t="s">
        <v>567</v>
      </c>
      <c r="M61" s="471">
        <v>1.0627500000000001</v>
      </c>
      <c r="Q61" s="472" t="s">
        <v>15</v>
      </c>
      <c r="R61" s="471" t="s">
        <v>567</v>
      </c>
      <c r="S61" s="471">
        <v>1.0627500000000001</v>
      </c>
      <c r="W61" s="472" t="s">
        <v>15</v>
      </c>
      <c r="X61" s="471" t="s">
        <v>567</v>
      </c>
      <c r="Y61" s="471">
        <v>1.0627500000000001</v>
      </c>
    </row>
    <row r="62" spans="1:27">
      <c r="A62" s="154" t="s">
        <v>567</v>
      </c>
      <c r="B62" s="154">
        <v>0.34</v>
      </c>
      <c r="E62" s="162" t="s">
        <v>222</v>
      </c>
      <c r="F62" s="471" t="s">
        <v>670</v>
      </c>
      <c r="G62" s="471">
        <v>0.51900999999999997</v>
      </c>
      <c r="H62" s="471">
        <v>-0.75890800000000003</v>
      </c>
      <c r="K62" s="472" t="s">
        <v>222</v>
      </c>
      <c r="L62" s="471" t="s">
        <v>670</v>
      </c>
      <c r="M62" s="471">
        <v>0.51900999999999997</v>
      </c>
      <c r="N62" s="471">
        <v>-0.74477570999999998</v>
      </c>
      <c r="Q62" s="472" t="s">
        <v>222</v>
      </c>
      <c r="R62" s="471" t="s">
        <v>670</v>
      </c>
      <c r="S62" s="471">
        <v>0.51900999999999997</v>
      </c>
      <c r="T62" s="471">
        <v>-0.82095843999999996</v>
      </c>
      <c r="W62" s="472" t="s">
        <v>222</v>
      </c>
      <c r="X62" s="471" t="s">
        <v>670</v>
      </c>
      <c r="Y62" s="471">
        <v>0.51900999999999997</v>
      </c>
      <c r="Z62" s="471">
        <v>-0.81881197697731301</v>
      </c>
    </row>
    <row r="63" spans="1:27">
      <c r="A63" s="154" t="s">
        <v>670</v>
      </c>
      <c r="B63" s="154">
        <v>0.97</v>
      </c>
      <c r="C63" s="154">
        <v>0.65672549999999996</v>
      </c>
      <c r="E63" s="162"/>
      <c r="F63" s="471" t="s">
        <v>567</v>
      </c>
      <c r="G63" s="471">
        <v>0.14049500000000001</v>
      </c>
      <c r="K63" s="472" t="s">
        <v>16</v>
      </c>
      <c r="L63" s="471" t="s">
        <v>567</v>
      </c>
      <c r="M63" s="471">
        <v>0.14049500000000001</v>
      </c>
      <c r="Q63" s="472" t="s">
        <v>16</v>
      </c>
      <c r="R63" s="471" t="s">
        <v>567</v>
      </c>
      <c r="S63" s="471">
        <v>0.14049500000000001</v>
      </c>
      <c r="W63" s="472" t="s">
        <v>16</v>
      </c>
      <c r="X63" s="471" t="s">
        <v>567</v>
      </c>
      <c r="Y63" s="471">
        <v>0.14049500000000001</v>
      </c>
    </row>
    <row r="64" spans="1:27">
      <c r="A64" s="154" t="s">
        <v>567</v>
      </c>
      <c r="B64" s="154">
        <v>0.35499999999999998</v>
      </c>
      <c r="E64" s="162" t="s">
        <v>1194</v>
      </c>
      <c r="F64" s="471" t="s">
        <v>79</v>
      </c>
      <c r="G64" s="471">
        <v>0.4</v>
      </c>
      <c r="H64" s="471">
        <v>0</v>
      </c>
      <c r="I64" s="471">
        <v>-3.4997499999999997</v>
      </c>
      <c r="K64" s="472" t="s">
        <v>1194</v>
      </c>
      <c r="L64" s="471" t="s">
        <v>79</v>
      </c>
      <c r="M64" s="471">
        <v>0.4</v>
      </c>
      <c r="N64" s="471">
        <v>0</v>
      </c>
      <c r="O64" s="471">
        <v>-1.3916649999999999</v>
      </c>
      <c r="Q64" s="472" t="s">
        <v>1194</v>
      </c>
      <c r="R64" s="471" t="s">
        <v>79</v>
      </c>
      <c r="S64" s="471">
        <v>0.4</v>
      </c>
      <c r="T64" s="471">
        <v>0</v>
      </c>
      <c r="U64" s="471">
        <v>-2.0359174999999996</v>
      </c>
      <c r="W64" s="472" t="s">
        <v>1194</v>
      </c>
      <c r="X64" s="471" t="s">
        <v>79</v>
      </c>
      <c r="Y64" s="471">
        <v>0.4</v>
      </c>
      <c r="Z64" s="471">
        <v>0</v>
      </c>
      <c r="AA64" s="471">
        <v>-2.0359174999999996</v>
      </c>
    </row>
    <row r="65" spans="1:27">
      <c r="A65" s="154" t="s">
        <v>567</v>
      </c>
      <c r="B65" s="154">
        <v>0.15</v>
      </c>
      <c r="E65" s="162"/>
      <c r="F65" s="471" t="s">
        <v>567</v>
      </c>
      <c r="G65" s="471">
        <v>8.3000000000000004E-2</v>
      </c>
      <c r="K65" s="472">
        <v>47</v>
      </c>
      <c r="L65" s="471" t="s">
        <v>567</v>
      </c>
      <c r="M65" s="471">
        <v>8.3000000000000004E-2</v>
      </c>
      <c r="Q65" s="472">
        <v>47</v>
      </c>
      <c r="R65" s="471" t="s">
        <v>567</v>
      </c>
      <c r="S65" s="471">
        <v>8.3000000000000004E-2</v>
      </c>
      <c r="W65" s="472">
        <v>47</v>
      </c>
      <c r="X65" s="471" t="s">
        <v>567</v>
      </c>
      <c r="Y65" s="471">
        <v>8.3000000000000004E-2</v>
      </c>
    </row>
    <row r="66" spans="1:27">
      <c r="A66" s="154" t="s">
        <v>1125</v>
      </c>
      <c r="B66" s="154">
        <v>2.2733932499999998</v>
      </c>
      <c r="E66" s="162"/>
      <c r="F66" s="471" t="s">
        <v>729</v>
      </c>
      <c r="K66" s="472" t="s">
        <v>101</v>
      </c>
      <c r="L66" s="471" t="s">
        <v>729</v>
      </c>
      <c r="Q66" s="472" t="s">
        <v>101</v>
      </c>
      <c r="R66" s="471" t="s">
        <v>729</v>
      </c>
      <c r="W66" s="472" t="s">
        <v>101</v>
      </c>
      <c r="X66" s="471" t="s">
        <v>729</v>
      </c>
    </row>
    <row r="67" spans="1:27">
      <c r="A67" s="154" t="s">
        <v>567</v>
      </c>
      <c r="B67" s="154">
        <v>0.15</v>
      </c>
      <c r="E67" s="162"/>
      <c r="F67" s="471" t="s">
        <v>567</v>
      </c>
      <c r="G67" s="471">
        <v>0.10484</v>
      </c>
      <c r="K67" s="472" t="s">
        <v>17</v>
      </c>
      <c r="L67" s="471" t="s">
        <v>567</v>
      </c>
      <c r="M67" s="471">
        <v>0.10484</v>
      </c>
      <c r="Q67" s="472" t="s">
        <v>17</v>
      </c>
      <c r="R67" s="471" t="s">
        <v>567</v>
      </c>
      <c r="S67" s="471">
        <v>0.10484</v>
      </c>
      <c r="W67" s="472" t="s">
        <v>17</v>
      </c>
      <c r="X67" s="471" t="s">
        <v>567</v>
      </c>
      <c r="Y67" s="471">
        <v>0.10484</v>
      </c>
    </row>
    <row r="68" spans="1:27">
      <c r="A68" s="154" t="s">
        <v>567</v>
      </c>
      <c r="B68" s="154">
        <v>0.35499999999999998</v>
      </c>
      <c r="E68" s="162" t="s">
        <v>765</v>
      </c>
      <c r="F68" s="471" t="s">
        <v>670</v>
      </c>
      <c r="G68" s="471">
        <v>0.92432000000000003</v>
      </c>
      <c r="H68" s="471">
        <v>0.77604600000000001</v>
      </c>
      <c r="K68" s="472" t="s">
        <v>765</v>
      </c>
      <c r="L68" s="471" t="s">
        <v>670</v>
      </c>
      <c r="M68" s="471">
        <v>0.92432000000000003</v>
      </c>
      <c r="N68" s="471">
        <v>0.66564166999999996</v>
      </c>
      <c r="Q68" s="472" t="s">
        <v>765</v>
      </c>
      <c r="R68" s="471" t="s">
        <v>670</v>
      </c>
      <c r="S68" s="471">
        <v>0.92432000000000003</v>
      </c>
      <c r="T68" s="471">
        <v>0.68125343000000005</v>
      </c>
      <c r="W68" s="472" t="s">
        <v>765</v>
      </c>
      <c r="X68" s="471" t="s">
        <v>670</v>
      </c>
      <c r="Y68" s="471">
        <v>0.92432000000000003</v>
      </c>
      <c r="Z68" s="471">
        <v>0.68156638228587196</v>
      </c>
    </row>
    <row r="69" spans="1:27">
      <c r="A69" s="154" t="s">
        <v>670</v>
      </c>
      <c r="B69" s="154">
        <v>0.35</v>
      </c>
      <c r="C69" s="154">
        <v>-0.62620880000000001</v>
      </c>
      <c r="E69" s="162"/>
      <c r="F69" s="471" t="s">
        <v>567</v>
      </c>
      <c r="G69" s="471">
        <v>0.13783999999999999</v>
      </c>
      <c r="K69" s="472" t="s">
        <v>18</v>
      </c>
      <c r="L69" s="471" t="s">
        <v>567</v>
      </c>
      <c r="M69" s="471">
        <v>0.13783999999999999</v>
      </c>
      <c r="Q69" s="472" t="s">
        <v>18</v>
      </c>
      <c r="R69" s="471" t="s">
        <v>567</v>
      </c>
      <c r="S69" s="471">
        <v>0.13783999999999999</v>
      </c>
      <c r="W69" s="472" t="s">
        <v>18</v>
      </c>
      <c r="X69" s="471" t="s">
        <v>567</v>
      </c>
      <c r="Y69" s="471">
        <v>0.13783999999999999</v>
      </c>
    </row>
    <row r="70" spans="1:27">
      <c r="A70" s="154" t="s">
        <v>567</v>
      </c>
      <c r="B70" s="154">
        <v>3.3250000000000002</v>
      </c>
      <c r="E70" s="162" t="s">
        <v>1012</v>
      </c>
      <c r="F70" s="471" t="s">
        <v>79</v>
      </c>
      <c r="G70" s="471">
        <v>0.4</v>
      </c>
      <c r="H70" s="471">
        <v>0</v>
      </c>
      <c r="I70" s="471">
        <v>5.5212749999999993</v>
      </c>
      <c r="K70" s="472" t="s">
        <v>1012</v>
      </c>
      <c r="L70" s="471" t="s">
        <v>79</v>
      </c>
      <c r="M70" s="471">
        <v>0.4</v>
      </c>
      <c r="N70" s="471">
        <v>0</v>
      </c>
      <c r="O70" s="471">
        <v>2.98935</v>
      </c>
      <c r="Q70" s="472" t="s">
        <v>1012</v>
      </c>
      <c r="R70" s="471" t="s">
        <v>79</v>
      </c>
      <c r="S70" s="471">
        <v>0.4</v>
      </c>
      <c r="T70" s="471">
        <v>0</v>
      </c>
      <c r="U70" s="471">
        <v>3.4278599999999995</v>
      </c>
      <c r="W70" s="472" t="s">
        <v>1012</v>
      </c>
      <c r="X70" s="471" t="s">
        <v>79</v>
      </c>
      <c r="Y70" s="471">
        <v>0.4</v>
      </c>
      <c r="Z70" s="471">
        <v>0</v>
      </c>
      <c r="AA70" s="471">
        <v>3.4278599999999995</v>
      </c>
    </row>
    <row r="71" spans="1:27">
      <c r="A71" s="154" t="s">
        <v>514</v>
      </c>
      <c r="E71" s="162"/>
      <c r="F71" s="471" t="s">
        <v>567</v>
      </c>
      <c r="G71" s="471">
        <v>0.13289500000000001</v>
      </c>
      <c r="K71" s="472" t="s">
        <v>19</v>
      </c>
      <c r="L71" s="471" t="s">
        <v>567</v>
      </c>
      <c r="M71" s="471">
        <v>0.13289500000000001</v>
      </c>
      <c r="Q71" s="472" t="s">
        <v>19</v>
      </c>
      <c r="R71" s="471" t="s">
        <v>567</v>
      </c>
      <c r="S71" s="471">
        <v>0.13289500000000001</v>
      </c>
      <c r="W71" s="472" t="s">
        <v>19</v>
      </c>
      <c r="X71" s="471" t="s">
        <v>567</v>
      </c>
      <c r="Y71" s="471">
        <v>0.13289500000000001</v>
      </c>
    </row>
    <row r="72" spans="1:27">
      <c r="E72" s="162" t="s">
        <v>513</v>
      </c>
      <c r="F72" s="471" t="s">
        <v>670</v>
      </c>
      <c r="G72" s="471">
        <v>0.43420999999999998</v>
      </c>
      <c r="H72" s="471">
        <v>-0.41251799</v>
      </c>
      <c r="K72" s="472" t="s">
        <v>513</v>
      </c>
      <c r="L72" s="471" t="s">
        <v>670</v>
      </c>
      <c r="M72" s="471">
        <v>0.43420999999999998</v>
      </c>
      <c r="N72" s="471">
        <v>0</v>
      </c>
      <c r="Q72" s="472" t="s">
        <v>513</v>
      </c>
      <c r="R72" s="471" t="s">
        <v>670</v>
      </c>
      <c r="S72" s="471">
        <v>0.43420999999999998</v>
      </c>
      <c r="T72" s="471">
        <v>0</v>
      </c>
      <c r="W72" s="472" t="s">
        <v>513</v>
      </c>
      <c r="X72" s="471" t="s">
        <v>670</v>
      </c>
      <c r="Y72" s="471">
        <v>0.43420999999999998</v>
      </c>
      <c r="Z72" s="471">
        <v>0</v>
      </c>
    </row>
    <row r="73" spans="1:27">
      <c r="E73" s="162"/>
      <c r="F73" s="471" t="s">
        <v>567</v>
      </c>
      <c r="G73" s="471">
        <v>9.9894999999999998E-2</v>
      </c>
      <c r="K73" s="472" t="s">
        <v>20</v>
      </c>
      <c r="L73" s="471" t="s">
        <v>567</v>
      </c>
      <c r="M73" s="471">
        <v>9.9894999999999998E-2</v>
      </c>
      <c r="Q73" s="472" t="s">
        <v>20</v>
      </c>
      <c r="R73" s="471" t="s">
        <v>567</v>
      </c>
      <c r="S73" s="471">
        <v>9.9894999999999998E-2</v>
      </c>
      <c r="W73" s="472" t="s">
        <v>20</v>
      </c>
      <c r="X73" s="471" t="s">
        <v>567</v>
      </c>
      <c r="Y73" s="471">
        <v>9.9894999999999998E-2</v>
      </c>
    </row>
    <row r="74" spans="1:27">
      <c r="E74" s="162"/>
      <c r="F74" s="471" t="s">
        <v>729</v>
      </c>
      <c r="K74" s="472" t="s">
        <v>101</v>
      </c>
      <c r="L74" s="471" t="s">
        <v>729</v>
      </c>
      <c r="Q74" s="472" t="s">
        <v>101</v>
      </c>
      <c r="R74" s="471" t="s">
        <v>729</v>
      </c>
      <c r="W74" s="472" t="s">
        <v>101</v>
      </c>
      <c r="X74" s="471" t="s">
        <v>729</v>
      </c>
    </row>
    <row r="75" spans="1:27">
      <c r="E75" s="162" t="s">
        <v>567</v>
      </c>
      <c r="F75" s="471" t="s">
        <v>567</v>
      </c>
      <c r="G75" s="471">
        <v>3.0525600000000002</v>
      </c>
      <c r="K75" s="472">
        <v>45</v>
      </c>
      <c r="L75" s="471" t="s">
        <v>567</v>
      </c>
      <c r="M75" s="471">
        <v>3.0525999000000001</v>
      </c>
      <c r="Q75" s="472">
        <v>45</v>
      </c>
      <c r="R75" s="471" t="s">
        <v>567</v>
      </c>
      <c r="S75" s="471">
        <v>3.0525999000000001</v>
      </c>
      <c r="W75" s="472">
        <v>45</v>
      </c>
      <c r="X75" s="471" t="s">
        <v>567</v>
      </c>
      <c r="Y75" s="471">
        <v>3.0525999000000001</v>
      </c>
    </row>
    <row r="76" spans="1:27">
      <c r="E76" s="162"/>
      <c r="F76" s="471" t="s">
        <v>254</v>
      </c>
      <c r="L76" s="471" t="s">
        <v>254</v>
      </c>
      <c r="R76" s="471" t="s">
        <v>254</v>
      </c>
      <c r="X76" s="471" t="s">
        <v>254</v>
      </c>
    </row>
  </sheetData>
  <sheetProtection formatCells="0" formatColumns="0" formatRows="0" insertColumns="0" insertRows="0" insertHyperlinks="0" deleteColumns="0" deleteRows="0"/>
  <phoneticPr fontId="0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topLeftCell="A10" workbookViewId="0">
      <selection activeCell="I11" sqref="I11"/>
    </sheetView>
  </sheetViews>
  <sheetFormatPr defaultRowHeight="15"/>
  <cols>
    <col min="1" max="16384" width="9.140625" style="561"/>
  </cols>
  <sheetData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/>
  <dimension ref="A1:F91"/>
  <sheetViews>
    <sheetView topLeftCell="A19" workbookViewId="0">
      <selection activeCell="H33" sqref="H33"/>
    </sheetView>
  </sheetViews>
  <sheetFormatPr defaultRowHeight="15"/>
  <cols>
    <col min="1" max="1" width="7.42578125" style="221" customWidth="1"/>
    <col min="2" max="2" width="19.85546875" style="221" customWidth="1"/>
    <col min="3" max="3" width="12.7109375" style="228" customWidth="1"/>
    <col min="4" max="4" width="13.28515625" style="228" customWidth="1"/>
    <col min="5" max="5" width="11.7109375" style="221" customWidth="1"/>
    <col min="6" max="6" width="13.28515625" style="228" customWidth="1"/>
    <col min="7" max="16384" width="9.140625" style="221"/>
  </cols>
  <sheetData>
    <row r="1" spans="1:6">
      <c r="A1" s="220"/>
      <c r="B1" s="220"/>
      <c r="C1" s="220"/>
      <c r="D1" s="220"/>
      <c r="E1" s="220"/>
      <c r="F1" s="220"/>
    </row>
    <row r="2" spans="1:6">
      <c r="A2" s="220"/>
      <c r="B2" s="220"/>
      <c r="C2" s="220"/>
      <c r="D2" s="220"/>
      <c r="E2" s="220"/>
      <c r="F2" s="220"/>
    </row>
    <row r="3" spans="1:6">
      <c r="A3" s="220"/>
      <c r="B3" s="222"/>
      <c r="C3" s="220" t="s">
        <v>1032</v>
      </c>
      <c r="D3" s="220"/>
      <c r="E3" s="220"/>
      <c r="F3" s="220"/>
    </row>
    <row r="4" spans="1:6">
      <c r="A4" s="220"/>
      <c r="B4" s="223"/>
      <c r="C4" s="220" t="s">
        <v>595</v>
      </c>
      <c r="D4" s="220"/>
      <c r="E4" s="220"/>
      <c r="F4" s="220"/>
    </row>
    <row r="5" spans="1:6">
      <c r="A5" s="220"/>
      <c r="B5" s="224"/>
      <c r="C5" s="220" t="s">
        <v>396</v>
      </c>
      <c r="D5" s="220"/>
      <c r="E5" s="220"/>
      <c r="F5" s="220"/>
    </row>
    <row r="6" spans="1:6">
      <c r="A6" s="220"/>
      <c r="B6" s="225"/>
      <c r="C6" s="220" t="s">
        <v>592</v>
      </c>
      <c r="D6" s="220"/>
      <c r="E6" s="220"/>
      <c r="F6" s="220"/>
    </row>
    <row r="7" spans="1:6">
      <c r="A7" s="220"/>
      <c r="B7" s="220"/>
      <c r="C7" s="220"/>
      <c r="D7" s="220"/>
      <c r="E7" s="220"/>
      <c r="F7" s="220"/>
    </row>
    <row r="8" spans="1:6">
      <c r="A8" s="220"/>
      <c r="B8" s="220"/>
      <c r="C8" s="220"/>
      <c r="D8" s="220"/>
      <c r="E8" s="220"/>
      <c r="F8" s="220"/>
    </row>
    <row r="9" spans="1:6">
      <c r="A9" s="220"/>
      <c r="B9" s="220"/>
      <c r="C9" s="220"/>
      <c r="D9" s="220"/>
      <c r="E9" s="220"/>
      <c r="F9" s="220"/>
    </row>
    <row r="10" spans="1:6">
      <c r="A10" s="220"/>
      <c r="B10" s="220"/>
      <c r="C10" s="220"/>
      <c r="D10" s="220"/>
      <c r="E10" s="220"/>
      <c r="F10" s="220"/>
    </row>
    <row r="11" spans="1:6">
      <c r="A11" s="220"/>
      <c r="B11" s="220"/>
      <c r="C11" s="220"/>
      <c r="D11" s="220"/>
      <c r="E11" s="220"/>
      <c r="F11" s="220"/>
    </row>
    <row r="12" spans="1:6">
      <c r="A12" s="220"/>
      <c r="B12" s="220"/>
      <c r="C12" s="220"/>
      <c r="D12" s="220"/>
      <c r="E12" s="220"/>
      <c r="F12" s="220"/>
    </row>
    <row r="13" spans="1:6">
      <c r="A13" s="220"/>
      <c r="B13" s="220" t="s">
        <v>161</v>
      </c>
      <c r="C13" s="220"/>
      <c r="D13" s="220"/>
      <c r="E13" s="220"/>
      <c r="F13" s="220"/>
    </row>
    <row r="14" spans="1:6">
      <c r="A14" s="220"/>
      <c r="B14" s="220"/>
      <c r="C14" s="220" t="s">
        <v>1006</v>
      </c>
      <c r="D14" s="220"/>
      <c r="E14" s="220"/>
      <c r="F14" s="220"/>
    </row>
    <row r="15" spans="1:6">
      <c r="A15" s="220"/>
      <c r="B15" s="220"/>
      <c r="C15" s="226" t="s">
        <v>933</v>
      </c>
      <c r="D15" s="220"/>
      <c r="E15" s="220"/>
      <c r="F15" s="220"/>
    </row>
    <row r="16" spans="1:6">
      <c r="A16" s="220"/>
      <c r="B16" s="220"/>
      <c r="C16" s="226" t="s">
        <v>732</v>
      </c>
      <c r="D16" s="220"/>
      <c r="E16" s="220"/>
      <c r="F16" s="220"/>
    </row>
    <row r="17" spans="1:6">
      <c r="A17" s="220"/>
      <c r="B17" s="220"/>
      <c r="C17" s="226"/>
      <c r="D17" s="220"/>
      <c r="E17" s="220"/>
      <c r="F17" s="220"/>
    </row>
    <row r="18" spans="1:6">
      <c r="A18" s="220"/>
      <c r="B18" s="220"/>
      <c r="C18" s="226"/>
      <c r="D18" s="220"/>
      <c r="E18" s="220"/>
      <c r="F18" s="220"/>
    </row>
    <row r="19" spans="1:6">
      <c r="A19" s="220"/>
      <c r="B19" s="220"/>
      <c r="C19" s="226"/>
      <c r="D19" s="220"/>
      <c r="E19" s="220"/>
      <c r="F19" s="220"/>
    </row>
    <row r="20" spans="1:6">
      <c r="A20" s="220"/>
      <c r="B20" s="220" t="s">
        <v>534</v>
      </c>
      <c r="C20" s="220"/>
      <c r="D20" s="220"/>
      <c r="E20" s="220"/>
      <c r="F20" s="220"/>
    </row>
    <row r="21" spans="1:6">
      <c r="A21" s="220"/>
      <c r="B21" s="220"/>
      <c r="C21" s="226" t="s">
        <v>533</v>
      </c>
      <c r="D21" s="220"/>
      <c r="E21" s="220"/>
      <c r="F21" s="220"/>
    </row>
    <row r="22" spans="1:6">
      <c r="A22" s="220"/>
      <c r="B22" s="220"/>
      <c r="C22" s="226" t="s">
        <v>110</v>
      </c>
      <c r="D22" s="220"/>
      <c r="E22" s="220"/>
      <c r="F22" s="220"/>
    </row>
    <row r="23" spans="1:6">
      <c r="A23" s="220"/>
      <c r="B23" s="220"/>
      <c r="C23" s="220"/>
      <c r="D23" s="220"/>
      <c r="E23" s="220"/>
      <c r="F23" s="220"/>
    </row>
    <row r="24" spans="1:6">
      <c r="A24" s="220"/>
      <c r="B24" s="220"/>
      <c r="C24" s="220"/>
      <c r="D24" s="220"/>
      <c r="E24" s="220"/>
      <c r="F24" s="220"/>
    </row>
    <row r="25" spans="1:6">
      <c r="A25" s="220"/>
      <c r="B25" s="220" t="s">
        <v>1074</v>
      </c>
      <c r="C25" s="220"/>
      <c r="D25" s="220"/>
      <c r="E25" s="220"/>
      <c r="F25" s="220"/>
    </row>
    <row r="26" spans="1:6">
      <c r="A26" s="220"/>
      <c r="B26" s="220"/>
      <c r="C26" s="220" t="s">
        <v>822</v>
      </c>
      <c r="D26" s="220"/>
      <c r="E26" s="220"/>
      <c r="F26" s="220"/>
    </row>
    <row r="27" spans="1:6">
      <c r="A27" s="220"/>
      <c r="B27" s="220"/>
      <c r="C27" s="226" t="s">
        <v>1169</v>
      </c>
      <c r="D27" s="220"/>
      <c r="E27" s="220"/>
      <c r="F27" s="220"/>
    </row>
    <row r="28" spans="1:6">
      <c r="A28" s="220"/>
      <c r="B28" s="220"/>
      <c r="C28" s="220"/>
      <c r="D28" s="220"/>
      <c r="E28" s="220"/>
      <c r="F28" s="220"/>
    </row>
    <row r="29" spans="1:6">
      <c r="A29" s="220"/>
      <c r="B29" s="220"/>
      <c r="C29" s="220" t="s">
        <v>746</v>
      </c>
      <c r="D29" s="220"/>
      <c r="E29" s="220"/>
      <c r="F29" s="220"/>
    </row>
    <row r="30" spans="1:6">
      <c r="A30" s="220"/>
      <c r="B30" s="220"/>
      <c r="C30" s="226" t="s">
        <v>424</v>
      </c>
      <c r="D30" s="220"/>
      <c r="E30" s="220"/>
      <c r="F30" s="220"/>
    </row>
    <row r="31" spans="1:6">
      <c r="A31" s="220"/>
      <c r="B31" s="220"/>
      <c r="C31" s="220"/>
      <c r="D31" s="220"/>
      <c r="E31" s="220"/>
      <c r="F31" s="220"/>
    </row>
    <row r="32" spans="1:6">
      <c r="C32" s="563" t="s">
        <v>1208</v>
      </c>
    </row>
    <row r="33" spans="2:3">
      <c r="C33" s="562" t="s">
        <v>1209</v>
      </c>
    </row>
    <row r="34" spans="2:3">
      <c r="B34" s="221" t="s">
        <v>1119</v>
      </c>
      <c r="C34" s="227"/>
    </row>
    <row r="35" spans="2:3">
      <c r="B35" s="221" t="s">
        <v>55</v>
      </c>
      <c r="C35" s="227"/>
    </row>
    <row r="36" spans="2:3">
      <c r="B36" s="221" t="s">
        <v>888</v>
      </c>
      <c r="C36" s="227"/>
    </row>
    <row r="37" spans="2:3">
      <c r="B37" s="221" t="s">
        <v>1139</v>
      </c>
      <c r="C37" s="227"/>
    </row>
    <row r="38" spans="2:3">
      <c r="B38" s="221" t="s">
        <v>1004</v>
      </c>
      <c r="C38" s="227"/>
    </row>
    <row r="39" spans="2:3">
      <c r="B39" s="221" t="s">
        <v>35</v>
      </c>
      <c r="C39" s="227"/>
    </row>
    <row r="40" spans="2:3">
      <c r="B40" s="221" t="s">
        <v>1056</v>
      </c>
      <c r="C40" s="227"/>
    </row>
    <row r="41" spans="2:3">
      <c r="B41" s="221" t="s">
        <v>730</v>
      </c>
    </row>
    <row r="42" spans="2:3">
      <c r="B42" s="221" t="s">
        <v>988</v>
      </c>
    </row>
    <row r="43" spans="2:3">
      <c r="B43" s="221" t="s">
        <v>139</v>
      </c>
    </row>
    <row r="44" spans="2:3">
      <c r="B44" s="221" t="s">
        <v>140</v>
      </c>
    </row>
    <row r="45" spans="2:3">
      <c r="B45" s="221" t="s">
        <v>804</v>
      </c>
      <c r="C45" s="227"/>
    </row>
    <row r="46" spans="2:3">
      <c r="B46" s="221" t="s">
        <v>1023</v>
      </c>
      <c r="C46" s="227"/>
    </row>
    <row r="47" spans="2:3">
      <c r="C47" s="227"/>
    </row>
    <row r="48" spans="2:3">
      <c r="B48" s="221" t="s">
        <v>3</v>
      </c>
    </row>
    <row r="49" spans="2:6">
      <c r="B49" s="227" t="s">
        <v>754</v>
      </c>
    </row>
    <row r="50" spans="2:6">
      <c r="B50" s="227" t="s">
        <v>233</v>
      </c>
    </row>
    <row r="51" spans="2:6">
      <c r="B51" s="221" t="s">
        <v>780</v>
      </c>
    </row>
    <row r="52" spans="2:6">
      <c r="B52" s="221" t="s">
        <v>1015</v>
      </c>
    </row>
    <row r="53" spans="2:6">
      <c r="B53" s="221" t="s">
        <v>40</v>
      </c>
    </row>
    <row r="54" spans="2:6">
      <c r="B54" s="221" t="s">
        <v>600</v>
      </c>
    </row>
    <row r="57" spans="2:6" s="229" customFormat="1" ht="15.75">
      <c r="B57" s="229" t="s">
        <v>711</v>
      </c>
      <c r="C57" s="230" t="s">
        <v>435</v>
      </c>
      <c r="D57" s="230" t="s">
        <v>281</v>
      </c>
      <c r="E57" s="229" t="s">
        <v>752</v>
      </c>
      <c r="F57" s="230" t="s">
        <v>688</v>
      </c>
    </row>
    <row r="58" spans="2:6" s="229" customFormat="1" ht="15.75">
      <c r="B58" s="229" t="s">
        <v>271</v>
      </c>
      <c r="C58" s="231" t="s">
        <v>1020</v>
      </c>
      <c r="D58" s="231" t="s">
        <v>1020</v>
      </c>
      <c r="E58" s="231" t="s">
        <v>931</v>
      </c>
      <c r="F58" s="231" t="s">
        <v>931</v>
      </c>
    </row>
    <row r="59" spans="2:6" s="229" customFormat="1" ht="15.75">
      <c r="B59" s="229" t="s">
        <v>1196</v>
      </c>
      <c r="C59" s="230">
        <v>6</v>
      </c>
      <c r="D59" s="230">
        <v>6</v>
      </c>
      <c r="E59" s="230">
        <v>6</v>
      </c>
      <c r="F59" s="230">
        <v>6</v>
      </c>
    </row>
    <row r="60" spans="2:6" s="229" customFormat="1" ht="15.75">
      <c r="B60" s="229" t="s">
        <v>403</v>
      </c>
      <c r="C60" s="230">
        <v>64</v>
      </c>
      <c r="D60" s="230">
        <v>64</v>
      </c>
      <c r="E60" s="230">
        <v>64</v>
      </c>
      <c r="F60" s="230">
        <v>64</v>
      </c>
    </row>
    <row r="61" spans="2:6" s="229" customFormat="1" ht="15.75">
      <c r="B61" s="229" t="s">
        <v>1003</v>
      </c>
      <c r="C61" s="230">
        <v>2</v>
      </c>
      <c r="D61" s="230">
        <v>2</v>
      </c>
      <c r="E61" s="230">
        <v>2</v>
      </c>
      <c r="F61" s="230">
        <v>2</v>
      </c>
    </row>
    <row r="62" spans="2:6" s="229" customFormat="1" ht="15.75">
      <c r="B62" s="229" t="s">
        <v>1121</v>
      </c>
      <c r="C62" s="230">
        <v>1</v>
      </c>
      <c r="D62" s="230">
        <v>1</v>
      </c>
      <c r="E62" s="230">
        <v>1</v>
      </c>
      <c r="F62" s="230">
        <v>1</v>
      </c>
    </row>
    <row r="63" spans="2:6">
      <c r="E63" s="228"/>
    </row>
    <row r="64" spans="2:6">
      <c r="B64" s="221" t="s">
        <v>599</v>
      </c>
      <c r="C64" s="232">
        <f>2*PI()/C60*1000</f>
        <v>98.174770424681029</v>
      </c>
      <c r="D64" s="232">
        <f>2*PI()/D60*1000</f>
        <v>98.174770424681029</v>
      </c>
      <c r="E64" s="232">
        <f>2*PI()/E60*1000</f>
        <v>98.174770424681029</v>
      </c>
      <c r="F64" s="232">
        <f>2*PI()/F60*1000</f>
        <v>98.174770424681029</v>
      </c>
    </row>
    <row r="65" spans="2:6">
      <c r="B65" s="221" t="s">
        <v>512</v>
      </c>
      <c r="C65" s="232">
        <f>C61/C64*1000</f>
        <v>20.371832715762604</v>
      </c>
      <c r="D65" s="232">
        <f>D61/D64*1000</f>
        <v>20.371832715762604</v>
      </c>
      <c r="E65" s="232">
        <f>E61/E64*1000</f>
        <v>20.371832715762604</v>
      </c>
      <c r="F65" s="232">
        <f>F61/F64*1000</f>
        <v>20.371832715762604</v>
      </c>
    </row>
    <row r="66" spans="2:6">
      <c r="B66" s="221" t="s">
        <v>1052</v>
      </c>
      <c r="C66" s="232">
        <f>3.3*C59/C65</f>
        <v>0.97193022720434208</v>
      </c>
      <c r="D66" s="232">
        <f>3.3*D59/D65</f>
        <v>0.97193022720434208</v>
      </c>
      <c r="E66" s="232">
        <f>3.3*E59/E65</f>
        <v>0.97193022720434208</v>
      </c>
      <c r="F66" s="232">
        <f>3.3*F59/F65</f>
        <v>0.97193022720434208</v>
      </c>
    </row>
    <row r="67" spans="2:6">
      <c r="E67" s="228"/>
    </row>
    <row r="68" spans="2:6">
      <c r="E68" s="228"/>
    </row>
    <row r="69" spans="2:6">
      <c r="B69" s="221" t="s">
        <v>1154</v>
      </c>
      <c r="C69" s="232">
        <f>0.000000000000384*(C59*1957)^2*(2*PI()/C60)^3/C62/12/SQRT(15)*1000000000</f>
        <v>1.0779241052137694</v>
      </c>
      <c r="D69" s="232">
        <f>0.000000000000384*(D59*1957)^2*(2*PI()/D60)^3/D62/4/SQRT(15)*1000000000</f>
        <v>3.2337723156413087</v>
      </c>
      <c r="E69" s="232">
        <f>0.000000000000384*(E59*1957)^2*(2*PI()/E60)^3/E62*1000000000*0.00298</f>
        <v>0.14929020818095218</v>
      </c>
      <c r="F69" s="232">
        <f>0.000000000000384*(F59*1957)^2*(2*PI()/F60)^3/F62*1000000000*0.011</f>
        <v>0.5510712382518369</v>
      </c>
    </row>
    <row r="71" spans="2:6">
      <c r="B71" s="221" t="s">
        <v>1089</v>
      </c>
      <c r="E71" s="228"/>
    </row>
    <row r="72" spans="2:6">
      <c r="B72" s="221" t="s">
        <v>745</v>
      </c>
      <c r="C72" s="232"/>
      <c r="D72" s="232">
        <f>6*D61/SQRT(15)</f>
        <v>3.0983866769659336</v>
      </c>
      <c r="E72" s="232"/>
      <c r="F72" s="232"/>
    </row>
    <row r="73" spans="2:6">
      <c r="B73" s="221" t="s">
        <v>815</v>
      </c>
      <c r="C73" s="232"/>
      <c r="D73" s="232">
        <f>SQRT(15)</f>
        <v>3.872983346207417</v>
      </c>
      <c r="E73" s="232"/>
      <c r="F73" s="232"/>
    </row>
    <row r="74" spans="2:6">
      <c r="B74" s="221" t="s">
        <v>1068</v>
      </c>
      <c r="C74" s="232"/>
      <c r="D74" s="232">
        <v>0</v>
      </c>
      <c r="E74" s="232"/>
      <c r="F74" s="232">
        <v>0</v>
      </c>
    </row>
    <row r="75" spans="2:6">
      <c r="B75" s="221" t="s">
        <v>759</v>
      </c>
      <c r="C75" s="232"/>
      <c r="D75" s="232">
        <v>0</v>
      </c>
      <c r="E75" s="232"/>
      <c r="F75" s="232">
        <v>0</v>
      </c>
    </row>
    <row r="76" spans="2:6">
      <c r="C76" s="232"/>
      <c r="D76" s="232"/>
      <c r="E76" s="232"/>
      <c r="F76" s="232"/>
    </row>
    <row r="77" spans="2:6">
      <c r="B77" s="221" t="s">
        <v>447</v>
      </c>
      <c r="C77" s="232"/>
      <c r="D77" s="232"/>
      <c r="E77" s="232"/>
      <c r="F77" s="232"/>
    </row>
    <row r="78" spans="2:6">
      <c r="B78" s="221" t="s">
        <v>745</v>
      </c>
      <c r="C78" s="232">
        <f>C61/SQRT(60)</f>
        <v>0.2581988897471611</v>
      </c>
      <c r="D78" s="232"/>
      <c r="E78" s="232">
        <f>E61*0.015</f>
        <v>0.03</v>
      </c>
      <c r="F78" s="232"/>
    </row>
    <row r="79" spans="2:6">
      <c r="B79" s="221" t="s">
        <v>815</v>
      </c>
      <c r="C79" s="232">
        <v>0</v>
      </c>
      <c r="D79" s="232"/>
      <c r="E79" s="232">
        <v>0</v>
      </c>
      <c r="F79" s="232"/>
    </row>
    <row r="80" spans="2:6">
      <c r="B80" s="221" t="s">
        <v>1068</v>
      </c>
      <c r="C80" s="232">
        <f>C61*2*PI()/C60/24</f>
        <v>8.181230868723419E-3</v>
      </c>
      <c r="D80" s="232"/>
      <c r="E80" s="233">
        <f>E61*2*PI()/E60*0.00138</f>
        <v>2.7096236637211963E-4</v>
      </c>
      <c r="F80" s="232"/>
    </row>
    <row r="81" spans="2:6">
      <c r="B81" s="221" t="s">
        <v>759</v>
      </c>
      <c r="C81" s="232">
        <v>0</v>
      </c>
      <c r="D81" s="232"/>
      <c r="E81" s="232">
        <v>0</v>
      </c>
      <c r="F81" s="232"/>
    </row>
    <row r="82" spans="2:6">
      <c r="C82" s="232"/>
      <c r="D82" s="232"/>
      <c r="E82" s="232"/>
      <c r="F82" s="232"/>
    </row>
    <row r="83" spans="2:6">
      <c r="B83" s="221" t="s">
        <v>626</v>
      </c>
      <c r="C83" s="232"/>
      <c r="D83" s="232"/>
      <c r="E83" s="232"/>
      <c r="F83" s="232"/>
    </row>
    <row r="84" spans="2:6">
      <c r="B84" s="221" t="s">
        <v>745</v>
      </c>
      <c r="C84" s="232"/>
      <c r="D84" s="232"/>
      <c r="E84" s="232"/>
      <c r="F84" s="232"/>
    </row>
    <row r="85" spans="2:6">
      <c r="B85" s="221" t="s">
        <v>815</v>
      </c>
      <c r="C85" s="232"/>
      <c r="D85" s="232"/>
      <c r="E85" s="232"/>
      <c r="F85" s="232"/>
    </row>
    <row r="86" spans="2:6">
      <c r="B86" s="221" t="s">
        <v>1068</v>
      </c>
      <c r="C86" s="232"/>
      <c r="D86" s="232"/>
      <c r="E86" s="232"/>
      <c r="F86" s="232"/>
    </row>
    <row r="87" spans="2:6">
      <c r="B87" s="221" t="s">
        <v>759</v>
      </c>
      <c r="C87" s="232"/>
      <c r="D87" s="232"/>
      <c r="E87" s="232"/>
      <c r="F87" s="232"/>
    </row>
    <row r="90" spans="2:6">
      <c r="B90" s="221" t="s">
        <v>380</v>
      </c>
      <c r="D90" s="228">
        <f>3/4/SQRT(60)*D61</f>
        <v>0.19364916731037085</v>
      </c>
    </row>
    <row r="91" spans="2:6">
      <c r="B91" s="221" t="s">
        <v>381</v>
      </c>
      <c r="D91" s="228">
        <f>3/8*D61</f>
        <v>0.75</v>
      </c>
    </row>
  </sheetData>
  <phoneticPr fontId="0"/>
  <hyperlinks>
    <hyperlink ref="C15" r:id="rId1"/>
    <hyperlink ref="C21" r:id="rId2"/>
    <hyperlink ref="C16" r:id="rId3"/>
    <hyperlink ref="C22" r:id="rId4"/>
    <hyperlink ref="C27" r:id="rId5"/>
    <hyperlink ref="C30" r:id="rId6"/>
    <hyperlink ref="C33" r:id="rId7"/>
  </hyperlinks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7"/>
  <dimension ref="A2:H44"/>
  <sheetViews>
    <sheetView topLeftCell="A2" workbookViewId="0">
      <selection activeCell="D41" sqref="D41"/>
    </sheetView>
  </sheetViews>
  <sheetFormatPr defaultColWidth="11.42578125" defaultRowHeight="12.75"/>
  <cols>
    <col min="1" max="1" width="8.85546875" customWidth="1"/>
    <col min="2" max="2" width="13.7109375" style="327" customWidth="1"/>
    <col min="3" max="3" width="11.7109375" style="327" customWidth="1"/>
    <col min="4" max="4" width="7.140625" style="327" customWidth="1"/>
  </cols>
  <sheetData>
    <row r="2" spans="2:8" s="469" customFormat="1">
      <c r="B2" s="470" t="s">
        <v>97</v>
      </c>
      <c r="C2" s="470" t="s">
        <v>98</v>
      </c>
      <c r="D2" s="470" t="s">
        <v>1017</v>
      </c>
    </row>
    <row r="3" spans="2:8" s="469" customFormat="1">
      <c r="B3" s="470"/>
      <c r="C3" s="470"/>
      <c r="D3" s="470"/>
    </row>
    <row r="4" spans="2:8" s="469" customFormat="1">
      <c r="B4" s="327" t="s">
        <v>679</v>
      </c>
      <c r="C4" s="327" t="s">
        <v>680</v>
      </c>
      <c r="D4" s="327" t="s">
        <v>1018</v>
      </c>
      <c r="E4" t="s">
        <v>681</v>
      </c>
      <c r="F4"/>
      <c r="G4"/>
      <c r="H4"/>
    </row>
    <row r="5" spans="2:8" s="469" customFormat="1">
      <c r="B5" s="327" t="s">
        <v>679</v>
      </c>
      <c r="C5" s="327" t="s">
        <v>680</v>
      </c>
      <c r="D5" s="327"/>
      <c r="E5" t="s">
        <v>784</v>
      </c>
      <c r="F5"/>
      <c r="G5"/>
      <c r="H5"/>
    </row>
    <row r="6" spans="2:8" s="469" customFormat="1">
      <c r="B6" s="327" t="s">
        <v>679</v>
      </c>
      <c r="C6" s="327" t="s">
        <v>680</v>
      </c>
      <c r="D6" s="327"/>
      <c r="E6" t="s">
        <v>781</v>
      </c>
      <c r="F6"/>
      <c r="G6"/>
      <c r="H6"/>
    </row>
    <row r="7" spans="2:8" s="469" customFormat="1">
      <c r="B7" s="327"/>
      <c r="C7" s="327"/>
      <c r="D7" s="327"/>
      <c r="E7" t="s">
        <v>500</v>
      </c>
      <c r="F7"/>
      <c r="G7"/>
      <c r="H7"/>
    </row>
    <row r="10" spans="2:8">
      <c r="B10" s="327" t="s">
        <v>679</v>
      </c>
      <c r="C10" s="327" t="s">
        <v>680</v>
      </c>
      <c r="E10" t="s">
        <v>689</v>
      </c>
    </row>
    <row r="11" spans="2:8">
      <c r="B11" s="327" t="s">
        <v>679</v>
      </c>
      <c r="C11" s="327" t="s">
        <v>680</v>
      </c>
      <c r="D11" s="327" t="s">
        <v>1018</v>
      </c>
      <c r="E11" t="s">
        <v>647</v>
      </c>
    </row>
    <row r="12" spans="2:8">
      <c r="B12" s="327" t="s">
        <v>679</v>
      </c>
      <c r="C12" s="327" t="s">
        <v>680</v>
      </c>
      <c r="E12" t="s">
        <v>43</v>
      </c>
    </row>
    <row r="16" spans="2:8">
      <c r="B16" s="327" t="s">
        <v>679</v>
      </c>
      <c r="C16" s="327" t="s">
        <v>680</v>
      </c>
      <c r="E16" t="s">
        <v>1028</v>
      </c>
    </row>
    <row r="17" spans="2:5">
      <c r="B17" s="327" t="s">
        <v>679</v>
      </c>
      <c r="C17" s="327" t="s">
        <v>1029</v>
      </c>
      <c r="E17" t="s">
        <v>983</v>
      </c>
    </row>
    <row r="18" spans="2:5">
      <c r="B18" s="327" t="s">
        <v>679</v>
      </c>
      <c r="C18" s="327" t="s">
        <v>680</v>
      </c>
      <c r="E18" t="s">
        <v>300</v>
      </c>
    </row>
    <row r="19" spans="2:5">
      <c r="B19" s="327" t="s">
        <v>679</v>
      </c>
      <c r="C19" s="327" t="s">
        <v>680</v>
      </c>
      <c r="E19" t="s">
        <v>720</v>
      </c>
    </row>
    <row r="22" spans="2:5">
      <c r="B22" s="327" t="s">
        <v>679</v>
      </c>
      <c r="C22" s="327" t="s">
        <v>721</v>
      </c>
      <c r="E22" t="s">
        <v>910</v>
      </c>
    </row>
    <row r="23" spans="2:5">
      <c r="B23" s="327" t="s">
        <v>679</v>
      </c>
      <c r="C23" s="327" t="s">
        <v>911</v>
      </c>
      <c r="E23" t="s">
        <v>437</v>
      </c>
    </row>
    <row r="24" spans="2:5">
      <c r="B24" s="327" t="s">
        <v>679</v>
      </c>
      <c r="C24" s="327" t="s">
        <v>680</v>
      </c>
      <c r="E24" t="s">
        <v>744</v>
      </c>
    </row>
    <row r="27" spans="2:5">
      <c r="B27" s="327" t="s">
        <v>679</v>
      </c>
      <c r="C27" s="327" t="s">
        <v>89</v>
      </c>
      <c r="E27" t="s">
        <v>90</v>
      </c>
    </row>
    <row r="28" spans="2:5">
      <c r="B28" s="327" t="s">
        <v>679</v>
      </c>
      <c r="C28" s="327" t="s">
        <v>680</v>
      </c>
      <c r="E28" t="s">
        <v>23</v>
      </c>
    </row>
    <row r="31" spans="2:5">
      <c r="E31" t="s">
        <v>105</v>
      </c>
    </row>
    <row r="34" spans="1:5">
      <c r="B34" s="327" t="s">
        <v>160</v>
      </c>
      <c r="C34" s="327" t="s">
        <v>680</v>
      </c>
      <c r="E34" t="s">
        <v>768</v>
      </c>
    </row>
    <row r="36" spans="1:5">
      <c r="A36" s="469" t="s">
        <v>56</v>
      </c>
    </row>
    <row r="38" spans="1:5">
      <c r="B38" s="327" t="s">
        <v>766</v>
      </c>
      <c r="E38" t="s">
        <v>934</v>
      </c>
    </row>
    <row r="39" spans="1:5">
      <c r="D39" s="327" t="s">
        <v>1018</v>
      </c>
      <c r="E39" t="s">
        <v>1111</v>
      </c>
    </row>
    <row r="40" spans="1:5">
      <c r="D40" s="327" t="s">
        <v>1018</v>
      </c>
      <c r="E40" t="s">
        <v>573</v>
      </c>
    </row>
    <row r="42" spans="1:5">
      <c r="B42" s="327" t="s">
        <v>954</v>
      </c>
      <c r="E42" t="s">
        <v>791</v>
      </c>
    </row>
    <row r="44" spans="1:5">
      <c r="B44" s="327" t="s">
        <v>609</v>
      </c>
      <c r="E44" t="s">
        <v>1058</v>
      </c>
    </row>
  </sheetData>
  <phoneticPr fontId="39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"/>
  <dimension ref="B1:D41"/>
  <sheetViews>
    <sheetView workbookViewId="0">
      <selection activeCell="I34" sqref="I34"/>
    </sheetView>
  </sheetViews>
  <sheetFormatPr defaultColWidth="11.42578125" defaultRowHeight="12.75"/>
  <cols>
    <col min="1" max="1" width="11.42578125" customWidth="1"/>
    <col min="2" max="2" width="6.28515625" customWidth="1"/>
  </cols>
  <sheetData>
    <row r="1" spans="2:3" s="154" customFormat="1" ht="15"/>
    <row r="2" spans="2:3" s="154" customFormat="1" ht="15.75">
      <c r="B2" s="234" t="s">
        <v>1192</v>
      </c>
    </row>
    <row r="3" spans="2:3" s="154" customFormat="1" ht="15">
      <c r="B3" s="154" t="s">
        <v>408</v>
      </c>
    </row>
    <row r="4" spans="2:3" s="154" customFormat="1" ht="15">
      <c r="B4" s="154" t="s">
        <v>697</v>
      </c>
    </row>
    <row r="5" spans="2:3" s="154" customFormat="1" ht="15">
      <c r="C5" s="154" t="s">
        <v>44</v>
      </c>
    </row>
    <row r="6" spans="2:3" s="154" customFormat="1" ht="15">
      <c r="C6" s="154" t="s">
        <v>630</v>
      </c>
    </row>
    <row r="7" spans="2:3" s="154" customFormat="1" ht="15">
      <c r="C7" s="154" t="s">
        <v>751</v>
      </c>
    </row>
    <row r="8" spans="2:3" s="154" customFormat="1" ht="15"/>
    <row r="9" spans="2:3" s="154" customFormat="1" ht="15.75">
      <c r="B9" s="234" t="s">
        <v>167</v>
      </c>
    </row>
    <row r="10" spans="2:3" s="154" customFormat="1" ht="15">
      <c r="B10" s="154" t="s">
        <v>362</v>
      </c>
    </row>
    <row r="11" spans="2:3" s="154" customFormat="1" ht="15">
      <c r="B11" s="154" t="s">
        <v>1005</v>
      </c>
    </row>
    <row r="12" spans="2:3" s="154" customFormat="1" ht="15">
      <c r="B12" s="154" t="s">
        <v>111</v>
      </c>
    </row>
    <row r="13" spans="2:3" s="154" customFormat="1" ht="15">
      <c r="B13" s="154" t="s">
        <v>474</v>
      </c>
    </row>
    <row r="14" spans="2:3" s="154" customFormat="1" ht="15">
      <c r="C14" s="154" t="s">
        <v>693</v>
      </c>
    </row>
    <row r="15" spans="2:3" s="154" customFormat="1" ht="15">
      <c r="C15" s="189" t="s">
        <v>1129</v>
      </c>
    </row>
    <row r="16" spans="2:3" s="154" customFormat="1" ht="15">
      <c r="C16" s="154" t="s">
        <v>1072</v>
      </c>
    </row>
    <row r="17" spans="2:4" s="154" customFormat="1" ht="15">
      <c r="C17" s="154" t="s">
        <v>597</v>
      </c>
    </row>
    <row r="18" spans="2:4" s="154" customFormat="1" ht="15">
      <c r="D18" s="154" t="s">
        <v>73</v>
      </c>
    </row>
    <row r="19" spans="2:4" s="154" customFormat="1" ht="15">
      <c r="C19" s="189" t="s">
        <v>598</v>
      </c>
    </row>
    <row r="20" spans="2:4" s="154" customFormat="1" ht="15">
      <c r="B20" s="154" t="s">
        <v>282</v>
      </c>
    </row>
    <row r="21" spans="2:4" s="154" customFormat="1" ht="15"/>
    <row r="22" spans="2:4" s="154" customFormat="1" ht="15.75">
      <c r="B22" s="234" t="s">
        <v>1106</v>
      </c>
    </row>
    <row r="23" spans="2:4" s="154" customFormat="1" ht="15">
      <c r="B23" s="154" t="s">
        <v>771</v>
      </c>
    </row>
    <row r="24" spans="2:4" s="154" customFormat="1" ht="15">
      <c r="B24" s="154" t="s">
        <v>1173</v>
      </c>
    </row>
    <row r="25" spans="2:4" s="154" customFormat="1" ht="15">
      <c r="B25" s="154" t="s">
        <v>510</v>
      </c>
    </row>
    <row r="26" spans="2:4" s="154" customFormat="1" ht="15"/>
    <row r="27" spans="2:4" s="154" customFormat="1" ht="15.75">
      <c r="B27" s="234" t="s">
        <v>511</v>
      </c>
    </row>
    <row r="28" spans="2:4" s="154" customFormat="1" ht="15">
      <c r="B28" s="154" t="s">
        <v>498</v>
      </c>
    </row>
    <row r="29" spans="2:4" s="154" customFormat="1" ht="15"/>
    <row r="30" spans="2:4" s="154" customFormat="1" ht="15.75">
      <c r="B30" s="234" t="s">
        <v>987</v>
      </c>
    </row>
    <row r="31" spans="2:4" s="154" customFormat="1" ht="15">
      <c r="B31" s="154" t="s">
        <v>234</v>
      </c>
    </row>
    <row r="32" spans="2:4" s="154" customFormat="1" ht="15">
      <c r="B32" s="154" t="s">
        <v>845</v>
      </c>
    </row>
    <row r="33" spans="2:3" s="154" customFormat="1" ht="15">
      <c r="B33" s="154" t="s">
        <v>678</v>
      </c>
    </row>
    <row r="34" spans="2:3" s="154" customFormat="1" ht="15">
      <c r="C34" s="154" t="s">
        <v>317</v>
      </c>
    </row>
    <row r="35" spans="2:3" s="154" customFormat="1" ht="15">
      <c r="C35" s="154" t="s">
        <v>1082</v>
      </c>
    </row>
    <row r="36" spans="2:3" s="154" customFormat="1" ht="15">
      <c r="C36" s="154" t="s">
        <v>764</v>
      </c>
    </row>
    <row r="37" spans="2:3" s="154" customFormat="1" ht="15">
      <c r="C37" s="154" t="s">
        <v>1100</v>
      </c>
    </row>
    <row r="38" spans="2:3" s="154" customFormat="1" ht="15"/>
    <row r="39" spans="2:3" s="154" customFormat="1" ht="15.75">
      <c r="B39" s="234" t="s">
        <v>67</v>
      </c>
    </row>
    <row r="40" spans="2:3" s="154" customFormat="1" ht="15">
      <c r="B40" s="154" t="s">
        <v>824</v>
      </c>
    </row>
    <row r="41" spans="2:3" s="154" customFormat="1" ht="15"/>
  </sheetData>
  <phoneticPr fontId="0"/>
  <pageMargins left="0.75" right="0.75" top="1" bottom="1" header="0.5" footer="0.5"/>
  <pageSetup paperSize="0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70" baseType="lpstr">
      <vt:lpstr>fodo</vt:lpstr>
      <vt:lpstr>test optics</vt:lpstr>
      <vt:lpstr>QuadSext table</vt:lpstr>
      <vt:lpstr>thin sext table</vt:lpstr>
      <vt:lpstr>quad table</vt:lpstr>
      <vt:lpstr>dip table</vt:lpstr>
      <vt:lpstr>Table</vt:lpstr>
      <vt:lpstr>Tracking</vt:lpstr>
      <vt:lpstr>Magnet errors</vt:lpstr>
      <vt:lpstr>Lattices</vt:lpstr>
      <vt:lpstr>ESRF-Thin</vt:lpstr>
      <vt:lpstr>ESRF-Thick</vt:lpstr>
      <vt:lpstr>plots</vt:lpstr>
      <vt:lpstr>Infos</vt:lpstr>
      <vt:lpstr>To Add</vt:lpstr>
      <vt:lpstr>Problems</vt:lpstr>
      <vt:lpstr>BetaPlot</vt:lpstr>
      <vt:lpstr>Emitt_Eff</vt:lpstr>
      <vt:lpstr>Input</vt:lpstr>
      <vt:lpstr>Input_Alphax</vt:lpstr>
      <vt:lpstr>Input_Alphaz</vt:lpstr>
      <vt:lpstr>Input_Betax</vt:lpstr>
      <vt:lpstr>Input_BetaZ</vt:lpstr>
      <vt:lpstr>Input_D</vt:lpstr>
      <vt:lpstr>Input_Dp</vt:lpstr>
      <vt:lpstr>Lib_bpm</vt:lpstr>
      <vt:lpstr>Lib_Cav</vt:lpstr>
      <vt:lpstr>Lib_CellX</vt:lpstr>
      <vt:lpstr>Lib_CellZ</vt:lpstr>
      <vt:lpstr>Lib_Edge</vt:lpstr>
      <vt:lpstr>Lib_Nmult</vt:lpstr>
      <vt:lpstr>Lib_Quad</vt:lpstr>
      <vt:lpstr>Lib_QuadSext</vt:lpstr>
      <vt:lpstr>Lib_Sbend</vt:lpstr>
      <vt:lpstr>Lib_Sext</vt:lpstr>
      <vt:lpstr>Lib_Slit</vt:lpstr>
      <vt:lpstr>Lib_Smult</vt:lpstr>
      <vt:lpstr>Lib_Steerer</vt:lpstr>
      <vt:lpstr>Lib_Straight</vt:lpstr>
      <vt:lpstr>Lib_ThinMag</vt:lpstr>
      <vt:lpstr>Lib_Wiggler</vt:lpstr>
      <vt:lpstr>Output_Alphax</vt:lpstr>
      <vt:lpstr>Output_Alphaz</vt:lpstr>
      <vt:lpstr>Output_Betax</vt:lpstr>
      <vt:lpstr>Output_Betaz</vt:lpstr>
      <vt:lpstr>Output_D</vt:lpstr>
      <vt:lpstr>Output_Dp</vt:lpstr>
      <vt:lpstr>Tracking!Print_Area</vt:lpstr>
      <vt:lpstr>T_Coupling</vt:lpstr>
      <vt:lpstr>T_Emitx</vt:lpstr>
      <vt:lpstr>T_Emitz</vt:lpstr>
      <vt:lpstr>T_Energy</vt:lpstr>
      <vt:lpstr>T_EnSpread</vt:lpstr>
      <vt:lpstr>T_f0</vt:lpstr>
      <vt:lpstr>T_Hrf</vt:lpstr>
      <vt:lpstr>T_Ncell</vt:lpstr>
      <vt:lpstr>T_Params</vt:lpstr>
      <vt:lpstr>T_Sym</vt:lpstr>
      <vt:lpstr>T_Title</vt:lpstr>
      <vt:lpstr>T_Vrf</vt:lpstr>
      <vt:lpstr>Table</vt:lpstr>
      <vt:lpstr>Table_Input</vt:lpstr>
      <vt:lpstr>Th_RF</vt:lpstr>
      <vt:lpstr>VaveBetax</vt:lpstr>
      <vt:lpstr>VaveBetaz</vt:lpstr>
      <vt:lpstr>VHl</vt:lpstr>
      <vt:lpstr>VKl</vt:lpstr>
      <vt:lpstr>Vlength</vt:lpstr>
      <vt:lpstr>VmidMux</vt:lpstr>
      <vt:lpstr>VmidMuz</vt:lpstr>
    </vt:vector>
  </TitlesOfParts>
  <Company>ESRF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FARVACQUE</dc:creator>
  <cp:lastModifiedBy>NASH Boaz</cp:lastModifiedBy>
  <cp:lastPrinted>2009-10-28T13:10:49Z</cp:lastPrinted>
  <dcterms:created xsi:type="dcterms:W3CDTF">2004-12-16T12:54:50Z</dcterms:created>
  <dcterms:modified xsi:type="dcterms:W3CDTF">2010-01-18T15:57:47Z</dcterms:modified>
</cp:coreProperties>
</file>